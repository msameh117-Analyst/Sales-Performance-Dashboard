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F:\mohamed sameh\statistics\Data Analysis\"/>
    </mc:Choice>
  </mc:AlternateContent>
  <xr:revisionPtr revIDLastSave="0" documentId="8_{E14E40D6-794B-43F2-B00C-854354C15A4B}" xr6:coauthVersionLast="47" xr6:coauthVersionMax="47" xr10:uidLastSave="{00000000-0000-0000-0000-000000000000}"/>
  <bookViews>
    <workbookView xWindow="-120" yWindow="-120" windowWidth="20730" windowHeight="11160" xr2:uid="{F3CFDEDA-883E-4F2C-9F0C-A8AFCF9ED0D1}"/>
  </bookViews>
  <sheets>
    <sheet name="Data" sheetId="1" r:id="rId1"/>
  </sheets>
  <definedNames>
    <definedName name="Slicer_sales_reb">#N/A</definedName>
    <definedName name="Slicer_Years__Date">#N/A</definedName>
  </definedNames>
  <calcPr calcId="191029"/>
  <pivotCaches>
    <pivotCache cacheId="29"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1059" i="1" l="1"/>
  <c r="R1059" i="1"/>
  <c r="Q1059" i="1"/>
  <c r="P1059" i="1"/>
  <c r="O1059" i="1"/>
  <c r="N1059" i="1"/>
  <c r="M1059" i="1"/>
  <c r="K1059" i="1"/>
  <c r="L1059" i="1" s="1"/>
  <c r="S1058" i="1"/>
  <c r="R1058" i="1"/>
  <c r="Q1058" i="1"/>
  <c r="P1058" i="1"/>
  <c r="O1058" i="1"/>
  <c r="N1058" i="1"/>
  <c r="M1058" i="1"/>
  <c r="K1058" i="1"/>
  <c r="L1058" i="1" s="1"/>
  <c r="S1057" i="1"/>
  <c r="R1057" i="1"/>
  <c r="Q1057" i="1"/>
  <c r="P1057" i="1"/>
  <c r="O1057" i="1"/>
  <c r="N1057" i="1"/>
  <c r="M1057" i="1"/>
  <c r="K1057" i="1"/>
  <c r="L1057" i="1" s="1"/>
  <c r="S1056" i="1"/>
  <c r="R1056" i="1"/>
  <c r="Q1056" i="1"/>
  <c r="P1056" i="1"/>
  <c r="O1056" i="1"/>
  <c r="N1056" i="1"/>
  <c r="M1056" i="1"/>
  <c r="K1056" i="1"/>
  <c r="L1056" i="1" s="1"/>
  <c r="S1055" i="1"/>
  <c r="R1055" i="1"/>
  <c r="Q1055" i="1"/>
  <c r="P1055" i="1"/>
  <c r="O1055" i="1"/>
  <c r="N1055" i="1"/>
  <c r="M1055" i="1"/>
  <c r="L1055" i="1"/>
  <c r="K1055" i="1"/>
  <c r="S1054" i="1"/>
  <c r="R1054" i="1"/>
  <c r="Q1054" i="1"/>
  <c r="P1054" i="1"/>
  <c r="O1054" i="1"/>
  <c r="N1054" i="1"/>
  <c r="M1054" i="1"/>
  <c r="K1054" i="1"/>
  <c r="L1054" i="1" s="1"/>
  <c r="S1053" i="1"/>
  <c r="R1053" i="1"/>
  <c r="Q1053" i="1"/>
  <c r="P1053" i="1"/>
  <c r="O1053" i="1"/>
  <c r="N1053" i="1"/>
  <c r="M1053" i="1"/>
  <c r="L1053" i="1"/>
  <c r="K1053" i="1"/>
  <c r="S1052" i="1"/>
  <c r="R1052" i="1"/>
  <c r="Q1052" i="1"/>
  <c r="P1052" i="1"/>
  <c r="O1052" i="1"/>
  <c r="N1052" i="1"/>
  <c r="M1052" i="1"/>
  <c r="K1052" i="1"/>
  <c r="L1052" i="1" s="1"/>
  <c r="S1051" i="1"/>
  <c r="R1051" i="1"/>
  <c r="Q1051" i="1"/>
  <c r="P1051" i="1"/>
  <c r="O1051" i="1"/>
  <c r="N1051" i="1"/>
  <c r="M1051" i="1"/>
  <c r="L1051" i="1"/>
  <c r="K1051" i="1"/>
  <c r="S1050" i="1"/>
  <c r="R1050" i="1"/>
  <c r="Q1050" i="1"/>
  <c r="P1050" i="1"/>
  <c r="O1050" i="1"/>
  <c r="N1050" i="1"/>
  <c r="M1050" i="1"/>
  <c r="K1050" i="1"/>
  <c r="L1050" i="1" s="1"/>
  <c r="S1049" i="1"/>
  <c r="R1049" i="1"/>
  <c r="Q1049" i="1"/>
  <c r="P1049" i="1"/>
  <c r="O1049" i="1"/>
  <c r="N1049" i="1"/>
  <c r="M1049" i="1"/>
  <c r="L1049" i="1"/>
  <c r="K1049" i="1"/>
  <c r="S1048" i="1"/>
  <c r="R1048" i="1"/>
  <c r="Q1048" i="1"/>
  <c r="P1048" i="1"/>
  <c r="O1048" i="1"/>
  <c r="N1048" i="1"/>
  <c r="M1048" i="1"/>
  <c r="K1048" i="1"/>
  <c r="L1048" i="1" s="1"/>
  <c r="S1047" i="1"/>
  <c r="R1047" i="1"/>
  <c r="Q1047" i="1"/>
  <c r="P1047" i="1"/>
  <c r="O1047" i="1"/>
  <c r="N1047" i="1"/>
  <c r="M1047" i="1"/>
  <c r="L1047" i="1"/>
  <c r="K1047" i="1"/>
  <c r="S1046" i="1"/>
  <c r="R1046" i="1"/>
  <c r="Q1046" i="1"/>
  <c r="P1046" i="1"/>
  <c r="O1046" i="1"/>
  <c r="N1046" i="1"/>
  <c r="M1046" i="1"/>
  <c r="K1046" i="1"/>
  <c r="L1046" i="1" s="1"/>
  <c r="S1045" i="1"/>
  <c r="R1045" i="1"/>
  <c r="Q1045" i="1"/>
  <c r="P1045" i="1"/>
  <c r="O1045" i="1"/>
  <c r="N1045" i="1"/>
  <c r="M1045" i="1"/>
  <c r="L1045" i="1"/>
  <c r="K1045" i="1"/>
  <c r="S1044" i="1"/>
  <c r="R1044" i="1"/>
  <c r="Q1044" i="1"/>
  <c r="P1044" i="1"/>
  <c r="O1044" i="1"/>
  <c r="N1044" i="1"/>
  <c r="M1044" i="1"/>
  <c r="K1044" i="1"/>
  <c r="L1044" i="1" s="1"/>
  <c r="S1043" i="1"/>
  <c r="R1043" i="1"/>
  <c r="Q1043" i="1"/>
  <c r="P1043" i="1"/>
  <c r="O1043" i="1"/>
  <c r="N1043" i="1"/>
  <c r="M1043" i="1"/>
  <c r="L1043" i="1"/>
  <c r="K1043" i="1"/>
  <c r="S1042" i="1"/>
  <c r="R1042" i="1"/>
  <c r="Q1042" i="1"/>
  <c r="P1042" i="1"/>
  <c r="O1042" i="1"/>
  <c r="N1042" i="1"/>
  <c r="M1042" i="1"/>
  <c r="K1042" i="1"/>
  <c r="L1042" i="1" s="1"/>
  <c r="S1041" i="1"/>
  <c r="R1041" i="1"/>
  <c r="Q1041" i="1"/>
  <c r="P1041" i="1"/>
  <c r="O1041" i="1"/>
  <c r="N1041" i="1"/>
  <c r="M1041" i="1"/>
  <c r="L1041" i="1"/>
  <c r="K1041" i="1"/>
  <c r="S1040" i="1"/>
  <c r="R1040" i="1"/>
  <c r="Q1040" i="1"/>
  <c r="P1040" i="1"/>
  <c r="O1040" i="1"/>
  <c r="N1040" i="1"/>
  <c r="M1040" i="1"/>
  <c r="K1040" i="1"/>
  <c r="L1040" i="1" s="1"/>
  <c r="S1039" i="1"/>
  <c r="R1039" i="1"/>
  <c r="Q1039" i="1"/>
  <c r="P1039" i="1"/>
  <c r="O1039" i="1"/>
  <c r="N1039" i="1"/>
  <c r="M1039" i="1"/>
  <c r="L1039" i="1"/>
  <c r="K1039" i="1"/>
  <c r="S1038" i="1"/>
  <c r="R1038" i="1"/>
  <c r="Q1038" i="1"/>
  <c r="P1038" i="1"/>
  <c r="O1038" i="1"/>
  <c r="N1038" i="1"/>
  <c r="M1038" i="1"/>
  <c r="K1038" i="1"/>
  <c r="L1038" i="1" s="1"/>
  <c r="S1037" i="1"/>
  <c r="R1037" i="1"/>
  <c r="Q1037" i="1"/>
  <c r="P1037" i="1"/>
  <c r="O1037" i="1"/>
  <c r="N1037" i="1"/>
  <c r="M1037" i="1"/>
  <c r="L1037" i="1"/>
  <c r="K1037" i="1"/>
  <c r="S1036" i="1"/>
  <c r="R1036" i="1"/>
  <c r="Q1036" i="1"/>
  <c r="P1036" i="1"/>
  <c r="O1036" i="1"/>
  <c r="N1036" i="1"/>
  <c r="M1036" i="1"/>
  <c r="K1036" i="1"/>
  <c r="L1036" i="1" s="1"/>
  <c r="S1035" i="1"/>
  <c r="R1035" i="1"/>
  <c r="Q1035" i="1"/>
  <c r="P1035" i="1"/>
  <c r="O1035" i="1"/>
  <c r="N1035" i="1"/>
  <c r="M1035" i="1"/>
  <c r="L1035" i="1"/>
  <c r="K1035" i="1"/>
  <c r="S1034" i="1"/>
  <c r="R1034" i="1"/>
  <c r="Q1034" i="1"/>
  <c r="P1034" i="1"/>
  <c r="O1034" i="1"/>
  <c r="N1034" i="1"/>
  <c r="M1034" i="1"/>
  <c r="K1034" i="1"/>
  <c r="L1034" i="1" s="1"/>
  <c r="S1033" i="1"/>
  <c r="R1033" i="1"/>
  <c r="Q1033" i="1"/>
  <c r="P1033" i="1"/>
  <c r="O1033" i="1"/>
  <c r="N1033" i="1"/>
  <c r="M1033" i="1"/>
  <c r="L1033" i="1"/>
  <c r="K1033" i="1"/>
  <c r="S1032" i="1"/>
  <c r="R1032" i="1"/>
  <c r="Q1032" i="1"/>
  <c r="P1032" i="1"/>
  <c r="O1032" i="1"/>
  <c r="N1032" i="1"/>
  <c r="M1032" i="1"/>
  <c r="K1032" i="1"/>
  <c r="L1032" i="1" s="1"/>
  <c r="S1031" i="1"/>
  <c r="R1031" i="1"/>
  <c r="Q1031" i="1"/>
  <c r="P1031" i="1"/>
  <c r="O1031" i="1"/>
  <c r="N1031" i="1"/>
  <c r="M1031" i="1"/>
  <c r="L1031" i="1"/>
  <c r="K1031" i="1"/>
  <c r="S1030" i="1"/>
  <c r="R1030" i="1"/>
  <c r="Q1030" i="1"/>
  <c r="P1030" i="1"/>
  <c r="O1030" i="1"/>
  <c r="N1030" i="1"/>
  <c r="M1030" i="1"/>
  <c r="K1030" i="1"/>
  <c r="L1030" i="1" s="1"/>
  <c r="S1029" i="1"/>
  <c r="R1029" i="1"/>
  <c r="Q1029" i="1"/>
  <c r="P1029" i="1"/>
  <c r="O1029" i="1"/>
  <c r="N1029" i="1"/>
  <c r="M1029" i="1"/>
  <c r="L1029" i="1"/>
  <c r="K1029" i="1"/>
  <c r="S1028" i="1"/>
  <c r="R1028" i="1"/>
  <c r="Q1028" i="1"/>
  <c r="P1028" i="1"/>
  <c r="O1028" i="1"/>
  <c r="N1028" i="1"/>
  <c r="M1028" i="1"/>
  <c r="K1028" i="1"/>
  <c r="L1028" i="1" s="1"/>
  <c r="S1027" i="1"/>
  <c r="R1027" i="1"/>
  <c r="Q1027" i="1"/>
  <c r="P1027" i="1"/>
  <c r="O1027" i="1"/>
  <c r="N1027" i="1"/>
  <c r="M1027" i="1"/>
  <c r="L1027" i="1"/>
  <c r="K1027" i="1"/>
  <c r="S1026" i="1"/>
  <c r="R1026" i="1"/>
  <c r="Q1026" i="1"/>
  <c r="P1026" i="1"/>
  <c r="O1026" i="1"/>
  <c r="N1026" i="1"/>
  <c r="M1026" i="1"/>
  <c r="K1026" i="1"/>
  <c r="L1026" i="1" s="1"/>
  <c r="S1025" i="1"/>
  <c r="R1025" i="1"/>
  <c r="Q1025" i="1"/>
  <c r="P1025" i="1"/>
  <c r="O1025" i="1"/>
  <c r="N1025" i="1"/>
  <c r="M1025" i="1"/>
  <c r="L1025" i="1"/>
  <c r="K1025" i="1"/>
  <c r="S1024" i="1"/>
  <c r="R1024" i="1"/>
  <c r="Q1024" i="1"/>
  <c r="P1024" i="1"/>
  <c r="O1024" i="1"/>
  <c r="N1024" i="1"/>
  <c r="M1024" i="1"/>
  <c r="K1024" i="1"/>
  <c r="L1024" i="1" s="1"/>
  <c r="S1023" i="1"/>
  <c r="R1023" i="1"/>
  <c r="Q1023" i="1"/>
  <c r="P1023" i="1"/>
  <c r="O1023" i="1"/>
  <c r="N1023" i="1"/>
  <c r="M1023" i="1"/>
  <c r="L1023" i="1"/>
  <c r="K1023" i="1"/>
  <c r="S1022" i="1"/>
  <c r="R1022" i="1"/>
  <c r="Q1022" i="1"/>
  <c r="P1022" i="1"/>
  <c r="O1022" i="1"/>
  <c r="N1022" i="1"/>
  <c r="M1022" i="1"/>
  <c r="K1022" i="1"/>
  <c r="L1022" i="1" s="1"/>
  <c r="S1021" i="1"/>
  <c r="R1021" i="1"/>
  <c r="Q1021" i="1"/>
  <c r="P1021" i="1"/>
  <c r="O1021" i="1"/>
  <c r="N1021" i="1"/>
  <c r="M1021" i="1"/>
  <c r="L1021" i="1"/>
  <c r="K1021" i="1"/>
  <c r="S1020" i="1"/>
  <c r="R1020" i="1"/>
  <c r="Q1020" i="1"/>
  <c r="P1020" i="1"/>
  <c r="O1020" i="1"/>
  <c r="N1020" i="1"/>
  <c r="M1020" i="1"/>
  <c r="K1020" i="1"/>
  <c r="L1020" i="1" s="1"/>
  <c r="S1019" i="1"/>
  <c r="R1019" i="1"/>
  <c r="Q1019" i="1"/>
  <c r="P1019" i="1"/>
  <c r="O1019" i="1"/>
  <c r="N1019" i="1"/>
  <c r="M1019" i="1"/>
  <c r="L1019" i="1"/>
  <c r="K1019" i="1"/>
  <c r="S1018" i="1"/>
  <c r="R1018" i="1"/>
  <c r="Q1018" i="1"/>
  <c r="P1018" i="1"/>
  <c r="O1018" i="1"/>
  <c r="N1018" i="1"/>
  <c r="M1018" i="1"/>
  <c r="K1018" i="1"/>
  <c r="L1018" i="1" s="1"/>
  <c r="S1017" i="1"/>
  <c r="R1017" i="1"/>
  <c r="Q1017" i="1"/>
  <c r="P1017" i="1"/>
  <c r="O1017" i="1"/>
  <c r="N1017" i="1"/>
  <c r="M1017" i="1"/>
  <c r="L1017" i="1"/>
  <c r="K1017" i="1"/>
  <c r="S1016" i="1"/>
  <c r="R1016" i="1"/>
  <c r="Q1016" i="1"/>
  <c r="P1016" i="1"/>
  <c r="O1016" i="1"/>
  <c r="N1016" i="1"/>
  <c r="M1016" i="1"/>
  <c r="K1016" i="1"/>
  <c r="L1016" i="1" s="1"/>
  <c r="S1015" i="1"/>
  <c r="R1015" i="1"/>
  <c r="Q1015" i="1"/>
  <c r="P1015" i="1"/>
  <c r="O1015" i="1"/>
  <c r="N1015" i="1"/>
  <c r="M1015" i="1"/>
  <c r="L1015" i="1"/>
  <c r="K1015" i="1"/>
  <c r="S1014" i="1"/>
  <c r="R1014" i="1"/>
  <c r="Q1014" i="1"/>
  <c r="P1014" i="1"/>
  <c r="O1014" i="1"/>
  <c r="N1014" i="1"/>
  <c r="M1014" i="1"/>
  <c r="K1014" i="1"/>
  <c r="L1014" i="1" s="1"/>
  <c r="S1013" i="1"/>
  <c r="R1013" i="1"/>
  <c r="Q1013" i="1"/>
  <c r="P1013" i="1"/>
  <c r="O1013" i="1"/>
  <c r="N1013" i="1"/>
  <c r="M1013" i="1"/>
  <c r="L1013" i="1"/>
  <c r="K1013" i="1"/>
  <c r="S1012" i="1"/>
  <c r="R1012" i="1"/>
  <c r="Q1012" i="1"/>
  <c r="P1012" i="1"/>
  <c r="O1012" i="1"/>
  <c r="N1012" i="1"/>
  <c r="M1012" i="1"/>
  <c r="K1012" i="1"/>
  <c r="L1012" i="1" s="1"/>
  <c r="S1011" i="1"/>
  <c r="R1011" i="1"/>
  <c r="Q1011" i="1"/>
  <c r="P1011" i="1"/>
  <c r="O1011" i="1"/>
  <c r="N1011" i="1"/>
  <c r="M1011" i="1"/>
  <c r="L1011" i="1"/>
  <c r="K1011" i="1"/>
  <c r="S1010" i="1"/>
  <c r="R1010" i="1"/>
  <c r="Q1010" i="1"/>
  <c r="P1010" i="1"/>
  <c r="O1010" i="1"/>
  <c r="N1010" i="1"/>
  <c r="M1010" i="1"/>
  <c r="K1010" i="1"/>
  <c r="L1010" i="1" s="1"/>
  <c r="S1009" i="1"/>
  <c r="R1009" i="1"/>
  <c r="Q1009" i="1"/>
  <c r="P1009" i="1"/>
  <c r="O1009" i="1"/>
  <c r="N1009" i="1"/>
  <c r="M1009" i="1"/>
  <c r="L1009" i="1"/>
  <c r="K1009" i="1"/>
  <c r="S1008" i="1"/>
  <c r="R1008" i="1"/>
  <c r="Q1008" i="1"/>
  <c r="P1008" i="1"/>
  <c r="O1008" i="1"/>
  <c r="N1008" i="1"/>
  <c r="M1008" i="1"/>
  <c r="K1008" i="1"/>
  <c r="L1008" i="1" s="1"/>
  <c r="S1007" i="1"/>
  <c r="R1007" i="1"/>
  <c r="Q1007" i="1"/>
  <c r="P1007" i="1"/>
  <c r="O1007" i="1"/>
  <c r="N1007" i="1"/>
  <c r="M1007" i="1"/>
  <c r="L1007" i="1"/>
  <c r="K1007" i="1"/>
  <c r="S1006" i="1"/>
  <c r="R1006" i="1"/>
  <c r="Q1006" i="1"/>
  <c r="P1006" i="1"/>
  <c r="O1006" i="1"/>
  <c r="N1006" i="1"/>
  <c r="M1006" i="1"/>
  <c r="K1006" i="1"/>
  <c r="L1006" i="1" s="1"/>
  <c r="S1005" i="1"/>
  <c r="R1005" i="1"/>
  <c r="Q1005" i="1"/>
  <c r="P1005" i="1"/>
  <c r="O1005" i="1"/>
  <c r="N1005" i="1"/>
  <c r="M1005" i="1"/>
  <c r="L1005" i="1"/>
  <c r="K1005" i="1"/>
  <c r="S1004" i="1"/>
  <c r="R1004" i="1"/>
  <c r="Q1004" i="1"/>
  <c r="P1004" i="1"/>
  <c r="O1004" i="1"/>
  <c r="N1004" i="1"/>
  <c r="M1004" i="1"/>
  <c r="K1004" i="1"/>
  <c r="L1004" i="1" s="1"/>
  <c r="S1003" i="1"/>
  <c r="R1003" i="1"/>
  <c r="Q1003" i="1"/>
  <c r="P1003" i="1"/>
  <c r="O1003" i="1"/>
  <c r="N1003" i="1"/>
  <c r="M1003" i="1"/>
  <c r="L1003" i="1"/>
  <c r="K1003" i="1"/>
  <c r="S1002" i="1"/>
  <c r="R1002" i="1"/>
  <c r="Q1002" i="1"/>
  <c r="P1002" i="1"/>
  <c r="O1002" i="1"/>
  <c r="N1002" i="1"/>
  <c r="M1002" i="1"/>
  <c r="K1002" i="1"/>
  <c r="L1002" i="1" s="1"/>
  <c r="S1001" i="1"/>
  <c r="R1001" i="1"/>
  <c r="Q1001" i="1"/>
  <c r="P1001" i="1"/>
  <c r="O1001" i="1"/>
  <c r="N1001" i="1"/>
  <c r="M1001" i="1"/>
  <c r="L1001" i="1"/>
  <c r="K1001" i="1"/>
  <c r="S1000" i="1"/>
  <c r="R1000" i="1"/>
  <c r="Q1000" i="1"/>
  <c r="P1000" i="1"/>
  <c r="O1000" i="1"/>
  <c r="N1000" i="1"/>
  <c r="M1000" i="1"/>
  <c r="K1000" i="1"/>
  <c r="L1000" i="1" s="1"/>
  <c r="S999" i="1"/>
  <c r="R999" i="1"/>
  <c r="Q999" i="1"/>
  <c r="P999" i="1"/>
  <c r="O999" i="1"/>
  <c r="N999" i="1"/>
  <c r="M999" i="1"/>
  <c r="L999" i="1"/>
  <c r="K999" i="1"/>
  <c r="S998" i="1"/>
  <c r="R998" i="1"/>
  <c r="Q998" i="1"/>
  <c r="P998" i="1"/>
  <c r="O998" i="1"/>
  <c r="N998" i="1"/>
  <c r="M998" i="1"/>
  <c r="K998" i="1"/>
  <c r="L998" i="1" s="1"/>
  <c r="S997" i="1"/>
  <c r="R997" i="1"/>
  <c r="Q997" i="1"/>
  <c r="P997" i="1"/>
  <c r="O997" i="1"/>
  <c r="N997" i="1"/>
  <c r="M997" i="1"/>
  <c r="L997" i="1"/>
  <c r="K997" i="1"/>
  <c r="S996" i="1"/>
  <c r="R996" i="1"/>
  <c r="Q996" i="1"/>
  <c r="P996" i="1"/>
  <c r="O996" i="1"/>
  <c r="N996" i="1"/>
  <c r="M996" i="1"/>
  <c r="K996" i="1"/>
  <c r="L996" i="1" s="1"/>
  <c r="S995" i="1"/>
  <c r="R995" i="1"/>
  <c r="Q995" i="1"/>
  <c r="P995" i="1"/>
  <c r="O995" i="1"/>
  <c r="N995" i="1"/>
  <c r="M995" i="1"/>
  <c r="L995" i="1"/>
  <c r="K995" i="1"/>
  <c r="S994" i="1"/>
  <c r="R994" i="1"/>
  <c r="Q994" i="1"/>
  <c r="P994" i="1"/>
  <c r="O994" i="1"/>
  <c r="N994" i="1"/>
  <c r="M994" i="1"/>
  <c r="K994" i="1"/>
  <c r="L994" i="1" s="1"/>
  <c r="S993" i="1"/>
  <c r="R993" i="1"/>
  <c r="Q993" i="1"/>
  <c r="P993" i="1"/>
  <c r="O993" i="1"/>
  <c r="N993" i="1"/>
  <c r="M993" i="1"/>
  <c r="L993" i="1"/>
  <c r="K993" i="1"/>
  <c r="S992" i="1"/>
  <c r="R992" i="1"/>
  <c r="Q992" i="1"/>
  <c r="P992" i="1"/>
  <c r="O992" i="1"/>
  <c r="N992" i="1"/>
  <c r="M992" i="1"/>
  <c r="K992" i="1"/>
  <c r="L992" i="1" s="1"/>
  <c r="S991" i="1"/>
  <c r="R991" i="1"/>
  <c r="Q991" i="1"/>
  <c r="P991" i="1"/>
  <c r="O991" i="1"/>
  <c r="N991" i="1"/>
  <c r="M991" i="1"/>
  <c r="L991" i="1"/>
  <c r="K991" i="1"/>
  <c r="S990" i="1"/>
  <c r="R990" i="1"/>
  <c r="Q990" i="1"/>
  <c r="P990" i="1"/>
  <c r="O990" i="1"/>
  <c r="N990" i="1"/>
  <c r="M990" i="1"/>
  <c r="K990" i="1"/>
  <c r="L990" i="1" s="1"/>
  <c r="S989" i="1"/>
  <c r="R989" i="1"/>
  <c r="Q989" i="1"/>
  <c r="P989" i="1"/>
  <c r="O989" i="1"/>
  <c r="N989" i="1"/>
  <c r="M989" i="1"/>
  <c r="L989" i="1"/>
  <c r="K989" i="1"/>
  <c r="S988" i="1"/>
  <c r="R988" i="1"/>
  <c r="Q988" i="1"/>
  <c r="P988" i="1"/>
  <c r="O988" i="1"/>
  <c r="N988" i="1"/>
  <c r="M988" i="1"/>
  <c r="K988" i="1"/>
  <c r="L988" i="1" s="1"/>
  <c r="S987" i="1"/>
  <c r="R987" i="1"/>
  <c r="Q987" i="1"/>
  <c r="P987" i="1"/>
  <c r="O987" i="1"/>
  <c r="N987" i="1"/>
  <c r="M987" i="1"/>
  <c r="L987" i="1"/>
  <c r="K987" i="1"/>
  <c r="S986" i="1"/>
  <c r="R986" i="1"/>
  <c r="Q986" i="1"/>
  <c r="P986" i="1"/>
  <c r="O986" i="1"/>
  <c r="N986" i="1"/>
  <c r="M986" i="1"/>
  <c r="K986" i="1"/>
  <c r="L986" i="1" s="1"/>
  <c r="S985" i="1"/>
  <c r="R985" i="1"/>
  <c r="Q985" i="1"/>
  <c r="P985" i="1"/>
  <c r="O985" i="1"/>
  <c r="N985" i="1"/>
  <c r="M985" i="1"/>
  <c r="L985" i="1"/>
  <c r="K985" i="1"/>
  <c r="S984" i="1"/>
  <c r="R984" i="1"/>
  <c r="Q984" i="1"/>
  <c r="P984" i="1"/>
  <c r="O984" i="1"/>
  <c r="N984" i="1"/>
  <c r="M984" i="1"/>
  <c r="K984" i="1"/>
  <c r="L984" i="1" s="1"/>
  <c r="S983" i="1"/>
  <c r="R983" i="1"/>
  <c r="Q983" i="1"/>
  <c r="P983" i="1"/>
  <c r="O983" i="1"/>
  <c r="N983" i="1"/>
  <c r="M983" i="1"/>
  <c r="L983" i="1"/>
  <c r="K983" i="1"/>
  <c r="S982" i="1"/>
  <c r="R982" i="1"/>
  <c r="Q982" i="1"/>
  <c r="P982" i="1"/>
  <c r="O982" i="1"/>
  <c r="N982" i="1"/>
  <c r="M982" i="1"/>
  <c r="K982" i="1"/>
  <c r="L982" i="1" s="1"/>
  <c r="S981" i="1"/>
  <c r="R981" i="1"/>
  <c r="Q981" i="1"/>
  <c r="P981" i="1"/>
  <c r="O981" i="1"/>
  <c r="N981" i="1"/>
  <c r="M981" i="1"/>
  <c r="L981" i="1"/>
  <c r="K981" i="1"/>
  <c r="S980" i="1"/>
  <c r="R980" i="1"/>
  <c r="Q980" i="1"/>
  <c r="P980" i="1"/>
  <c r="O980" i="1"/>
  <c r="N980" i="1"/>
  <c r="M980" i="1"/>
  <c r="K980" i="1"/>
  <c r="L980" i="1" s="1"/>
  <c r="S979" i="1"/>
  <c r="R979" i="1"/>
  <c r="Q979" i="1"/>
  <c r="P979" i="1"/>
  <c r="O979" i="1"/>
  <c r="N979" i="1"/>
  <c r="M979" i="1"/>
  <c r="L979" i="1"/>
  <c r="K979" i="1"/>
  <c r="S978" i="1"/>
  <c r="R978" i="1"/>
  <c r="Q978" i="1"/>
  <c r="P978" i="1"/>
  <c r="O978" i="1"/>
  <c r="N978" i="1"/>
  <c r="M978" i="1"/>
  <c r="K978" i="1"/>
  <c r="L978" i="1" s="1"/>
  <c r="S977" i="1"/>
  <c r="R977" i="1"/>
  <c r="Q977" i="1"/>
  <c r="P977" i="1"/>
  <c r="O977" i="1"/>
  <c r="N977" i="1"/>
  <c r="M977" i="1"/>
  <c r="L977" i="1"/>
  <c r="K977" i="1"/>
  <c r="S976" i="1"/>
  <c r="R976" i="1"/>
  <c r="Q976" i="1"/>
  <c r="P976" i="1"/>
  <c r="O976" i="1"/>
  <c r="N976" i="1"/>
  <c r="M976" i="1"/>
  <c r="K976" i="1"/>
  <c r="L976" i="1" s="1"/>
  <c r="S975" i="1"/>
  <c r="R975" i="1"/>
  <c r="Q975" i="1"/>
  <c r="P975" i="1"/>
  <c r="O975" i="1"/>
  <c r="N975" i="1"/>
  <c r="M975" i="1"/>
  <c r="L975" i="1"/>
  <c r="K975" i="1"/>
  <c r="S974" i="1"/>
  <c r="R974" i="1"/>
  <c r="Q974" i="1"/>
  <c r="P974" i="1"/>
  <c r="O974" i="1"/>
  <c r="N974" i="1"/>
  <c r="M974" i="1"/>
  <c r="K974" i="1"/>
  <c r="L974" i="1" s="1"/>
  <c r="S973" i="1"/>
  <c r="R973" i="1"/>
  <c r="Q973" i="1"/>
  <c r="P973" i="1"/>
  <c r="O973" i="1"/>
  <c r="N973" i="1"/>
  <c r="M973" i="1"/>
  <c r="L973" i="1"/>
  <c r="K973" i="1"/>
  <c r="S972" i="1"/>
  <c r="R972" i="1"/>
  <c r="Q972" i="1"/>
  <c r="P972" i="1"/>
  <c r="O972" i="1"/>
  <c r="N972" i="1"/>
  <c r="M972" i="1"/>
  <c r="K972" i="1"/>
  <c r="L972" i="1" s="1"/>
  <c r="S971" i="1"/>
  <c r="R971" i="1"/>
  <c r="Q971" i="1"/>
  <c r="P971" i="1"/>
  <c r="O971" i="1"/>
  <c r="N971" i="1"/>
  <c r="M971" i="1"/>
  <c r="L971" i="1"/>
  <c r="K971" i="1"/>
  <c r="S970" i="1"/>
  <c r="R970" i="1"/>
  <c r="Q970" i="1"/>
  <c r="P970" i="1"/>
  <c r="O970" i="1"/>
  <c r="N970" i="1"/>
  <c r="M970" i="1"/>
  <c r="K970" i="1"/>
  <c r="L970" i="1" s="1"/>
  <c r="S969" i="1"/>
  <c r="R969" i="1"/>
  <c r="Q969" i="1"/>
  <c r="P969" i="1"/>
  <c r="O969" i="1"/>
  <c r="N969" i="1"/>
  <c r="M969" i="1"/>
  <c r="L969" i="1"/>
  <c r="K969" i="1"/>
  <c r="S968" i="1"/>
  <c r="R968" i="1"/>
  <c r="Q968" i="1"/>
  <c r="P968" i="1"/>
  <c r="O968" i="1"/>
  <c r="N968" i="1"/>
  <c r="M968" i="1"/>
  <c r="K968" i="1"/>
  <c r="L968" i="1" s="1"/>
  <c r="S967" i="1"/>
  <c r="R967" i="1"/>
  <c r="Q967" i="1"/>
  <c r="P967" i="1"/>
  <c r="O967" i="1"/>
  <c r="N967" i="1"/>
  <c r="M967" i="1"/>
  <c r="L967" i="1"/>
  <c r="K967" i="1"/>
  <c r="S966" i="1"/>
  <c r="R966" i="1"/>
  <c r="Q966" i="1"/>
  <c r="P966" i="1"/>
  <c r="O966" i="1"/>
  <c r="N966" i="1"/>
  <c r="M966" i="1"/>
  <c r="K966" i="1"/>
  <c r="L966" i="1" s="1"/>
  <c r="S965" i="1"/>
  <c r="R965" i="1"/>
  <c r="Q965" i="1"/>
  <c r="P965" i="1"/>
  <c r="O965" i="1"/>
  <c r="N965" i="1"/>
  <c r="M965" i="1"/>
  <c r="L965" i="1"/>
  <c r="K965" i="1"/>
  <c r="S964" i="1"/>
  <c r="R964" i="1"/>
  <c r="Q964" i="1"/>
  <c r="P964" i="1"/>
  <c r="O964" i="1"/>
  <c r="N964" i="1"/>
  <c r="M964" i="1"/>
  <c r="K964" i="1"/>
  <c r="L964" i="1" s="1"/>
  <c r="S963" i="1"/>
  <c r="R963" i="1"/>
  <c r="Q963" i="1"/>
  <c r="P963" i="1"/>
  <c r="O963" i="1"/>
  <c r="N963" i="1"/>
  <c r="M963" i="1"/>
  <c r="L963" i="1"/>
  <c r="K963" i="1"/>
  <c r="S962" i="1"/>
  <c r="R962" i="1"/>
  <c r="Q962" i="1"/>
  <c r="P962" i="1"/>
  <c r="O962" i="1"/>
  <c r="N962" i="1"/>
  <c r="M962" i="1"/>
  <c r="K962" i="1"/>
  <c r="L962" i="1" s="1"/>
  <c r="S961" i="1"/>
  <c r="R961" i="1"/>
  <c r="Q961" i="1"/>
  <c r="P961" i="1"/>
  <c r="O961" i="1"/>
  <c r="N961" i="1"/>
  <c r="M961" i="1"/>
  <c r="L961" i="1"/>
  <c r="K961" i="1"/>
  <c r="S960" i="1"/>
  <c r="R960" i="1"/>
  <c r="Q960" i="1"/>
  <c r="P960" i="1"/>
  <c r="O960" i="1"/>
  <c r="N960" i="1"/>
  <c r="M960" i="1"/>
  <c r="K960" i="1"/>
  <c r="L960" i="1" s="1"/>
  <c r="S959" i="1"/>
  <c r="R959" i="1"/>
  <c r="Q959" i="1"/>
  <c r="P959" i="1"/>
  <c r="O959" i="1"/>
  <c r="N959" i="1"/>
  <c r="M959" i="1"/>
  <c r="L959" i="1"/>
  <c r="K959" i="1"/>
  <c r="S958" i="1"/>
  <c r="R958" i="1"/>
  <c r="Q958" i="1"/>
  <c r="P958" i="1"/>
  <c r="O958" i="1"/>
  <c r="N958" i="1"/>
  <c r="M958" i="1"/>
  <c r="K958" i="1"/>
  <c r="L958" i="1" s="1"/>
  <c r="S957" i="1"/>
  <c r="R957" i="1"/>
  <c r="Q957" i="1"/>
  <c r="P957" i="1"/>
  <c r="O957" i="1"/>
  <c r="N957" i="1"/>
  <c r="M957" i="1"/>
  <c r="L957" i="1"/>
  <c r="K957" i="1"/>
  <c r="S956" i="1"/>
  <c r="R956" i="1"/>
  <c r="Q956" i="1"/>
  <c r="P956" i="1"/>
  <c r="O956" i="1"/>
  <c r="N956" i="1"/>
  <c r="M956" i="1"/>
  <c r="K956" i="1"/>
  <c r="L956" i="1" s="1"/>
  <c r="S955" i="1"/>
  <c r="R955" i="1"/>
  <c r="Q955" i="1"/>
  <c r="P955" i="1"/>
  <c r="O955" i="1"/>
  <c r="N955" i="1"/>
  <c r="M955" i="1"/>
  <c r="L955" i="1"/>
  <c r="K955" i="1"/>
  <c r="S954" i="1"/>
  <c r="R954" i="1"/>
  <c r="Q954" i="1"/>
  <c r="P954" i="1"/>
  <c r="O954" i="1"/>
  <c r="N954" i="1"/>
  <c r="M954" i="1"/>
  <c r="K954" i="1"/>
  <c r="L954" i="1" s="1"/>
  <c r="S953" i="1"/>
  <c r="R953" i="1"/>
  <c r="Q953" i="1"/>
  <c r="P953" i="1"/>
  <c r="O953" i="1"/>
  <c r="N953" i="1"/>
  <c r="M953" i="1"/>
  <c r="L953" i="1"/>
  <c r="K953" i="1"/>
  <c r="S952" i="1"/>
  <c r="R952" i="1"/>
  <c r="Q952" i="1"/>
  <c r="P952" i="1"/>
  <c r="O952" i="1"/>
  <c r="N952" i="1"/>
  <c r="M952" i="1"/>
  <c r="K952" i="1"/>
  <c r="L952" i="1" s="1"/>
  <c r="S951" i="1"/>
  <c r="R951" i="1"/>
  <c r="Q951" i="1"/>
  <c r="P951" i="1"/>
  <c r="O951" i="1"/>
  <c r="N951" i="1"/>
  <c r="M951" i="1"/>
  <c r="L951" i="1"/>
  <c r="K951" i="1"/>
  <c r="S950" i="1"/>
  <c r="R950" i="1"/>
  <c r="Q950" i="1"/>
  <c r="P950" i="1"/>
  <c r="O950" i="1"/>
  <c r="N950" i="1"/>
  <c r="M950" i="1"/>
  <c r="K950" i="1"/>
  <c r="L950" i="1" s="1"/>
  <c r="S949" i="1"/>
  <c r="R949" i="1"/>
  <c r="Q949" i="1"/>
  <c r="P949" i="1"/>
  <c r="O949" i="1"/>
  <c r="N949" i="1"/>
  <c r="M949" i="1"/>
  <c r="L949" i="1"/>
  <c r="K949" i="1"/>
  <c r="S948" i="1"/>
  <c r="R948" i="1"/>
  <c r="Q948" i="1"/>
  <c r="P948" i="1"/>
  <c r="O948" i="1"/>
  <c r="N948" i="1"/>
  <c r="M948" i="1"/>
  <c r="K948" i="1"/>
  <c r="L948" i="1" s="1"/>
  <c r="S947" i="1"/>
  <c r="R947" i="1"/>
  <c r="Q947" i="1"/>
  <c r="P947" i="1"/>
  <c r="O947" i="1"/>
  <c r="N947" i="1"/>
  <c r="M947" i="1"/>
  <c r="L947" i="1"/>
  <c r="K947" i="1"/>
  <c r="S946" i="1"/>
  <c r="R946" i="1"/>
  <c r="Q946" i="1"/>
  <c r="P946" i="1"/>
  <c r="O946" i="1"/>
  <c r="N946" i="1"/>
  <c r="M946" i="1"/>
  <c r="K946" i="1"/>
  <c r="L946" i="1" s="1"/>
  <c r="S945" i="1"/>
  <c r="R945" i="1"/>
  <c r="Q945" i="1"/>
  <c r="P945" i="1"/>
  <c r="O945" i="1"/>
  <c r="N945" i="1"/>
  <c r="M945" i="1"/>
  <c r="L945" i="1"/>
  <c r="K945" i="1"/>
  <c r="S944" i="1"/>
  <c r="R944" i="1"/>
  <c r="Q944" i="1"/>
  <c r="P944" i="1"/>
  <c r="O944" i="1"/>
  <c r="N944" i="1"/>
  <c r="M944" i="1"/>
  <c r="K944" i="1"/>
  <c r="L944" i="1" s="1"/>
  <c r="S943" i="1"/>
  <c r="R943" i="1"/>
  <c r="Q943" i="1"/>
  <c r="P943" i="1"/>
  <c r="O943" i="1"/>
  <c r="N943" i="1"/>
  <c r="M943" i="1"/>
  <c r="L943" i="1"/>
  <c r="K943" i="1"/>
  <c r="S942" i="1"/>
  <c r="R942" i="1"/>
  <c r="Q942" i="1"/>
  <c r="P942" i="1"/>
  <c r="O942" i="1"/>
  <c r="N942" i="1"/>
  <c r="M942" i="1"/>
  <c r="K942" i="1"/>
  <c r="L942" i="1" s="1"/>
  <c r="S941" i="1"/>
  <c r="R941" i="1"/>
  <c r="Q941" i="1"/>
  <c r="P941" i="1"/>
  <c r="O941" i="1"/>
  <c r="N941" i="1"/>
  <c r="M941" i="1"/>
  <c r="L941" i="1"/>
  <c r="K941" i="1"/>
  <c r="S940" i="1"/>
  <c r="R940" i="1"/>
  <c r="Q940" i="1"/>
  <c r="P940" i="1"/>
  <c r="O940" i="1"/>
  <c r="N940" i="1"/>
  <c r="M940" i="1"/>
  <c r="K940" i="1"/>
  <c r="L940" i="1" s="1"/>
  <c r="S939" i="1"/>
  <c r="R939" i="1"/>
  <c r="Q939" i="1"/>
  <c r="P939" i="1"/>
  <c r="O939" i="1"/>
  <c r="N939" i="1"/>
  <c r="M939" i="1"/>
  <c r="L939" i="1"/>
  <c r="K939" i="1"/>
  <c r="S938" i="1"/>
  <c r="R938" i="1"/>
  <c r="Q938" i="1"/>
  <c r="P938" i="1"/>
  <c r="O938" i="1"/>
  <c r="N938" i="1"/>
  <c r="M938" i="1"/>
  <c r="K938" i="1"/>
  <c r="L938" i="1" s="1"/>
  <c r="S937" i="1"/>
  <c r="R937" i="1"/>
  <c r="Q937" i="1"/>
  <c r="P937" i="1"/>
  <c r="O937" i="1"/>
  <c r="N937" i="1"/>
  <c r="M937" i="1"/>
  <c r="L937" i="1"/>
  <c r="K937" i="1"/>
  <c r="S936" i="1"/>
  <c r="R936" i="1"/>
  <c r="Q936" i="1"/>
  <c r="P936" i="1"/>
  <c r="O936" i="1"/>
  <c r="N936" i="1"/>
  <c r="M936" i="1"/>
  <c r="K936" i="1"/>
  <c r="L936" i="1" s="1"/>
  <c r="S935" i="1"/>
  <c r="R935" i="1"/>
  <c r="Q935" i="1"/>
  <c r="P935" i="1"/>
  <c r="O935" i="1"/>
  <c r="N935" i="1"/>
  <c r="M935" i="1"/>
  <c r="L935" i="1"/>
  <c r="K935" i="1"/>
  <c r="S934" i="1"/>
  <c r="R934" i="1"/>
  <c r="Q934" i="1"/>
  <c r="P934" i="1"/>
  <c r="O934" i="1"/>
  <c r="N934" i="1"/>
  <c r="M934" i="1"/>
  <c r="K934" i="1"/>
  <c r="L934" i="1" s="1"/>
  <c r="S933" i="1"/>
  <c r="R933" i="1"/>
  <c r="Q933" i="1"/>
  <c r="P933" i="1"/>
  <c r="O933" i="1"/>
  <c r="N933" i="1"/>
  <c r="M933" i="1"/>
  <c r="L933" i="1"/>
  <c r="K933" i="1"/>
  <c r="S932" i="1"/>
  <c r="R932" i="1"/>
  <c r="Q932" i="1"/>
  <c r="P932" i="1"/>
  <c r="O932" i="1"/>
  <c r="N932" i="1"/>
  <c r="M932" i="1"/>
  <c r="K932" i="1"/>
  <c r="L932" i="1" s="1"/>
  <c r="S931" i="1"/>
  <c r="R931" i="1"/>
  <c r="Q931" i="1"/>
  <c r="P931" i="1"/>
  <c r="O931" i="1"/>
  <c r="N931" i="1"/>
  <c r="M931" i="1"/>
  <c r="L931" i="1"/>
  <c r="K931" i="1"/>
  <c r="S930" i="1"/>
  <c r="R930" i="1"/>
  <c r="Q930" i="1"/>
  <c r="P930" i="1"/>
  <c r="O930" i="1"/>
  <c r="N930" i="1"/>
  <c r="M930" i="1"/>
  <c r="K930" i="1"/>
  <c r="L930" i="1" s="1"/>
  <c r="S929" i="1"/>
  <c r="R929" i="1"/>
  <c r="Q929" i="1"/>
  <c r="P929" i="1"/>
  <c r="O929" i="1"/>
  <c r="N929" i="1"/>
  <c r="M929" i="1"/>
  <c r="L929" i="1"/>
  <c r="K929" i="1"/>
  <c r="S928" i="1"/>
  <c r="R928" i="1"/>
  <c r="Q928" i="1"/>
  <c r="P928" i="1"/>
  <c r="O928" i="1"/>
  <c r="N928" i="1"/>
  <c r="M928" i="1"/>
  <c r="K928" i="1"/>
  <c r="L928" i="1" s="1"/>
  <c r="S927" i="1"/>
  <c r="R927" i="1"/>
  <c r="Q927" i="1"/>
  <c r="P927" i="1"/>
  <c r="O927" i="1"/>
  <c r="N927" i="1"/>
  <c r="M927" i="1"/>
  <c r="L927" i="1"/>
  <c r="K927" i="1"/>
  <c r="S926" i="1"/>
  <c r="R926" i="1"/>
  <c r="Q926" i="1"/>
  <c r="P926" i="1"/>
  <c r="O926" i="1"/>
  <c r="N926" i="1"/>
  <c r="M926" i="1"/>
  <c r="K926" i="1"/>
  <c r="L926" i="1" s="1"/>
  <c r="S925" i="1"/>
  <c r="R925" i="1"/>
  <c r="Q925" i="1"/>
  <c r="P925" i="1"/>
  <c r="O925" i="1"/>
  <c r="N925" i="1"/>
  <c r="M925" i="1"/>
  <c r="L925" i="1"/>
  <c r="K925" i="1"/>
  <c r="S924" i="1"/>
  <c r="R924" i="1"/>
  <c r="Q924" i="1"/>
  <c r="P924" i="1"/>
  <c r="O924" i="1"/>
  <c r="N924" i="1"/>
  <c r="M924" i="1"/>
  <c r="K924" i="1"/>
  <c r="L924" i="1" s="1"/>
  <c r="S923" i="1"/>
  <c r="R923" i="1"/>
  <c r="Q923" i="1"/>
  <c r="P923" i="1"/>
  <c r="O923" i="1"/>
  <c r="N923" i="1"/>
  <c r="M923" i="1"/>
  <c r="L923" i="1"/>
  <c r="K923" i="1"/>
  <c r="S922" i="1"/>
  <c r="R922" i="1"/>
  <c r="Q922" i="1"/>
  <c r="P922" i="1"/>
  <c r="O922" i="1"/>
  <c r="N922" i="1"/>
  <c r="M922" i="1"/>
  <c r="K922" i="1"/>
  <c r="L922" i="1" s="1"/>
  <c r="S921" i="1"/>
  <c r="R921" i="1"/>
  <c r="Q921" i="1"/>
  <c r="P921" i="1"/>
  <c r="O921" i="1"/>
  <c r="N921" i="1"/>
  <c r="M921" i="1"/>
  <c r="L921" i="1"/>
  <c r="K921" i="1"/>
  <c r="S920" i="1"/>
  <c r="R920" i="1"/>
  <c r="Q920" i="1"/>
  <c r="P920" i="1"/>
  <c r="O920" i="1"/>
  <c r="N920" i="1"/>
  <c r="M920" i="1"/>
  <c r="K920" i="1"/>
  <c r="L920" i="1" s="1"/>
  <c r="S919" i="1"/>
  <c r="R919" i="1"/>
  <c r="Q919" i="1"/>
  <c r="P919" i="1"/>
  <c r="O919" i="1"/>
  <c r="N919" i="1"/>
  <c r="M919" i="1"/>
  <c r="L919" i="1"/>
  <c r="K919" i="1"/>
  <c r="S918" i="1"/>
  <c r="R918" i="1"/>
  <c r="Q918" i="1"/>
  <c r="P918" i="1"/>
  <c r="O918" i="1"/>
  <c r="N918" i="1"/>
  <c r="M918" i="1"/>
  <c r="K918" i="1"/>
  <c r="L918" i="1" s="1"/>
  <c r="S917" i="1"/>
  <c r="R917" i="1"/>
  <c r="Q917" i="1"/>
  <c r="P917" i="1"/>
  <c r="O917" i="1"/>
  <c r="N917" i="1"/>
  <c r="M917" i="1"/>
  <c r="L917" i="1"/>
  <c r="K917" i="1"/>
  <c r="S916" i="1"/>
  <c r="R916" i="1"/>
  <c r="Q916" i="1"/>
  <c r="P916" i="1"/>
  <c r="O916" i="1"/>
  <c r="N916" i="1"/>
  <c r="M916" i="1"/>
  <c r="K916" i="1"/>
  <c r="L916" i="1" s="1"/>
  <c r="S915" i="1"/>
  <c r="R915" i="1"/>
  <c r="Q915" i="1"/>
  <c r="P915" i="1"/>
  <c r="O915" i="1"/>
  <c r="N915" i="1"/>
  <c r="M915" i="1"/>
  <c r="L915" i="1"/>
  <c r="K915" i="1"/>
  <c r="S914" i="1"/>
  <c r="R914" i="1"/>
  <c r="Q914" i="1"/>
  <c r="P914" i="1"/>
  <c r="O914" i="1"/>
  <c r="N914" i="1"/>
  <c r="M914" i="1"/>
  <c r="K914" i="1"/>
  <c r="L914" i="1" s="1"/>
  <c r="S913" i="1"/>
  <c r="R913" i="1"/>
  <c r="Q913" i="1"/>
  <c r="P913" i="1"/>
  <c r="O913" i="1"/>
  <c r="N913" i="1"/>
  <c r="M913" i="1"/>
  <c r="L913" i="1"/>
  <c r="K913" i="1"/>
  <c r="S912" i="1"/>
  <c r="R912" i="1"/>
  <c r="Q912" i="1"/>
  <c r="P912" i="1"/>
  <c r="O912" i="1"/>
  <c r="N912" i="1"/>
  <c r="M912" i="1"/>
  <c r="K912" i="1"/>
  <c r="L912" i="1" s="1"/>
  <c r="S911" i="1"/>
  <c r="R911" i="1"/>
  <c r="Q911" i="1"/>
  <c r="P911" i="1"/>
  <c r="O911" i="1"/>
  <c r="N911" i="1"/>
  <c r="M911" i="1"/>
  <c r="L911" i="1"/>
  <c r="K911" i="1"/>
  <c r="S910" i="1"/>
  <c r="R910" i="1"/>
  <c r="Q910" i="1"/>
  <c r="P910" i="1"/>
  <c r="O910" i="1"/>
  <c r="N910" i="1"/>
  <c r="M910" i="1"/>
  <c r="K910" i="1"/>
  <c r="L910" i="1" s="1"/>
  <c r="S909" i="1"/>
  <c r="R909" i="1"/>
  <c r="Q909" i="1"/>
  <c r="P909" i="1"/>
  <c r="O909" i="1"/>
  <c r="N909" i="1"/>
  <c r="M909" i="1"/>
  <c r="L909" i="1"/>
  <c r="K909" i="1"/>
  <c r="S908" i="1"/>
  <c r="R908" i="1"/>
  <c r="Q908" i="1"/>
  <c r="P908" i="1"/>
  <c r="O908" i="1"/>
  <c r="N908" i="1"/>
  <c r="M908" i="1"/>
  <c r="K908" i="1"/>
  <c r="L908" i="1" s="1"/>
  <c r="S907" i="1"/>
  <c r="R907" i="1"/>
  <c r="Q907" i="1"/>
  <c r="P907" i="1"/>
  <c r="O907" i="1"/>
  <c r="N907" i="1"/>
  <c r="M907" i="1"/>
  <c r="L907" i="1"/>
  <c r="K907" i="1"/>
  <c r="S906" i="1"/>
  <c r="R906" i="1"/>
  <c r="Q906" i="1"/>
  <c r="P906" i="1"/>
  <c r="O906" i="1"/>
  <c r="N906" i="1"/>
  <c r="M906" i="1"/>
  <c r="K906" i="1"/>
  <c r="L906" i="1" s="1"/>
  <c r="S905" i="1"/>
  <c r="R905" i="1"/>
  <c r="Q905" i="1"/>
  <c r="P905" i="1"/>
  <c r="O905" i="1"/>
  <c r="N905" i="1"/>
  <c r="M905" i="1"/>
  <c r="L905" i="1"/>
  <c r="K905" i="1"/>
  <c r="S904" i="1"/>
  <c r="R904" i="1"/>
  <c r="Q904" i="1"/>
  <c r="P904" i="1"/>
  <c r="O904" i="1"/>
  <c r="N904" i="1"/>
  <c r="M904" i="1"/>
  <c r="K904" i="1"/>
  <c r="L904" i="1" s="1"/>
  <c r="S903" i="1"/>
  <c r="R903" i="1"/>
  <c r="Q903" i="1"/>
  <c r="P903" i="1"/>
  <c r="O903" i="1"/>
  <c r="N903" i="1"/>
  <c r="M903" i="1"/>
  <c r="L903" i="1"/>
  <c r="K903" i="1"/>
  <c r="S902" i="1"/>
  <c r="R902" i="1"/>
  <c r="Q902" i="1"/>
  <c r="P902" i="1"/>
  <c r="O902" i="1"/>
  <c r="N902" i="1"/>
  <c r="M902" i="1"/>
  <c r="K902" i="1"/>
  <c r="L902" i="1" s="1"/>
  <c r="S901" i="1"/>
  <c r="R901" i="1"/>
  <c r="Q901" i="1"/>
  <c r="P901" i="1"/>
  <c r="O901" i="1"/>
  <c r="N901" i="1"/>
  <c r="M901" i="1"/>
  <c r="L901" i="1"/>
  <c r="K901" i="1"/>
  <c r="S900" i="1"/>
  <c r="R900" i="1"/>
  <c r="Q900" i="1"/>
  <c r="P900" i="1"/>
  <c r="O900" i="1"/>
  <c r="N900" i="1"/>
  <c r="M900" i="1"/>
  <c r="K900" i="1"/>
  <c r="L900" i="1" s="1"/>
  <c r="S899" i="1"/>
  <c r="R899" i="1"/>
  <c r="Q899" i="1"/>
  <c r="P899" i="1"/>
  <c r="O899" i="1"/>
  <c r="N899" i="1"/>
  <c r="M899" i="1"/>
  <c r="L899" i="1"/>
  <c r="K899" i="1"/>
  <c r="S898" i="1"/>
  <c r="R898" i="1"/>
  <c r="Q898" i="1"/>
  <c r="P898" i="1"/>
  <c r="O898" i="1"/>
  <c r="N898" i="1"/>
  <c r="M898" i="1"/>
  <c r="K898" i="1"/>
  <c r="L898" i="1" s="1"/>
  <c r="S897" i="1"/>
  <c r="R897" i="1"/>
  <c r="Q897" i="1"/>
  <c r="P897" i="1"/>
  <c r="O897" i="1"/>
  <c r="N897" i="1"/>
  <c r="M897" i="1"/>
  <c r="L897" i="1"/>
  <c r="K897" i="1"/>
  <c r="S896" i="1"/>
  <c r="R896" i="1"/>
  <c r="Q896" i="1"/>
  <c r="P896" i="1"/>
  <c r="O896" i="1"/>
  <c r="N896" i="1"/>
  <c r="M896" i="1"/>
  <c r="K896" i="1"/>
  <c r="L896" i="1" s="1"/>
  <c r="S895" i="1"/>
  <c r="R895" i="1"/>
  <c r="Q895" i="1"/>
  <c r="P895" i="1"/>
  <c r="O895" i="1"/>
  <c r="N895" i="1"/>
  <c r="M895" i="1"/>
  <c r="L895" i="1"/>
  <c r="K895" i="1"/>
  <c r="S894" i="1"/>
  <c r="R894" i="1"/>
  <c r="Q894" i="1"/>
  <c r="P894" i="1"/>
  <c r="O894" i="1"/>
  <c r="N894" i="1"/>
  <c r="M894" i="1"/>
  <c r="K894" i="1"/>
  <c r="L894" i="1" s="1"/>
  <c r="S893" i="1"/>
  <c r="R893" i="1"/>
  <c r="Q893" i="1"/>
  <c r="P893" i="1"/>
  <c r="O893" i="1"/>
  <c r="N893" i="1"/>
  <c r="M893" i="1"/>
  <c r="L893" i="1"/>
  <c r="K893" i="1"/>
  <c r="S892" i="1"/>
  <c r="R892" i="1"/>
  <c r="Q892" i="1"/>
  <c r="P892" i="1"/>
  <c r="O892" i="1"/>
  <c r="N892" i="1"/>
  <c r="M892" i="1"/>
  <c r="K892" i="1"/>
  <c r="L892" i="1" s="1"/>
  <c r="S891" i="1"/>
  <c r="R891" i="1"/>
  <c r="Q891" i="1"/>
  <c r="P891" i="1"/>
  <c r="O891" i="1"/>
  <c r="N891" i="1"/>
  <c r="M891" i="1"/>
  <c r="L891" i="1"/>
  <c r="K891" i="1"/>
  <c r="S890" i="1"/>
  <c r="R890" i="1"/>
  <c r="Q890" i="1"/>
  <c r="P890" i="1"/>
  <c r="O890" i="1"/>
  <c r="N890" i="1"/>
  <c r="M890" i="1"/>
  <c r="K890" i="1"/>
  <c r="L890" i="1" s="1"/>
  <c r="S889" i="1"/>
  <c r="R889" i="1"/>
  <c r="Q889" i="1"/>
  <c r="P889" i="1"/>
  <c r="O889" i="1"/>
  <c r="N889" i="1"/>
  <c r="M889" i="1"/>
  <c r="L889" i="1"/>
  <c r="K889" i="1"/>
  <c r="S888" i="1"/>
  <c r="R888" i="1"/>
  <c r="Q888" i="1"/>
  <c r="P888" i="1"/>
  <c r="O888" i="1"/>
  <c r="N888" i="1"/>
  <c r="M888" i="1"/>
  <c r="K888" i="1"/>
  <c r="L888" i="1" s="1"/>
  <c r="S887" i="1"/>
  <c r="R887" i="1"/>
  <c r="Q887" i="1"/>
  <c r="P887" i="1"/>
  <c r="O887" i="1"/>
  <c r="N887" i="1"/>
  <c r="M887" i="1"/>
  <c r="L887" i="1"/>
  <c r="K887" i="1"/>
  <c r="S886" i="1"/>
  <c r="R886" i="1"/>
  <c r="Q886" i="1"/>
  <c r="P886" i="1"/>
  <c r="O886" i="1"/>
  <c r="N886" i="1"/>
  <c r="M886" i="1"/>
  <c r="K886" i="1"/>
  <c r="L886" i="1" s="1"/>
  <c r="S885" i="1"/>
  <c r="R885" i="1"/>
  <c r="Q885" i="1"/>
  <c r="P885" i="1"/>
  <c r="O885" i="1"/>
  <c r="N885" i="1"/>
  <c r="M885" i="1"/>
  <c r="L885" i="1"/>
  <c r="K885" i="1"/>
  <c r="S884" i="1"/>
  <c r="R884" i="1"/>
  <c r="Q884" i="1"/>
  <c r="P884" i="1"/>
  <c r="O884" i="1"/>
  <c r="N884" i="1"/>
  <c r="M884" i="1"/>
  <c r="K884" i="1"/>
  <c r="L884" i="1" s="1"/>
  <c r="S883" i="1"/>
  <c r="R883" i="1"/>
  <c r="Q883" i="1"/>
  <c r="P883" i="1"/>
  <c r="O883" i="1"/>
  <c r="N883" i="1"/>
  <c r="M883" i="1"/>
  <c r="L883" i="1"/>
  <c r="K883" i="1"/>
  <c r="S882" i="1"/>
  <c r="R882" i="1"/>
  <c r="Q882" i="1"/>
  <c r="P882" i="1"/>
  <c r="O882" i="1"/>
  <c r="N882" i="1"/>
  <c r="M882" i="1"/>
  <c r="K882" i="1"/>
  <c r="L882" i="1" s="1"/>
  <c r="S881" i="1"/>
  <c r="R881" i="1"/>
  <c r="Q881" i="1"/>
  <c r="P881" i="1"/>
  <c r="O881" i="1"/>
  <c r="N881" i="1"/>
  <c r="M881" i="1"/>
  <c r="L881" i="1"/>
  <c r="K881" i="1"/>
  <c r="S880" i="1"/>
  <c r="R880" i="1"/>
  <c r="Q880" i="1"/>
  <c r="P880" i="1"/>
  <c r="O880" i="1"/>
  <c r="N880" i="1"/>
  <c r="M880" i="1"/>
  <c r="K880" i="1"/>
  <c r="L880" i="1" s="1"/>
  <c r="S879" i="1"/>
  <c r="R879" i="1"/>
  <c r="Q879" i="1"/>
  <c r="P879" i="1"/>
  <c r="O879" i="1"/>
  <c r="N879" i="1"/>
  <c r="M879" i="1"/>
  <c r="L879" i="1"/>
  <c r="K879" i="1"/>
  <c r="S878" i="1"/>
  <c r="R878" i="1"/>
  <c r="Q878" i="1"/>
  <c r="P878" i="1"/>
  <c r="O878" i="1"/>
  <c r="N878" i="1"/>
  <c r="M878" i="1"/>
  <c r="K878" i="1"/>
  <c r="L878" i="1" s="1"/>
  <c r="S877" i="1"/>
  <c r="R877" i="1"/>
  <c r="Q877" i="1"/>
  <c r="P877" i="1"/>
  <c r="O877" i="1"/>
  <c r="N877" i="1"/>
  <c r="M877" i="1"/>
  <c r="L877" i="1"/>
  <c r="K877" i="1"/>
  <c r="S876" i="1"/>
  <c r="R876" i="1"/>
  <c r="Q876" i="1"/>
  <c r="P876" i="1"/>
  <c r="O876" i="1"/>
  <c r="N876" i="1"/>
  <c r="M876" i="1"/>
  <c r="K876" i="1"/>
  <c r="L876" i="1" s="1"/>
  <c r="S875" i="1"/>
  <c r="R875" i="1"/>
  <c r="Q875" i="1"/>
  <c r="P875" i="1"/>
  <c r="O875" i="1"/>
  <c r="N875" i="1"/>
  <c r="M875" i="1"/>
  <c r="L875" i="1"/>
  <c r="K875" i="1"/>
  <c r="S874" i="1"/>
  <c r="R874" i="1"/>
  <c r="Q874" i="1"/>
  <c r="P874" i="1"/>
  <c r="O874" i="1"/>
  <c r="N874" i="1"/>
  <c r="M874" i="1"/>
  <c r="K874" i="1"/>
  <c r="L874" i="1" s="1"/>
  <c r="S873" i="1"/>
  <c r="R873" i="1"/>
  <c r="Q873" i="1"/>
  <c r="P873" i="1"/>
  <c r="O873" i="1"/>
  <c r="N873" i="1"/>
  <c r="M873" i="1"/>
  <c r="L873" i="1"/>
  <c r="K873" i="1"/>
  <c r="S872" i="1"/>
  <c r="R872" i="1"/>
  <c r="Q872" i="1"/>
  <c r="P872" i="1"/>
  <c r="O872" i="1"/>
  <c r="N872" i="1"/>
  <c r="M872" i="1"/>
  <c r="K872" i="1"/>
  <c r="L872" i="1" s="1"/>
  <c r="S871" i="1"/>
  <c r="R871" i="1"/>
  <c r="Q871" i="1"/>
  <c r="P871" i="1"/>
  <c r="O871" i="1"/>
  <c r="N871" i="1"/>
  <c r="M871" i="1"/>
  <c r="L871" i="1"/>
  <c r="K871" i="1"/>
  <c r="S870" i="1"/>
  <c r="R870" i="1"/>
  <c r="Q870" i="1"/>
  <c r="P870" i="1"/>
  <c r="O870" i="1"/>
  <c r="N870" i="1"/>
  <c r="M870" i="1"/>
  <c r="K870" i="1"/>
  <c r="L870" i="1" s="1"/>
  <c r="S869" i="1"/>
  <c r="R869" i="1"/>
  <c r="Q869" i="1"/>
  <c r="P869" i="1"/>
  <c r="O869" i="1"/>
  <c r="N869" i="1"/>
  <c r="M869" i="1"/>
  <c r="L869" i="1"/>
  <c r="K869" i="1"/>
  <c r="S868" i="1"/>
  <c r="R868" i="1"/>
  <c r="Q868" i="1"/>
  <c r="P868" i="1"/>
  <c r="O868" i="1"/>
  <c r="N868" i="1"/>
  <c r="M868" i="1"/>
  <c r="K868" i="1"/>
  <c r="L868" i="1" s="1"/>
  <c r="S867" i="1"/>
  <c r="R867" i="1"/>
  <c r="Q867" i="1"/>
  <c r="P867" i="1"/>
  <c r="O867" i="1"/>
  <c r="N867" i="1"/>
  <c r="M867" i="1"/>
  <c r="L867" i="1"/>
  <c r="K867" i="1"/>
  <c r="S866" i="1"/>
  <c r="R866" i="1"/>
  <c r="Q866" i="1"/>
  <c r="P866" i="1"/>
  <c r="O866" i="1"/>
  <c r="N866" i="1"/>
  <c r="M866" i="1"/>
  <c r="K866" i="1"/>
  <c r="L866" i="1" s="1"/>
  <c r="S865" i="1"/>
  <c r="R865" i="1"/>
  <c r="Q865" i="1"/>
  <c r="P865" i="1"/>
  <c r="O865" i="1"/>
  <c r="N865" i="1"/>
  <c r="M865" i="1"/>
  <c r="L865" i="1"/>
  <c r="K865" i="1"/>
  <c r="S864" i="1"/>
  <c r="R864" i="1"/>
  <c r="Q864" i="1"/>
  <c r="P864" i="1"/>
  <c r="O864" i="1"/>
  <c r="N864" i="1"/>
  <c r="M864" i="1"/>
  <c r="K864" i="1"/>
  <c r="L864" i="1" s="1"/>
  <c r="S863" i="1"/>
  <c r="R863" i="1"/>
  <c r="Q863" i="1"/>
  <c r="P863" i="1"/>
  <c r="O863" i="1"/>
  <c r="N863" i="1"/>
  <c r="M863" i="1"/>
  <c r="L863" i="1"/>
  <c r="K863" i="1"/>
  <c r="S862" i="1"/>
  <c r="R862" i="1"/>
  <c r="Q862" i="1"/>
  <c r="P862" i="1"/>
  <c r="O862" i="1"/>
  <c r="N862" i="1"/>
  <c r="M862" i="1"/>
  <c r="K862" i="1"/>
  <c r="L862" i="1" s="1"/>
  <c r="S861" i="1"/>
  <c r="R861" i="1"/>
  <c r="Q861" i="1"/>
  <c r="P861" i="1"/>
  <c r="O861" i="1"/>
  <c r="N861" i="1"/>
  <c r="M861" i="1"/>
  <c r="L861" i="1"/>
  <c r="K861" i="1"/>
  <c r="S860" i="1"/>
  <c r="R860" i="1"/>
  <c r="Q860" i="1"/>
  <c r="P860" i="1"/>
  <c r="O860" i="1"/>
  <c r="N860" i="1"/>
  <c r="M860" i="1"/>
  <c r="K860" i="1"/>
  <c r="L860" i="1" s="1"/>
  <c r="S859" i="1"/>
  <c r="R859" i="1"/>
  <c r="Q859" i="1"/>
  <c r="P859" i="1"/>
  <c r="O859" i="1"/>
  <c r="N859" i="1"/>
  <c r="M859" i="1"/>
  <c r="L859" i="1"/>
  <c r="K859" i="1"/>
  <c r="S858" i="1"/>
  <c r="R858" i="1"/>
  <c r="Q858" i="1"/>
  <c r="P858" i="1"/>
  <c r="O858" i="1"/>
  <c r="N858" i="1"/>
  <c r="M858" i="1"/>
  <c r="K858" i="1"/>
  <c r="L858" i="1" s="1"/>
  <c r="S857" i="1"/>
  <c r="R857" i="1"/>
  <c r="Q857" i="1"/>
  <c r="P857" i="1"/>
  <c r="O857" i="1"/>
  <c r="N857" i="1"/>
  <c r="M857" i="1"/>
  <c r="L857" i="1"/>
  <c r="K857" i="1"/>
  <c r="S856" i="1"/>
  <c r="R856" i="1"/>
  <c r="Q856" i="1"/>
  <c r="P856" i="1"/>
  <c r="O856" i="1"/>
  <c r="N856" i="1"/>
  <c r="M856" i="1"/>
  <c r="K856" i="1"/>
  <c r="L856" i="1" s="1"/>
  <c r="S855" i="1"/>
  <c r="R855" i="1"/>
  <c r="Q855" i="1"/>
  <c r="P855" i="1"/>
  <c r="O855" i="1"/>
  <c r="N855" i="1"/>
  <c r="M855" i="1"/>
  <c r="L855" i="1"/>
  <c r="K855" i="1"/>
  <c r="S854" i="1"/>
  <c r="R854" i="1"/>
  <c r="Q854" i="1"/>
  <c r="P854" i="1"/>
  <c r="O854" i="1"/>
  <c r="N854" i="1"/>
  <c r="M854" i="1"/>
  <c r="K854" i="1"/>
  <c r="L854" i="1" s="1"/>
  <c r="S853" i="1"/>
  <c r="R853" i="1"/>
  <c r="Q853" i="1"/>
  <c r="P853" i="1"/>
  <c r="O853" i="1"/>
  <c r="N853" i="1"/>
  <c r="M853" i="1"/>
  <c r="L853" i="1"/>
  <c r="K853" i="1"/>
  <c r="S852" i="1"/>
  <c r="R852" i="1"/>
  <c r="Q852" i="1"/>
  <c r="P852" i="1"/>
  <c r="O852" i="1"/>
  <c r="N852" i="1"/>
  <c r="M852" i="1"/>
  <c r="K852" i="1"/>
  <c r="L852" i="1" s="1"/>
  <c r="S851" i="1"/>
  <c r="R851" i="1"/>
  <c r="Q851" i="1"/>
  <c r="P851" i="1"/>
  <c r="O851" i="1"/>
  <c r="N851" i="1"/>
  <c r="M851" i="1"/>
  <c r="L851" i="1"/>
  <c r="K851" i="1"/>
  <c r="S850" i="1"/>
  <c r="R850" i="1"/>
  <c r="Q850" i="1"/>
  <c r="P850" i="1"/>
  <c r="O850" i="1"/>
  <c r="N850" i="1"/>
  <c r="M850" i="1"/>
  <c r="K850" i="1"/>
  <c r="L850" i="1" s="1"/>
  <c r="S849" i="1"/>
  <c r="R849" i="1"/>
  <c r="Q849" i="1"/>
  <c r="P849" i="1"/>
  <c r="O849" i="1"/>
  <c r="N849" i="1"/>
  <c r="M849" i="1"/>
  <c r="L849" i="1"/>
  <c r="K849" i="1"/>
  <c r="S848" i="1"/>
  <c r="R848" i="1"/>
  <c r="Q848" i="1"/>
  <c r="P848" i="1"/>
  <c r="O848" i="1"/>
  <c r="N848" i="1"/>
  <c r="M848" i="1"/>
  <c r="K848" i="1"/>
  <c r="L848" i="1" s="1"/>
  <c r="S847" i="1"/>
  <c r="R847" i="1"/>
  <c r="Q847" i="1"/>
  <c r="P847" i="1"/>
  <c r="O847" i="1"/>
  <c r="N847" i="1"/>
  <c r="M847" i="1"/>
  <c r="L847" i="1"/>
  <c r="K847" i="1"/>
  <c r="S846" i="1"/>
  <c r="R846" i="1"/>
  <c r="Q846" i="1"/>
  <c r="P846" i="1"/>
  <c r="O846" i="1"/>
  <c r="N846" i="1"/>
  <c r="M846" i="1"/>
  <c r="K846" i="1"/>
  <c r="L846" i="1" s="1"/>
  <c r="S845" i="1"/>
  <c r="R845" i="1"/>
  <c r="Q845" i="1"/>
  <c r="P845" i="1"/>
  <c r="O845" i="1"/>
  <c r="N845" i="1"/>
  <c r="M845" i="1"/>
  <c r="L845" i="1"/>
  <c r="K845" i="1"/>
  <c r="S844" i="1"/>
  <c r="R844" i="1"/>
  <c r="Q844" i="1"/>
  <c r="P844" i="1"/>
  <c r="O844" i="1"/>
  <c r="N844" i="1"/>
  <c r="M844" i="1"/>
  <c r="K844" i="1"/>
  <c r="L844" i="1" s="1"/>
  <c r="S843" i="1"/>
  <c r="R843" i="1"/>
  <c r="Q843" i="1"/>
  <c r="P843" i="1"/>
  <c r="O843" i="1"/>
  <c r="N843" i="1"/>
  <c r="M843" i="1"/>
  <c r="L843" i="1"/>
  <c r="K843" i="1"/>
  <c r="S842" i="1"/>
  <c r="R842" i="1"/>
  <c r="Q842" i="1"/>
  <c r="P842" i="1"/>
  <c r="O842" i="1"/>
  <c r="N842" i="1"/>
  <c r="M842" i="1"/>
  <c r="K842" i="1"/>
  <c r="L842" i="1" s="1"/>
  <c r="S841" i="1"/>
  <c r="R841" i="1"/>
  <c r="Q841" i="1"/>
  <c r="P841" i="1"/>
  <c r="O841" i="1"/>
  <c r="N841" i="1"/>
  <c r="M841" i="1"/>
  <c r="L841" i="1"/>
  <c r="K841" i="1"/>
  <c r="S840" i="1"/>
  <c r="R840" i="1"/>
  <c r="Q840" i="1"/>
  <c r="P840" i="1"/>
  <c r="O840" i="1"/>
  <c r="N840" i="1"/>
  <c r="M840" i="1"/>
  <c r="K840" i="1"/>
  <c r="L840" i="1" s="1"/>
  <c r="S839" i="1"/>
  <c r="R839" i="1"/>
  <c r="Q839" i="1"/>
  <c r="P839" i="1"/>
  <c r="O839" i="1"/>
  <c r="N839" i="1"/>
  <c r="M839" i="1"/>
  <c r="L839" i="1"/>
  <c r="K839" i="1"/>
  <c r="S838" i="1"/>
  <c r="R838" i="1"/>
  <c r="Q838" i="1"/>
  <c r="P838" i="1"/>
  <c r="O838" i="1"/>
  <c r="N838" i="1"/>
  <c r="M838" i="1"/>
  <c r="K838" i="1"/>
  <c r="L838" i="1" s="1"/>
  <c r="S837" i="1"/>
  <c r="R837" i="1"/>
  <c r="Q837" i="1"/>
  <c r="P837" i="1"/>
  <c r="O837" i="1"/>
  <c r="N837" i="1"/>
  <c r="M837" i="1"/>
  <c r="L837" i="1"/>
  <c r="K837" i="1"/>
  <c r="S836" i="1"/>
  <c r="R836" i="1"/>
  <c r="Q836" i="1"/>
  <c r="P836" i="1"/>
  <c r="O836" i="1"/>
  <c r="N836" i="1"/>
  <c r="M836" i="1"/>
  <c r="K836" i="1"/>
  <c r="L836" i="1" s="1"/>
  <c r="S835" i="1"/>
  <c r="R835" i="1"/>
  <c r="Q835" i="1"/>
  <c r="P835" i="1"/>
  <c r="O835" i="1"/>
  <c r="N835" i="1"/>
  <c r="M835" i="1"/>
  <c r="L835" i="1"/>
  <c r="K835" i="1"/>
  <c r="S834" i="1"/>
  <c r="R834" i="1"/>
  <c r="Q834" i="1"/>
  <c r="P834" i="1"/>
  <c r="O834" i="1"/>
  <c r="N834" i="1"/>
  <c r="M834" i="1"/>
  <c r="K834" i="1"/>
  <c r="L834" i="1" s="1"/>
  <c r="S833" i="1"/>
  <c r="R833" i="1"/>
  <c r="Q833" i="1"/>
  <c r="P833" i="1"/>
  <c r="O833" i="1"/>
  <c r="N833" i="1"/>
  <c r="M833" i="1"/>
  <c r="L833" i="1"/>
  <c r="K833" i="1"/>
  <c r="S832" i="1"/>
  <c r="R832" i="1"/>
  <c r="Q832" i="1"/>
  <c r="P832" i="1"/>
  <c r="O832" i="1"/>
  <c r="N832" i="1"/>
  <c r="M832" i="1"/>
  <c r="K832" i="1"/>
  <c r="L832" i="1" s="1"/>
  <c r="S831" i="1"/>
  <c r="R831" i="1"/>
  <c r="Q831" i="1"/>
  <c r="P831" i="1"/>
  <c r="O831" i="1"/>
  <c r="N831" i="1"/>
  <c r="M831" i="1"/>
  <c r="L831" i="1"/>
  <c r="K831" i="1"/>
  <c r="S830" i="1"/>
  <c r="R830" i="1"/>
  <c r="Q830" i="1"/>
  <c r="P830" i="1"/>
  <c r="O830" i="1"/>
  <c r="N830" i="1"/>
  <c r="M830" i="1"/>
  <c r="K830" i="1"/>
  <c r="L830" i="1" s="1"/>
  <c r="S829" i="1"/>
  <c r="R829" i="1"/>
  <c r="Q829" i="1"/>
  <c r="P829" i="1"/>
  <c r="O829" i="1"/>
  <c r="N829" i="1"/>
  <c r="M829" i="1"/>
  <c r="L829" i="1"/>
  <c r="K829" i="1"/>
  <c r="S828" i="1"/>
  <c r="R828" i="1"/>
  <c r="Q828" i="1"/>
  <c r="P828" i="1"/>
  <c r="O828" i="1"/>
  <c r="N828" i="1"/>
  <c r="M828" i="1"/>
  <c r="K828" i="1"/>
  <c r="L828" i="1" s="1"/>
  <c r="S827" i="1"/>
  <c r="R827" i="1"/>
  <c r="Q827" i="1"/>
  <c r="P827" i="1"/>
  <c r="O827" i="1"/>
  <c r="N827" i="1"/>
  <c r="M827" i="1"/>
  <c r="L827" i="1"/>
  <c r="K827" i="1"/>
  <c r="S826" i="1"/>
  <c r="R826" i="1"/>
  <c r="Q826" i="1"/>
  <c r="P826" i="1"/>
  <c r="O826" i="1"/>
  <c r="N826" i="1"/>
  <c r="M826" i="1"/>
  <c r="K826" i="1"/>
  <c r="L826" i="1" s="1"/>
  <c r="S825" i="1"/>
  <c r="R825" i="1"/>
  <c r="Q825" i="1"/>
  <c r="P825" i="1"/>
  <c r="O825" i="1"/>
  <c r="N825" i="1"/>
  <c r="M825" i="1"/>
  <c r="L825" i="1"/>
  <c r="K825" i="1"/>
  <c r="S824" i="1"/>
  <c r="R824" i="1"/>
  <c r="Q824" i="1"/>
  <c r="P824" i="1"/>
  <c r="O824" i="1"/>
  <c r="N824" i="1"/>
  <c r="M824" i="1"/>
  <c r="K824" i="1"/>
  <c r="L824" i="1" s="1"/>
  <c r="S823" i="1"/>
  <c r="R823" i="1"/>
  <c r="Q823" i="1"/>
  <c r="P823" i="1"/>
  <c r="O823" i="1"/>
  <c r="N823" i="1"/>
  <c r="M823" i="1"/>
  <c r="L823" i="1"/>
  <c r="K823" i="1"/>
  <c r="S822" i="1"/>
  <c r="R822" i="1"/>
  <c r="Q822" i="1"/>
  <c r="P822" i="1"/>
  <c r="O822" i="1"/>
  <c r="N822" i="1"/>
  <c r="M822" i="1"/>
  <c r="K822" i="1"/>
  <c r="L822" i="1" s="1"/>
  <c r="S821" i="1"/>
  <c r="R821" i="1"/>
  <c r="Q821" i="1"/>
  <c r="P821" i="1"/>
  <c r="O821" i="1"/>
  <c r="N821" i="1"/>
  <c r="M821" i="1"/>
  <c r="L821" i="1"/>
  <c r="K821" i="1"/>
  <c r="S820" i="1"/>
  <c r="R820" i="1"/>
  <c r="Q820" i="1"/>
  <c r="P820" i="1"/>
  <c r="O820" i="1"/>
  <c r="N820" i="1"/>
  <c r="M820" i="1"/>
  <c r="K820" i="1"/>
  <c r="L820" i="1" s="1"/>
  <c r="S819" i="1"/>
  <c r="R819" i="1"/>
  <c r="Q819" i="1"/>
  <c r="P819" i="1"/>
  <c r="O819" i="1"/>
  <c r="N819" i="1"/>
  <c r="M819" i="1"/>
  <c r="L819" i="1"/>
  <c r="K819" i="1"/>
  <c r="S818" i="1"/>
  <c r="R818" i="1"/>
  <c r="Q818" i="1"/>
  <c r="P818" i="1"/>
  <c r="O818" i="1"/>
  <c r="N818" i="1"/>
  <c r="M818" i="1"/>
  <c r="K818" i="1"/>
  <c r="L818" i="1" s="1"/>
  <c r="S817" i="1"/>
  <c r="R817" i="1"/>
  <c r="Q817" i="1"/>
  <c r="P817" i="1"/>
  <c r="O817" i="1"/>
  <c r="N817" i="1"/>
  <c r="M817" i="1"/>
  <c r="L817" i="1"/>
  <c r="K817" i="1"/>
  <c r="S816" i="1"/>
  <c r="R816" i="1"/>
  <c r="Q816" i="1"/>
  <c r="P816" i="1"/>
  <c r="O816" i="1"/>
  <c r="N816" i="1"/>
  <c r="M816" i="1"/>
  <c r="K816" i="1"/>
  <c r="L816" i="1" s="1"/>
  <c r="S815" i="1"/>
  <c r="R815" i="1"/>
  <c r="Q815" i="1"/>
  <c r="P815" i="1"/>
  <c r="O815" i="1"/>
  <c r="N815" i="1"/>
  <c r="M815" i="1"/>
  <c r="L815" i="1"/>
  <c r="K815" i="1"/>
  <c r="S814" i="1"/>
  <c r="R814" i="1"/>
  <c r="Q814" i="1"/>
  <c r="P814" i="1"/>
  <c r="O814" i="1"/>
  <c r="N814" i="1"/>
  <c r="M814" i="1"/>
  <c r="K814" i="1"/>
  <c r="L814" i="1" s="1"/>
  <c r="S813" i="1"/>
  <c r="R813" i="1"/>
  <c r="Q813" i="1"/>
  <c r="P813" i="1"/>
  <c r="O813" i="1"/>
  <c r="N813" i="1"/>
  <c r="M813" i="1"/>
  <c r="L813" i="1"/>
  <c r="K813" i="1"/>
  <c r="S812" i="1"/>
  <c r="R812" i="1"/>
  <c r="Q812" i="1"/>
  <c r="P812" i="1"/>
  <c r="O812" i="1"/>
  <c r="N812" i="1"/>
  <c r="M812" i="1"/>
  <c r="K812" i="1"/>
  <c r="L812" i="1" s="1"/>
  <c r="S811" i="1"/>
  <c r="R811" i="1"/>
  <c r="Q811" i="1"/>
  <c r="P811" i="1"/>
  <c r="O811" i="1"/>
  <c r="N811" i="1"/>
  <c r="M811" i="1"/>
  <c r="L811" i="1"/>
  <c r="K811" i="1"/>
  <c r="S810" i="1"/>
  <c r="R810" i="1"/>
  <c r="Q810" i="1"/>
  <c r="P810" i="1"/>
  <c r="O810" i="1"/>
  <c r="N810" i="1"/>
  <c r="M810" i="1"/>
  <c r="K810" i="1"/>
  <c r="L810" i="1" s="1"/>
  <c r="S809" i="1"/>
  <c r="R809" i="1"/>
  <c r="Q809" i="1"/>
  <c r="P809" i="1"/>
  <c r="O809" i="1"/>
  <c r="N809" i="1"/>
  <c r="M809" i="1"/>
  <c r="L809" i="1"/>
  <c r="K809" i="1"/>
  <c r="S808" i="1"/>
  <c r="R808" i="1"/>
  <c r="Q808" i="1"/>
  <c r="P808" i="1"/>
  <c r="O808" i="1"/>
  <c r="N808" i="1"/>
  <c r="M808" i="1"/>
  <c r="K808" i="1"/>
  <c r="L808" i="1" s="1"/>
  <c r="S807" i="1"/>
  <c r="R807" i="1"/>
  <c r="Q807" i="1"/>
  <c r="P807" i="1"/>
  <c r="O807" i="1"/>
  <c r="N807" i="1"/>
  <c r="M807" i="1"/>
  <c r="L807" i="1"/>
  <c r="K807" i="1"/>
  <c r="S806" i="1"/>
  <c r="R806" i="1"/>
  <c r="Q806" i="1"/>
  <c r="P806" i="1"/>
  <c r="O806" i="1"/>
  <c r="N806" i="1"/>
  <c r="M806" i="1"/>
  <c r="K806" i="1"/>
  <c r="L806" i="1" s="1"/>
  <c r="S805" i="1"/>
  <c r="R805" i="1"/>
  <c r="Q805" i="1"/>
  <c r="P805" i="1"/>
  <c r="O805" i="1"/>
  <c r="N805" i="1"/>
  <c r="M805" i="1"/>
  <c r="L805" i="1"/>
  <c r="K805" i="1"/>
  <c r="S804" i="1"/>
  <c r="R804" i="1"/>
  <c r="Q804" i="1"/>
  <c r="P804" i="1"/>
  <c r="O804" i="1"/>
  <c r="N804" i="1"/>
  <c r="M804" i="1"/>
  <c r="K804" i="1"/>
  <c r="L804" i="1" s="1"/>
  <c r="S803" i="1"/>
  <c r="R803" i="1"/>
  <c r="Q803" i="1"/>
  <c r="P803" i="1"/>
  <c r="O803" i="1"/>
  <c r="N803" i="1"/>
  <c r="M803" i="1"/>
  <c r="L803" i="1"/>
  <c r="K803" i="1"/>
  <c r="S802" i="1"/>
  <c r="R802" i="1"/>
  <c r="Q802" i="1"/>
  <c r="P802" i="1"/>
  <c r="O802" i="1"/>
  <c r="N802" i="1"/>
  <c r="M802" i="1"/>
  <c r="K802" i="1"/>
  <c r="L802" i="1" s="1"/>
  <c r="S801" i="1"/>
  <c r="R801" i="1"/>
  <c r="Q801" i="1"/>
  <c r="P801" i="1"/>
  <c r="O801" i="1"/>
  <c r="N801" i="1"/>
  <c r="M801" i="1"/>
  <c r="L801" i="1"/>
  <c r="K801" i="1"/>
  <c r="S800" i="1"/>
  <c r="R800" i="1"/>
  <c r="Q800" i="1"/>
  <c r="P800" i="1"/>
  <c r="O800" i="1"/>
  <c r="N800" i="1"/>
  <c r="M800" i="1"/>
  <c r="K800" i="1"/>
  <c r="L800" i="1" s="1"/>
  <c r="S799" i="1"/>
  <c r="R799" i="1"/>
  <c r="Q799" i="1"/>
  <c r="P799" i="1"/>
  <c r="O799" i="1"/>
  <c r="N799" i="1"/>
  <c r="M799" i="1"/>
  <c r="L799" i="1"/>
  <c r="K799" i="1"/>
  <c r="S798" i="1"/>
  <c r="R798" i="1"/>
  <c r="Q798" i="1"/>
  <c r="P798" i="1"/>
  <c r="O798" i="1"/>
  <c r="N798" i="1"/>
  <c r="M798" i="1"/>
  <c r="K798" i="1"/>
  <c r="L798" i="1" s="1"/>
  <c r="S797" i="1"/>
  <c r="R797" i="1"/>
  <c r="Q797" i="1"/>
  <c r="P797" i="1"/>
  <c r="O797" i="1"/>
  <c r="N797" i="1"/>
  <c r="M797" i="1"/>
  <c r="L797" i="1"/>
  <c r="K797" i="1"/>
  <c r="S796" i="1"/>
  <c r="R796" i="1"/>
  <c r="Q796" i="1"/>
  <c r="P796" i="1"/>
  <c r="O796" i="1"/>
  <c r="N796" i="1"/>
  <c r="M796" i="1"/>
  <c r="K796" i="1"/>
  <c r="L796" i="1" s="1"/>
  <c r="S795" i="1"/>
  <c r="R795" i="1"/>
  <c r="Q795" i="1"/>
  <c r="P795" i="1"/>
  <c r="O795" i="1"/>
  <c r="N795" i="1"/>
  <c r="M795" i="1"/>
  <c r="L795" i="1"/>
  <c r="K795" i="1"/>
  <c r="S794" i="1"/>
  <c r="R794" i="1"/>
  <c r="Q794" i="1"/>
  <c r="P794" i="1"/>
  <c r="O794" i="1"/>
  <c r="N794" i="1"/>
  <c r="M794" i="1"/>
  <c r="K794" i="1"/>
  <c r="L794" i="1" s="1"/>
  <c r="S793" i="1"/>
  <c r="R793" i="1"/>
  <c r="Q793" i="1"/>
  <c r="P793" i="1"/>
  <c r="O793" i="1"/>
  <c r="N793" i="1"/>
  <c r="M793" i="1"/>
  <c r="L793" i="1"/>
  <c r="K793" i="1"/>
  <c r="S792" i="1"/>
  <c r="R792" i="1"/>
  <c r="Q792" i="1"/>
  <c r="P792" i="1"/>
  <c r="O792" i="1"/>
  <c r="N792" i="1"/>
  <c r="M792" i="1"/>
  <c r="K792" i="1"/>
  <c r="L792" i="1" s="1"/>
  <c r="S791" i="1"/>
  <c r="R791" i="1"/>
  <c r="Q791" i="1"/>
  <c r="P791" i="1"/>
  <c r="O791" i="1"/>
  <c r="N791" i="1"/>
  <c r="M791" i="1"/>
  <c r="L791" i="1"/>
  <c r="K791" i="1"/>
  <c r="S790" i="1"/>
  <c r="R790" i="1"/>
  <c r="Q790" i="1"/>
  <c r="P790" i="1"/>
  <c r="O790" i="1"/>
  <c r="N790" i="1"/>
  <c r="M790" i="1"/>
  <c r="K790" i="1"/>
  <c r="L790" i="1" s="1"/>
  <c r="S789" i="1"/>
  <c r="R789" i="1"/>
  <c r="Q789" i="1"/>
  <c r="P789" i="1"/>
  <c r="O789" i="1"/>
  <c r="N789" i="1"/>
  <c r="M789" i="1"/>
  <c r="L789" i="1"/>
  <c r="K789" i="1"/>
  <c r="S788" i="1"/>
  <c r="R788" i="1"/>
  <c r="Q788" i="1"/>
  <c r="P788" i="1"/>
  <c r="O788" i="1"/>
  <c r="N788" i="1"/>
  <c r="M788" i="1"/>
  <c r="K788" i="1"/>
  <c r="L788" i="1" s="1"/>
  <c r="S787" i="1"/>
  <c r="R787" i="1"/>
  <c r="Q787" i="1"/>
  <c r="P787" i="1"/>
  <c r="O787" i="1"/>
  <c r="N787" i="1"/>
  <c r="M787" i="1"/>
  <c r="L787" i="1"/>
  <c r="K787" i="1"/>
  <c r="S786" i="1"/>
  <c r="R786" i="1"/>
  <c r="Q786" i="1"/>
  <c r="P786" i="1"/>
  <c r="O786" i="1"/>
  <c r="N786" i="1"/>
  <c r="M786" i="1"/>
  <c r="K786" i="1"/>
  <c r="L786" i="1" s="1"/>
  <c r="S785" i="1"/>
  <c r="R785" i="1"/>
  <c r="Q785" i="1"/>
  <c r="P785" i="1"/>
  <c r="O785" i="1"/>
  <c r="N785" i="1"/>
  <c r="M785" i="1"/>
  <c r="L785" i="1"/>
  <c r="K785" i="1"/>
  <c r="S784" i="1"/>
  <c r="R784" i="1"/>
  <c r="Q784" i="1"/>
  <c r="P784" i="1"/>
  <c r="O784" i="1"/>
  <c r="N784" i="1"/>
  <c r="M784" i="1"/>
  <c r="K784" i="1"/>
  <c r="L784" i="1" s="1"/>
  <c r="S783" i="1"/>
  <c r="R783" i="1"/>
  <c r="Q783" i="1"/>
  <c r="P783" i="1"/>
  <c r="O783" i="1"/>
  <c r="N783" i="1"/>
  <c r="M783" i="1"/>
  <c r="L783" i="1"/>
  <c r="K783" i="1"/>
  <c r="S782" i="1"/>
  <c r="R782" i="1"/>
  <c r="Q782" i="1"/>
  <c r="P782" i="1"/>
  <c r="O782" i="1"/>
  <c r="N782" i="1"/>
  <c r="M782" i="1"/>
  <c r="K782" i="1"/>
  <c r="L782" i="1" s="1"/>
  <c r="S781" i="1"/>
  <c r="R781" i="1"/>
  <c r="Q781" i="1"/>
  <c r="P781" i="1"/>
  <c r="O781" i="1"/>
  <c r="N781" i="1"/>
  <c r="M781" i="1"/>
  <c r="L781" i="1"/>
  <c r="K781" i="1"/>
  <c r="S780" i="1"/>
  <c r="R780" i="1"/>
  <c r="Q780" i="1"/>
  <c r="P780" i="1"/>
  <c r="O780" i="1"/>
  <c r="N780" i="1"/>
  <c r="M780" i="1"/>
  <c r="K780" i="1"/>
  <c r="L780" i="1" s="1"/>
  <c r="S779" i="1"/>
  <c r="R779" i="1"/>
  <c r="Q779" i="1"/>
  <c r="P779" i="1"/>
  <c r="O779" i="1"/>
  <c r="N779" i="1"/>
  <c r="M779" i="1"/>
  <c r="L779" i="1"/>
  <c r="K779" i="1"/>
  <c r="S778" i="1"/>
  <c r="R778" i="1"/>
  <c r="Q778" i="1"/>
  <c r="P778" i="1"/>
  <c r="O778" i="1"/>
  <c r="N778" i="1"/>
  <c r="M778" i="1"/>
  <c r="K778" i="1"/>
  <c r="L778" i="1" s="1"/>
  <c r="S777" i="1"/>
  <c r="R777" i="1"/>
  <c r="Q777" i="1"/>
  <c r="P777" i="1"/>
  <c r="O777" i="1"/>
  <c r="N777" i="1"/>
  <c r="M777" i="1"/>
  <c r="L777" i="1"/>
  <c r="K777" i="1"/>
  <c r="S776" i="1"/>
  <c r="R776" i="1"/>
  <c r="Q776" i="1"/>
  <c r="P776" i="1"/>
  <c r="O776" i="1"/>
  <c r="N776" i="1"/>
  <c r="M776" i="1"/>
  <c r="K776" i="1"/>
  <c r="L776" i="1" s="1"/>
  <c r="S775" i="1"/>
  <c r="R775" i="1"/>
  <c r="Q775" i="1"/>
  <c r="P775" i="1"/>
  <c r="O775" i="1"/>
  <c r="N775" i="1"/>
  <c r="M775" i="1"/>
  <c r="L775" i="1"/>
  <c r="K775" i="1"/>
  <c r="S774" i="1"/>
  <c r="R774" i="1"/>
  <c r="Q774" i="1"/>
  <c r="P774" i="1"/>
  <c r="O774" i="1"/>
  <c r="N774" i="1"/>
  <c r="M774" i="1"/>
  <c r="K774" i="1"/>
  <c r="L774" i="1" s="1"/>
  <c r="S773" i="1"/>
  <c r="R773" i="1"/>
  <c r="Q773" i="1"/>
  <c r="P773" i="1"/>
  <c r="O773" i="1"/>
  <c r="N773" i="1"/>
  <c r="M773" i="1"/>
  <c r="L773" i="1"/>
  <c r="K773" i="1"/>
  <c r="S772" i="1"/>
  <c r="R772" i="1"/>
  <c r="Q772" i="1"/>
  <c r="P772" i="1"/>
  <c r="O772" i="1"/>
  <c r="N772" i="1"/>
  <c r="M772" i="1"/>
  <c r="K772" i="1"/>
  <c r="L772" i="1" s="1"/>
  <c r="S771" i="1"/>
  <c r="R771" i="1"/>
  <c r="Q771" i="1"/>
  <c r="P771" i="1"/>
  <c r="O771" i="1"/>
  <c r="N771" i="1"/>
  <c r="M771" i="1"/>
  <c r="L771" i="1"/>
  <c r="K771" i="1"/>
  <c r="S770" i="1"/>
  <c r="R770" i="1"/>
  <c r="Q770" i="1"/>
  <c r="P770" i="1"/>
  <c r="O770" i="1"/>
  <c r="N770" i="1"/>
  <c r="M770" i="1"/>
  <c r="K770" i="1"/>
  <c r="L770" i="1" s="1"/>
  <c r="S769" i="1"/>
  <c r="R769" i="1"/>
  <c r="Q769" i="1"/>
  <c r="P769" i="1"/>
  <c r="O769" i="1"/>
  <c r="N769" i="1"/>
  <c r="M769" i="1"/>
  <c r="L769" i="1"/>
  <c r="K769" i="1"/>
  <c r="S768" i="1"/>
  <c r="R768" i="1"/>
  <c r="Q768" i="1"/>
  <c r="P768" i="1"/>
  <c r="O768" i="1"/>
  <c r="N768" i="1"/>
  <c r="M768" i="1"/>
  <c r="K768" i="1"/>
  <c r="L768" i="1" s="1"/>
  <c r="S767" i="1"/>
  <c r="R767" i="1"/>
  <c r="Q767" i="1"/>
  <c r="P767" i="1"/>
  <c r="O767" i="1"/>
  <c r="N767" i="1"/>
  <c r="M767" i="1"/>
  <c r="L767" i="1"/>
  <c r="K767" i="1"/>
  <c r="S766" i="1"/>
  <c r="R766" i="1"/>
  <c r="Q766" i="1"/>
  <c r="P766" i="1"/>
  <c r="O766" i="1"/>
  <c r="N766" i="1"/>
  <c r="M766" i="1"/>
  <c r="K766" i="1"/>
  <c r="L766" i="1" s="1"/>
  <c r="S765" i="1"/>
  <c r="R765" i="1"/>
  <c r="Q765" i="1"/>
  <c r="P765" i="1"/>
  <c r="O765" i="1"/>
  <c r="N765" i="1"/>
  <c r="M765" i="1"/>
  <c r="L765" i="1"/>
  <c r="K765" i="1"/>
  <c r="S764" i="1"/>
  <c r="R764" i="1"/>
  <c r="Q764" i="1"/>
  <c r="P764" i="1"/>
  <c r="O764" i="1"/>
  <c r="N764" i="1"/>
  <c r="M764" i="1"/>
  <c r="K764" i="1"/>
  <c r="L764" i="1" s="1"/>
  <c r="S763" i="1"/>
  <c r="R763" i="1"/>
  <c r="Q763" i="1"/>
  <c r="P763" i="1"/>
  <c r="O763" i="1"/>
  <c r="N763" i="1"/>
  <c r="M763" i="1"/>
  <c r="L763" i="1"/>
  <c r="K763" i="1"/>
  <c r="S762" i="1"/>
  <c r="R762" i="1"/>
  <c r="Q762" i="1"/>
  <c r="P762" i="1"/>
  <c r="O762" i="1"/>
  <c r="N762" i="1"/>
  <c r="M762" i="1"/>
  <c r="K762" i="1"/>
  <c r="L762" i="1" s="1"/>
  <c r="S761" i="1"/>
  <c r="R761" i="1"/>
  <c r="Q761" i="1"/>
  <c r="P761" i="1"/>
  <c r="O761" i="1"/>
  <c r="N761" i="1"/>
  <c r="M761" i="1"/>
  <c r="L761" i="1"/>
  <c r="K761" i="1"/>
  <c r="S760" i="1"/>
  <c r="R760" i="1"/>
  <c r="Q760" i="1"/>
  <c r="P760" i="1"/>
  <c r="O760" i="1"/>
  <c r="N760" i="1"/>
  <c r="M760" i="1"/>
  <c r="K760" i="1"/>
  <c r="L760" i="1" s="1"/>
  <c r="S759" i="1"/>
  <c r="R759" i="1"/>
  <c r="Q759" i="1"/>
  <c r="P759" i="1"/>
  <c r="O759" i="1"/>
  <c r="N759" i="1"/>
  <c r="M759" i="1"/>
  <c r="L759" i="1"/>
  <c r="K759" i="1"/>
  <c r="S758" i="1"/>
  <c r="R758" i="1"/>
  <c r="Q758" i="1"/>
  <c r="P758" i="1"/>
  <c r="O758" i="1"/>
  <c r="N758" i="1"/>
  <c r="M758" i="1"/>
  <c r="K758" i="1"/>
  <c r="L758" i="1" s="1"/>
  <c r="S757" i="1"/>
  <c r="R757" i="1"/>
  <c r="Q757" i="1"/>
  <c r="P757" i="1"/>
  <c r="O757" i="1"/>
  <c r="N757" i="1"/>
  <c r="M757" i="1"/>
  <c r="L757" i="1"/>
  <c r="K757" i="1"/>
  <c r="S756" i="1"/>
  <c r="R756" i="1"/>
  <c r="Q756" i="1"/>
  <c r="P756" i="1"/>
  <c r="O756" i="1"/>
  <c r="N756" i="1"/>
  <c r="M756" i="1"/>
  <c r="K756" i="1"/>
  <c r="L756" i="1" s="1"/>
  <c r="S755" i="1"/>
  <c r="R755" i="1"/>
  <c r="Q755" i="1"/>
  <c r="P755" i="1"/>
  <c r="O755" i="1"/>
  <c r="N755" i="1"/>
  <c r="M755" i="1"/>
  <c r="L755" i="1"/>
  <c r="K755" i="1"/>
  <c r="S754" i="1"/>
  <c r="R754" i="1"/>
  <c r="Q754" i="1"/>
  <c r="P754" i="1"/>
  <c r="O754" i="1"/>
  <c r="N754" i="1"/>
  <c r="M754" i="1"/>
  <c r="K754" i="1"/>
  <c r="L754" i="1" s="1"/>
  <c r="S753" i="1"/>
  <c r="R753" i="1"/>
  <c r="Q753" i="1"/>
  <c r="P753" i="1"/>
  <c r="O753" i="1"/>
  <c r="N753" i="1"/>
  <c r="M753" i="1"/>
  <c r="L753" i="1"/>
  <c r="K753" i="1"/>
  <c r="S752" i="1"/>
  <c r="R752" i="1"/>
  <c r="Q752" i="1"/>
  <c r="P752" i="1"/>
  <c r="O752" i="1"/>
  <c r="N752" i="1"/>
  <c r="M752" i="1"/>
  <c r="K752" i="1"/>
  <c r="L752" i="1" s="1"/>
  <c r="S751" i="1"/>
  <c r="R751" i="1"/>
  <c r="Q751" i="1"/>
  <c r="P751" i="1"/>
  <c r="O751" i="1"/>
  <c r="N751" i="1"/>
  <c r="M751" i="1"/>
  <c r="L751" i="1"/>
  <c r="K751" i="1"/>
  <c r="S750" i="1"/>
  <c r="R750" i="1"/>
  <c r="Q750" i="1"/>
  <c r="P750" i="1"/>
  <c r="O750" i="1"/>
  <c r="N750" i="1"/>
  <c r="M750" i="1"/>
  <c r="K750" i="1"/>
  <c r="L750" i="1" s="1"/>
  <c r="S749" i="1"/>
  <c r="R749" i="1"/>
  <c r="Q749" i="1"/>
  <c r="P749" i="1"/>
  <c r="O749" i="1"/>
  <c r="N749" i="1"/>
  <c r="M749" i="1"/>
  <c r="L749" i="1"/>
  <c r="K749" i="1"/>
  <c r="S748" i="1"/>
  <c r="R748" i="1"/>
  <c r="Q748" i="1"/>
  <c r="P748" i="1"/>
  <c r="O748" i="1"/>
  <c r="N748" i="1"/>
  <c r="M748" i="1"/>
  <c r="K748" i="1"/>
  <c r="L748" i="1" s="1"/>
  <c r="S747" i="1"/>
  <c r="R747" i="1"/>
  <c r="Q747" i="1"/>
  <c r="P747" i="1"/>
  <c r="O747" i="1"/>
  <c r="N747" i="1"/>
  <c r="M747" i="1"/>
  <c r="L747" i="1"/>
  <c r="K747" i="1"/>
  <c r="S746" i="1"/>
  <c r="R746" i="1"/>
  <c r="Q746" i="1"/>
  <c r="P746" i="1"/>
  <c r="O746" i="1"/>
  <c r="N746" i="1"/>
  <c r="M746" i="1"/>
  <c r="K746" i="1"/>
  <c r="L746" i="1" s="1"/>
  <c r="S745" i="1"/>
  <c r="R745" i="1"/>
  <c r="Q745" i="1"/>
  <c r="P745" i="1"/>
  <c r="O745" i="1"/>
  <c r="N745" i="1"/>
  <c r="M745" i="1"/>
  <c r="L745" i="1"/>
  <c r="K745" i="1"/>
  <c r="S744" i="1"/>
  <c r="R744" i="1"/>
  <c r="Q744" i="1"/>
  <c r="P744" i="1"/>
  <c r="O744" i="1"/>
  <c r="N744" i="1"/>
  <c r="M744" i="1"/>
  <c r="K744" i="1"/>
  <c r="L744" i="1" s="1"/>
  <c r="S743" i="1"/>
  <c r="R743" i="1"/>
  <c r="Q743" i="1"/>
  <c r="P743" i="1"/>
  <c r="O743" i="1"/>
  <c r="N743" i="1"/>
  <c r="M743" i="1"/>
  <c r="L743" i="1"/>
  <c r="K743" i="1"/>
  <c r="S742" i="1"/>
  <c r="R742" i="1"/>
  <c r="Q742" i="1"/>
  <c r="P742" i="1"/>
  <c r="O742" i="1"/>
  <c r="N742" i="1"/>
  <c r="M742" i="1"/>
  <c r="K742" i="1"/>
  <c r="L742" i="1" s="1"/>
  <c r="S741" i="1"/>
  <c r="R741" i="1"/>
  <c r="Q741" i="1"/>
  <c r="P741" i="1"/>
  <c r="O741" i="1"/>
  <c r="N741" i="1"/>
  <c r="M741" i="1"/>
  <c r="L741" i="1"/>
  <c r="K741" i="1"/>
  <c r="S740" i="1"/>
  <c r="R740" i="1"/>
  <c r="Q740" i="1"/>
  <c r="P740" i="1"/>
  <c r="O740" i="1"/>
  <c r="N740" i="1"/>
  <c r="M740" i="1"/>
  <c r="K740" i="1"/>
  <c r="L740" i="1" s="1"/>
  <c r="S739" i="1"/>
  <c r="R739" i="1"/>
  <c r="Q739" i="1"/>
  <c r="P739" i="1"/>
  <c r="O739" i="1"/>
  <c r="N739" i="1"/>
  <c r="M739" i="1"/>
  <c r="L739" i="1"/>
  <c r="K739" i="1"/>
  <c r="S738" i="1"/>
  <c r="R738" i="1"/>
  <c r="Q738" i="1"/>
  <c r="P738" i="1"/>
  <c r="O738" i="1"/>
  <c r="N738" i="1"/>
  <c r="M738" i="1"/>
  <c r="K738" i="1"/>
  <c r="L738" i="1" s="1"/>
  <c r="S737" i="1"/>
  <c r="R737" i="1"/>
  <c r="Q737" i="1"/>
  <c r="P737" i="1"/>
  <c r="O737" i="1"/>
  <c r="N737" i="1"/>
  <c r="M737" i="1"/>
  <c r="L737" i="1"/>
  <c r="K737" i="1"/>
  <c r="S736" i="1"/>
  <c r="R736" i="1"/>
  <c r="Q736" i="1"/>
  <c r="P736" i="1"/>
  <c r="O736" i="1"/>
  <c r="N736" i="1"/>
  <c r="M736" i="1"/>
  <c r="K736" i="1"/>
  <c r="L736" i="1" s="1"/>
  <c r="S735" i="1"/>
  <c r="R735" i="1"/>
  <c r="Q735" i="1"/>
  <c r="P735" i="1"/>
  <c r="O735" i="1"/>
  <c r="N735" i="1"/>
  <c r="M735" i="1"/>
  <c r="L735" i="1"/>
  <c r="K735" i="1"/>
  <c r="S734" i="1"/>
  <c r="R734" i="1"/>
  <c r="Q734" i="1"/>
  <c r="P734" i="1"/>
  <c r="O734" i="1"/>
  <c r="N734" i="1"/>
  <c r="M734" i="1"/>
  <c r="K734" i="1"/>
  <c r="L734" i="1" s="1"/>
  <c r="S733" i="1"/>
  <c r="R733" i="1"/>
  <c r="Q733" i="1"/>
  <c r="P733" i="1"/>
  <c r="O733" i="1"/>
  <c r="N733" i="1"/>
  <c r="M733" i="1"/>
  <c r="L733" i="1"/>
  <c r="K733" i="1"/>
  <c r="S732" i="1"/>
  <c r="R732" i="1"/>
  <c r="Q732" i="1"/>
  <c r="P732" i="1"/>
  <c r="O732" i="1"/>
  <c r="N732" i="1"/>
  <c r="M732" i="1"/>
  <c r="K732" i="1"/>
  <c r="L732" i="1" s="1"/>
  <c r="S731" i="1"/>
  <c r="R731" i="1"/>
  <c r="Q731" i="1"/>
  <c r="P731" i="1"/>
  <c r="O731" i="1"/>
  <c r="N731" i="1"/>
  <c r="M731" i="1"/>
  <c r="L731" i="1"/>
  <c r="K731" i="1"/>
  <c r="S730" i="1"/>
  <c r="R730" i="1"/>
  <c r="Q730" i="1"/>
  <c r="P730" i="1"/>
  <c r="O730" i="1"/>
  <c r="N730" i="1"/>
  <c r="M730" i="1"/>
  <c r="K730" i="1"/>
  <c r="L730" i="1" s="1"/>
  <c r="S729" i="1"/>
  <c r="R729" i="1"/>
  <c r="Q729" i="1"/>
  <c r="P729" i="1"/>
  <c r="O729" i="1"/>
  <c r="N729" i="1"/>
  <c r="M729" i="1"/>
  <c r="L729" i="1"/>
  <c r="K729" i="1"/>
  <c r="S728" i="1"/>
  <c r="R728" i="1"/>
  <c r="Q728" i="1"/>
  <c r="P728" i="1"/>
  <c r="O728" i="1"/>
  <c r="N728" i="1"/>
  <c r="M728" i="1"/>
  <c r="K728" i="1"/>
  <c r="L728" i="1" s="1"/>
  <c r="S727" i="1"/>
  <c r="R727" i="1"/>
  <c r="Q727" i="1"/>
  <c r="P727" i="1"/>
  <c r="O727" i="1"/>
  <c r="N727" i="1"/>
  <c r="M727" i="1"/>
  <c r="L727" i="1"/>
  <c r="K727" i="1"/>
  <c r="S726" i="1"/>
  <c r="R726" i="1"/>
  <c r="Q726" i="1"/>
  <c r="P726" i="1"/>
  <c r="O726" i="1"/>
  <c r="N726" i="1"/>
  <c r="M726" i="1"/>
  <c r="K726" i="1"/>
  <c r="L726" i="1" s="1"/>
  <c r="S725" i="1"/>
  <c r="R725" i="1"/>
  <c r="Q725" i="1"/>
  <c r="P725" i="1"/>
  <c r="O725" i="1"/>
  <c r="N725" i="1"/>
  <c r="M725" i="1"/>
  <c r="L725" i="1"/>
  <c r="K725" i="1"/>
  <c r="S724" i="1"/>
  <c r="R724" i="1"/>
  <c r="Q724" i="1"/>
  <c r="P724" i="1"/>
  <c r="O724" i="1"/>
  <c r="N724" i="1"/>
  <c r="M724" i="1"/>
  <c r="K724" i="1"/>
  <c r="L724" i="1" s="1"/>
  <c r="S723" i="1"/>
  <c r="R723" i="1"/>
  <c r="Q723" i="1"/>
  <c r="P723" i="1"/>
  <c r="O723" i="1"/>
  <c r="N723" i="1"/>
  <c r="M723" i="1"/>
  <c r="L723" i="1"/>
  <c r="K723" i="1"/>
  <c r="S722" i="1"/>
  <c r="R722" i="1"/>
  <c r="Q722" i="1"/>
  <c r="P722" i="1"/>
  <c r="O722" i="1"/>
  <c r="N722" i="1"/>
  <c r="M722" i="1"/>
  <c r="K722" i="1"/>
  <c r="L722" i="1" s="1"/>
  <c r="S721" i="1"/>
  <c r="R721" i="1"/>
  <c r="Q721" i="1"/>
  <c r="P721" i="1"/>
  <c r="O721" i="1"/>
  <c r="N721" i="1"/>
  <c r="M721" i="1"/>
  <c r="K721" i="1"/>
  <c r="L721" i="1" s="1"/>
  <c r="S720" i="1"/>
  <c r="R720" i="1"/>
  <c r="Q720" i="1"/>
  <c r="P720" i="1"/>
  <c r="O720" i="1"/>
  <c r="N720" i="1"/>
  <c r="M720" i="1"/>
  <c r="K720" i="1"/>
  <c r="L720" i="1" s="1"/>
  <c r="S719" i="1"/>
  <c r="R719" i="1"/>
  <c r="Q719" i="1"/>
  <c r="P719" i="1"/>
  <c r="O719" i="1"/>
  <c r="N719" i="1"/>
  <c r="M719" i="1"/>
  <c r="K719" i="1"/>
  <c r="L719" i="1" s="1"/>
  <c r="S718" i="1"/>
  <c r="R718" i="1"/>
  <c r="Q718" i="1"/>
  <c r="P718" i="1"/>
  <c r="O718" i="1"/>
  <c r="N718" i="1"/>
  <c r="M718" i="1"/>
  <c r="L718" i="1"/>
  <c r="K718" i="1"/>
  <c r="S717" i="1"/>
  <c r="R717" i="1"/>
  <c r="Q717" i="1"/>
  <c r="P717" i="1"/>
  <c r="O717" i="1"/>
  <c r="N717" i="1"/>
  <c r="M717" i="1"/>
  <c r="K717" i="1"/>
  <c r="L717" i="1" s="1"/>
  <c r="S716" i="1"/>
  <c r="R716" i="1"/>
  <c r="Q716" i="1"/>
  <c r="P716" i="1"/>
  <c r="O716" i="1"/>
  <c r="N716" i="1"/>
  <c r="M716" i="1"/>
  <c r="K716" i="1"/>
  <c r="L716" i="1" s="1"/>
  <c r="S715" i="1"/>
  <c r="R715" i="1"/>
  <c r="Q715" i="1"/>
  <c r="P715" i="1"/>
  <c r="O715" i="1"/>
  <c r="N715" i="1"/>
  <c r="M715" i="1"/>
  <c r="K715" i="1"/>
  <c r="L715" i="1" s="1"/>
  <c r="S714" i="1"/>
  <c r="R714" i="1"/>
  <c r="Q714" i="1"/>
  <c r="P714" i="1"/>
  <c r="O714" i="1"/>
  <c r="N714" i="1"/>
  <c r="M714" i="1"/>
  <c r="L714" i="1"/>
  <c r="K714" i="1"/>
  <c r="S713" i="1"/>
  <c r="R713" i="1"/>
  <c r="Q713" i="1"/>
  <c r="P713" i="1"/>
  <c r="O713" i="1"/>
  <c r="N713" i="1"/>
  <c r="M713" i="1"/>
  <c r="K713" i="1"/>
  <c r="L713" i="1" s="1"/>
  <c r="S712" i="1"/>
  <c r="R712" i="1"/>
  <c r="Q712" i="1"/>
  <c r="P712" i="1"/>
  <c r="O712" i="1"/>
  <c r="N712" i="1"/>
  <c r="M712" i="1"/>
  <c r="L712" i="1"/>
  <c r="K712" i="1"/>
  <c r="S711" i="1"/>
  <c r="R711" i="1"/>
  <c r="Q711" i="1"/>
  <c r="P711" i="1"/>
  <c r="O711" i="1"/>
  <c r="N711" i="1"/>
  <c r="M711" i="1"/>
  <c r="K711" i="1"/>
  <c r="L711" i="1" s="1"/>
  <c r="S710" i="1"/>
  <c r="R710" i="1"/>
  <c r="Q710" i="1"/>
  <c r="P710" i="1"/>
  <c r="O710" i="1"/>
  <c r="N710" i="1"/>
  <c r="M710" i="1"/>
  <c r="L710" i="1"/>
  <c r="K710" i="1"/>
  <c r="S709" i="1"/>
  <c r="R709" i="1"/>
  <c r="Q709" i="1"/>
  <c r="P709" i="1"/>
  <c r="O709" i="1"/>
  <c r="N709" i="1"/>
  <c r="M709" i="1"/>
  <c r="K709" i="1"/>
  <c r="L709" i="1" s="1"/>
  <c r="S708" i="1"/>
  <c r="R708" i="1"/>
  <c r="Q708" i="1"/>
  <c r="P708" i="1"/>
  <c r="O708" i="1"/>
  <c r="N708" i="1"/>
  <c r="M708" i="1"/>
  <c r="L708" i="1"/>
  <c r="K708" i="1"/>
  <c r="S707" i="1"/>
  <c r="R707" i="1"/>
  <c r="Q707" i="1"/>
  <c r="P707" i="1"/>
  <c r="O707" i="1"/>
  <c r="N707" i="1"/>
  <c r="M707" i="1"/>
  <c r="K707" i="1"/>
  <c r="L707" i="1" s="1"/>
  <c r="S706" i="1"/>
  <c r="R706" i="1"/>
  <c r="Q706" i="1"/>
  <c r="P706" i="1"/>
  <c r="O706" i="1"/>
  <c r="N706" i="1"/>
  <c r="M706" i="1"/>
  <c r="L706" i="1"/>
  <c r="K706" i="1"/>
  <c r="S705" i="1"/>
  <c r="R705" i="1"/>
  <c r="Q705" i="1"/>
  <c r="P705" i="1"/>
  <c r="O705" i="1"/>
  <c r="N705" i="1"/>
  <c r="M705" i="1"/>
  <c r="K705" i="1"/>
  <c r="L705" i="1" s="1"/>
  <c r="S704" i="1"/>
  <c r="R704" i="1"/>
  <c r="Q704" i="1"/>
  <c r="P704" i="1"/>
  <c r="O704" i="1"/>
  <c r="N704" i="1"/>
  <c r="M704" i="1"/>
  <c r="L704" i="1"/>
  <c r="K704" i="1"/>
  <c r="S703" i="1"/>
  <c r="R703" i="1"/>
  <c r="Q703" i="1"/>
  <c r="P703" i="1"/>
  <c r="O703" i="1"/>
  <c r="N703" i="1"/>
  <c r="M703" i="1"/>
  <c r="K703" i="1"/>
  <c r="L703" i="1" s="1"/>
  <c r="S702" i="1"/>
  <c r="R702" i="1"/>
  <c r="Q702" i="1"/>
  <c r="P702" i="1"/>
  <c r="O702" i="1"/>
  <c r="N702" i="1"/>
  <c r="M702" i="1"/>
  <c r="L702" i="1"/>
  <c r="K702" i="1"/>
  <c r="S701" i="1"/>
  <c r="R701" i="1"/>
  <c r="Q701" i="1"/>
  <c r="P701" i="1"/>
  <c r="O701" i="1"/>
  <c r="N701" i="1"/>
  <c r="M701" i="1"/>
  <c r="K701" i="1"/>
  <c r="L701" i="1" s="1"/>
  <c r="S700" i="1"/>
  <c r="R700" i="1"/>
  <c r="Q700" i="1"/>
  <c r="P700" i="1"/>
  <c r="O700" i="1"/>
  <c r="N700" i="1"/>
  <c r="M700" i="1"/>
  <c r="L700" i="1"/>
  <c r="K700" i="1"/>
  <c r="S699" i="1"/>
  <c r="R699" i="1"/>
  <c r="Q699" i="1"/>
  <c r="P699" i="1"/>
  <c r="O699" i="1"/>
  <c r="N699" i="1"/>
  <c r="M699" i="1"/>
  <c r="K699" i="1"/>
  <c r="L699" i="1" s="1"/>
  <c r="S698" i="1"/>
  <c r="R698" i="1"/>
  <c r="Q698" i="1"/>
  <c r="P698" i="1"/>
  <c r="O698" i="1"/>
  <c r="N698" i="1"/>
  <c r="M698" i="1"/>
  <c r="L698" i="1"/>
  <c r="K698" i="1"/>
  <c r="S697" i="1"/>
  <c r="R697" i="1"/>
  <c r="Q697" i="1"/>
  <c r="P697" i="1"/>
  <c r="O697" i="1"/>
  <c r="N697" i="1"/>
  <c r="M697" i="1"/>
  <c r="K697" i="1"/>
  <c r="L697" i="1" s="1"/>
  <c r="S696" i="1"/>
  <c r="R696" i="1"/>
  <c r="Q696" i="1"/>
  <c r="P696" i="1"/>
  <c r="O696" i="1"/>
  <c r="N696" i="1"/>
  <c r="M696" i="1"/>
  <c r="L696" i="1"/>
  <c r="K696" i="1"/>
  <c r="S695" i="1"/>
  <c r="R695" i="1"/>
  <c r="Q695" i="1"/>
  <c r="P695" i="1"/>
  <c r="O695" i="1"/>
  <c r="N695" i="1"/>
  <c r="M695" i="1"/>
  <c r="K695" i="1"/>
  <c r="L695" i="1" s="1"/>
  <c r="S694" i="1"/>
  <c r="R694" i="1"/>
  <c r="Q694" i="1"/>
  <c r="P694" i="1"/>
  <c r="O694" i="1"/>
  <c r="N694" i="1"/>
  <c r="M694" i="1"/>
  <c r="L694" i="1"/>
  <c r="K694" i="1"/>
  <c r="S693" i="1"/>
  <c r="R693" i="1"/>
  <c r="Q693" i="1"/>
  <c r="P693" i="1"/>
  <c r="O693" i="1"/>
  <c r="N693" i="1"/>
  <c r="M693" i="1"/>
  <c r="K693" i="1"/>
  <c r="L693" i="1" s="1"/>
  <c r="S692" i="1"/>
  <c r="R692" i="1"/>
  <c r="Q692" i="1"/>
  <c r="P692" i="1"/>
  <c r="O692" i="1"/>
  <c r="N692" i="1"/>
  <c r="M692" i="1"/>
  <c r="L692" i="1"/>
  <c r="K692" i="1"/>
  <c r="S691" i="1"/>
  <c r="R691" i="1"/>
  <c r="Q691" i="1"/>
  <c r="P691" i="1"/>
  <c r="O691" i="1"/>
  <c r="N691" i="1"/>
  <c r="M691" i="1"/>
  <c r="K691" i="1"/>
  <c r="L691" i="1" s="1"/>
  <c r="S690" i="1"/>
  <c r="R690" i="1"/>
  <c r="Q690" i="1"/>
  <c r="P690" i="1"/>
  <c r="O690" i="1"/>
  <c r="N690" i="1"/>
  <c r="M690" i="1"/>
  <c r="L690" i="1"/>
  <c r="K690" i="1"/>
  <c r="S689" i="1"/>
  <c r="R689" i="1"/>
  <c r="Q689" i="1"/>
  <c r="P689" i="1"/>
  <c r="O689" i="1"/>
  <c r="N689" i="1"/>
  <c r="M689" i="1"/>
  <c r="K689" i="1"/>
  <c r="L689" i="1" s="1"/>
  <c r="S688" i="1"/>
  <c r="R688" i="1"/>
  <c r="Q688" i="1"/>
  <c r="P688" i="1"/>
  <c r="O688" i="1"/>
  <c r="N688" i="1"/>
  <c r="M688" i="1"/>
  <c r="L688" i="1"/>
  <c r="K688" i="1"/>
  <c r="S687" i="1"/>
  <c r="R687" i="1"/>
  <c r="Q687" i="1"/>
  <c r="P687" i="1"/>
  <c r="O687" i="1"/>
  <c r="N687" i="1"/>
  <c r="M687" i="1"/>
  <c r="K687" i="1"/>
  <c r="L687" i="1" s="1"/>
  <c r="S686" i="1"/>
  <c r="R686" i="1"/>
  <c r="Q686" i="1"/>
  <c r="P686" i="1"/>
  <c r="O686" i="1"/>
  <c r="N686" i="1"/>
  <c r="M686" i="1"/>
  <c r="L686" i="1"/>
  <c r="K686" i="1"/>
  <c r="S685" i="1"/>
  <c r="R685" i="1"/>
  <c r="Q685" i="1"/>
  <c r="P685" i="1"/>
  <c r="O685" i="1"/>
  <c r="N685" i="1"/>
  <c r="M685" i="1"/>
  <c r="K685" i="1"/>
  <c r="L685" i="1" s="1"/>
  <c r="S684" i="1"/>
  <c r="R684" i="1"/>
  <c r="Q684" i="1"/>
  <c r="P684" i="1"/>
  <c r="O684" i="1"/>
  <c r="N684" i="1"/>
  <c r="M684" i="1"/>
  <c r="L684" i="1"/>
  <c r="K684" i="1"/>
  <c r="S683" i="1"/>
  <c r="R683" i="1"/>
  <c r="Q683" i="1"/>
  <c r="P683" i="1"/>
  <c r="O683" i="1"/>
  <c r="N683" i="1"/>
  <c r="M683" i="1"/>
  <c r="K683" i="1"/>
  <c r="L683" i="1" s="1"/>
  <c r="S682" i="1"/>
  <c r="R682" i="1"/>
  <c r="Q682" i="1"/>
  <c r="P682" i="1"/>
  <c r="O682" i="1"/>
  <c r="N682" i="1"/>
  <c r="M682" i="1"/>
  <c r="L682" i="1"/>
  <c r="K682" i="1"/>
  <c r="S681" i="1"/>
  <c r="R681" i="1"/>
  <c r="Q681" i="1"/>
  <c r="P681" i="1"/>
  <c r="O681" i="1"/>
  <c r="N681" i="1"/>
  <c r="M681" i="1"/>
  <c r="K681" i="1"/>
  <c r="L681" i="1" s="1"/>
  <c r="S680" i="1"/>
  <c r="R680" i="1"/>
  <c r="Q680" i="1"/>
  <c r="P680" i="1"/>
  <c r="O680" i="1"/>
  <c r="N680" i="1"/>
  <c r="M680" i="1"/>
  <c r="L680" i="1"/>
  <c r="K680" i="1"/>
  <c r="S679" i="1"/>
  <c r="R679" i="1"/>
  <c r="Q679" i="1"/>
  <c r="P679" i="1"/>
  <c r="O679" i="1"/>
  <c r="N679" i="1"/>
  <c r="M679" i="1"/>
  <c r="K679" i="1"/>
  <c r="L679" i="1" s="1"/>
  <c r="S678" i="1"/>
  <c r="R678" i="1"/>
  <c r="Q678" i="1"/>
  <c r="P678" i="1"/>
  <c r="O678" i="1"/>
  <c r="N678" i="1"/>
  <c r="M678" i="1"/>
  <c r="L678" i="1"/>
  <c r="K678" i="1"/>
  <c r="S677" i="1"/>
  <c r="R677" i="1"/>
  <c r="Q677" i="1"/>
  <c r="P677" i="1"/>
  <c r="O677" i="1"/>
  <c r="N677" i="1"/>
  <c r="M677" i="1"/>
  <c r="K677" i="1"/>
  <c r="L677" i="1" s="1"/>
  <c r="S676" i="1"/>
  <c r="R676" i="1"/>
  <c r="Q676" i="1"/>
  <c r="P676" i="1"/>
  <c r="O676" i="1"/>
  <c r="N676" i="1"/>
  <c r="M676" i="1"/>
  <c r="L676" i="1"/>
  <c r="K676" i="1"/>
  <c r="S675" i="1"/>
  <c r="R675" i="1"/>
  <c r="Q675" i="1"/>
  <c r="P675" i="1"/>
  <c r="O675" i="1"/>
  <c r="N675" i="1"/>
  <c r="M675" i="1"/>
  <c r="K675" i="1"/>
  <c r="L675" i="1" s="1"/>
  <c r="S674" i="1"/>
  <c r="R674" i="1"/>
  <c r="Q674" i="1"/>
  <c r="P674" i="1"/>
  <c r="O674" i="1"/>
  <c r="N674" i="1"/>
  <c r="M674" i="1"/>
  <c r="L674" i="1"/>
  <c r="K674" i="1"/>
  <c r="S673" i="1"/>
  <c r="R673" i="1"/>
  <c r="Q673" i="1"/>
  <c r="P673" i="1"/>
  <c r="O673" i="1"/>
  <c r="N673" i="1"/>
  <c r="M673" i="1"/>
  <c r="K673" i="1"/>
  <c r="L673" i="1" s="1"/>
  <c r="S672" i="1"/>
  <c r="R672" i="1"/>
  <c r="Q672" i="1"/>
  <c r="P672" i="1"/>
  <c r="O672" i="1"/>
  <c r="N672" i="1"/>
  <c r="M672" i="1"/>
  <c r="L672" i="1"/>
  <c r="K672" i="1"/>
  <c r="S671" i="1"/>
  <c r="R671" i="1"/>
  <c r="Q671" i="1"/>
  <c r="P671" i="1"/>
  <c r="O671" i="1"/>
  <c r="N671" i="1"/>
  <c r="M671" i="1"/>
  <c r="K671" i="1"/>
  <c r="L671" i="1" s="1"/>
  <c r="S670" i="1"/>
  <c r="R670" i="1"/>
  <c r="Q670" i="1"/>
  <c r="P670" i="1"/>
  <c r="O670" i="1"/>
  <c r="N670" i="1"/>
  <c r="M670" i="1"/>
  <c r="L670" i="1"/>
  <c r="K670" i="1"/>
  <c r="S669" i="1"/>
  <c r="R669" i="1"/>
  <c r="Q669" i="1"/>
  <c r="P669" i="1"/>
  <c r="O669" i="1"/>
  <c r="N669" i="1"/>
  <c r="M669" i="1"/>
  <c r="K669" i="1"/>
  <c r="L669" i="1" s="1"/>
  <c r="S668" i="1"/>
  <c r="R668" i="1"/>
  <c r="Q668" i="1"/>
  <c r="P668" i="1"/>
  <c r="O668" i="1"/>
  <c r="N668" i="1"/>
  <c r="M668" i="1"/>
  <c r="L668" i="1"/>
  <c r="K668" i="1"/>
  <c r="S667" i="1"/>
  <c r="R667" i="1"/>
  <c r="Q667" i="1"/>
  <c r="P667" i="1"/>
  <c r="O667" i="1"/>
  <c r="N667" i="1"/>
  <c r="M667" i="1"/>
  <c r="K667" i="1"/>
  <c r="L667" i="1" s="1"/>
  <c r="S666" i="1"/>
  <c r="R666" i="1"/>
  <c r="Q666" i="1"/>
  <c r="P666" i="1"/>
  <c r="O666" i="1"/>
  <c r="N666" i="1"/>
  <c r="M666" i="1"/>
  <c r="L666" i="1"/>
  <c r="K666" i="1"/>
  <c r="S665" i="1"/>
  <c r="R665" i="1"/>
  <c r="Q665" i="1"/>
  <c r="P665" i="1"/>
  <c r="O665" i="1"/>
  <c r="N665" i="1"/>
  <c r="M665" i="1"/>
  <c r="K665" i="1"/>
  <c r="L665" i="1" s="1"/>
  <c r="S664" i="1"/>
  <c r="R664" i="1"/>
  <c r="Q664" i="1"/>
  <c r="P664" i="1"/>
  <c r="O664" i="1"/>
  <c r="N664" i="1"/>
  <c r="M664" i="1"/>
  <c r="L664" i="1"/>
  <c r="K664" i="1"/>
  <c r="S663" i="1"/>
  <c r="R663" i="1"/>
  <c r="Q663" i="1"/>
  <c r="P663" i="1"/>
  <c r="O663" i="1"/>
  <c r="N663" i="1"/>
  <c r="M663" i="1"/>
  <c r="K663" i="1"/>
  <c r="L663" i="1" s="1"/>
  <c r="S662" i="1"/>
  <c r="R662" i="1"/>
  <c r="Q662" i="1"/>
  <c r="P662" i="1"/>
  <c r="O662" i="1"/>
  <c r="N662" i="1"/>
  <c r="M662" i="1"/>
  <c r="L662" i="1"/>
  <c r="K662" i="1"/>
  <c r="S661" i="1"/>
  <c r="R661" i="1"/>
  <c r="Q661" i="1"/>
  <c r="P661" i="1"/>
  <c r="O661" i="1"/>
  <c r="N661" i="1"/>
  <c r="M661" i="1"/>
  <c r="K661" i="1"/>
  <c r="L661" i="1" s="1"/>
  <c r="S660" i="1"/>
  <c r="R660" i="1"/>
  <c r="Q660" i="1"/>
  <c r="P660" i="1"/>
  <c r="O660" i="1"/>
  <c r="N660" i="1"/>
  <c r="M660" i="1"/>
  <c r="L660" i="1"/>
  <c r="K660" i="1"/>
  <c r="S659" i="1"/>
  <c r="R659" i="1"/>
  <c r="Q659" i="1"/>
  <c r="P659" i="1"/>
  <c r="O659" i="1"/>
  <c r="N659" i="1"/>
  <c r="M659" i="1"/>
  <c r="K659" i="1"/>
  <c r="L659" i="1" s="1"/>
  <c r="S658" i="1"/>
  <c r="R658" i="1"/>
  <c r="Q658" i="1"/>
  <c r="P658" i="1"/>
  <c r="O658" i="1"/>
  <c r="N658" i="1"/>
  <c r="M658" i="1"/>
  <c r="L658" i="1"/>
  <c r="K658" i="1"/>
  <c r="S657" i="1"/>
  <c r="R657" i="1"/>
  <c r="Q657" i="1"/>
  <c r="P657" i="1"/>
  <c r="O657" i="1"/>
  <c r="N657" i="1"/>
  <c r="M657" i="1"/>
  <c r="K657" i="1"/>
  <c r="L657" i="1" s="1"/>
  <c r="S656" i="1"/>
  <c r="R656" i="1"/>
  <c r="Q656" i="1"/>
  <c r="P656" i="1"/>
  <c r="O656" i="1"/>
  <c r="N656" i="1"/>
  <c r="M656" i="1"/>
  <c r="L656" i="1"/>
  <c r="K656" i="1"/>
  <c r="S655" i="1"/>
  <c r="R655" i="1"/>
  <c r="Q655" i="1"/>
  <c r="P655" i="1"/>
  <c r="O655" i="1"/>
  <c r="N655" i="1"/>
  <c r="M655" i="1"/>
  <c r="K655" i="1"/>
  <c r="L655" i="1" s="1"/>
  <c r="S654" i="1"/>
  <c r="R654" i="1"/>
  <c r="Q654" i="1"/>
  <c r="P654" i="1"/>
  <c r="O654" i="1"/>
  <c r="N654" i="1"/>
  <c r="M654" i="1"/>
  <c r="L654" i="1"/>
  <c r="K654" i="1"/>
  <c r="S653" i="1"/>
  <c r="R653" i="1"/>
  <c r="Q653" i="1"/>
  <c r="P653" i="1"/>
  <c r="O653" i="1"/>
  <c r="N653" i="1"/>
  <c r="M653" i="1"/>
  <c r="K653" i="1"/>
  <c r="L653" i="1" s="1"/>
  <c r="S652" i="1"/>
  <c r="R652" i="1"/>
  <c r="Q652" i="1"/>
  <c r="P652" i="1"/>
  <c r="O652" i="1"/>
  <c r="N652" i="1"/>
  <c r="M652" i="1"/>
  <c r="L652" i="1"/>
  <c r="K652" i="1"/>
  <c r="S651" i="1"/>
  <c r="R651" i="1"/>
  <c r="Q651" i="1"/>
  <c r="P651" i="1"/>
  <c r="O651" i="1"/>
  <c r="N651" i="1"/>
  <c r="M651" i="1"/>
  <c r="K651" i="1"/>
  <c r="L651" i="1" s="1"/>
  <c r="S650" i="1"/>
  <c r="R650" i="1"/>
  <c r="Q650" i="1"/>
  <c r="P650" i="1"/>
  <c r="O650" i="1"/>
  <c r="N650" i="1"/>
  <c r="M650" i="1"/>
  <c r="L650" i="1"/>
  <c r="K650" i="1"/>
  <c r="S649" i="1"/>
  <c r="R649" i="1"/>
  <c r="Q649" i="1"/>
  <c r="P649" i="1"/>
  <c r="O649" i="1"/>
  <c r="N649" i="1"/>
  <c r="M649" i="1"/>
  <c r="K649" i="1"/>
  <c r="L649" i="1" s="1"/>
  <c r="S648" i="1"/>
  <c r="R648" i="1"/>
  <c r="Q648" i="1"/>
  <c r="P648" i="1"/>
  <c r="O648" i="1"/>
  <c r="N648" i="1"/>
  <c r="M648" i="1"/>
  <c r="L648" i="1"/>
  <c r="K648" i="1"/>
  <c r="S647" i="1"/>
  <c r="R647" i="1"/>
  <c r="Q647" i="1"/>
  <c r="P647" i="1"/>
  <c r="O647" i="1"/>
  <c r="N647" i="1"/>
  <c r="M647" i="1"/>
  <c r="K647" i="1"/>
  <c r="L647" i="1" s="1"/>
  <c r="S646" i="1"/>
  <c r="R646" i="1"/>
  <c r="Q646" i="1"/>
  <c r="P646" i="1"/>
  <c r="O646" i="1"/>
  <c r="N646" i="1"/>
  <c r="M646" i="1"/>
  <c r="L646" i="1"/>
  <c r="K646" i="1"/>
  <c r="S645" i="1"/>
  <c r="R645" i="1"/>
  <c r="Q645" i="1"/>
  <c r="P645" i="1"/>
  <c r="O645" i="1"/>
  <c r="N645" i="1"/>
  <c r="M645" i="1"/>
  <c r="K645" i="1"/>
  <c r="L645" i="1" s="1"/>
  <c r="S644" i="1"/>
  <c r="R644" i="1"/>
  <c r="Q644" i="1"/>
  <c r="P644" i="1"/>
  <c r="O644" i="1"/>
  <c r="N644" i="1"/>
  <c r="M644" i="1"/>
  <c r="L644" i="1"/>
  <c r="K644" i="1"/>
  <c r="S643" i="1"/>
  <c r="R643" i="1"/>
  <c r="Q643" i="1"/>
  <c r="P643" i="1"/>
  <c r="O643" i="1"/>
  <c r="N643" i="1"/>
  <c r="M643" i="1"/>
  <c r="K643" i="1"/>
  <c r="L643" i="1" s="1"/>
  <c r="S642" i="1"/>
  <c r="R642" i="1"/>
  <c r="Q642" i="1"/>
  <c r="P642" i="1"/>
  <c r="O642" i="1"/>
  <c r="N642" i="1"/>
  <c r="M642" i="1"/>
  <c r="L642" i="1"/>
  <c r="K642" i="1"/>
  <c r="S641" i="1"/>
  <c r="R641" i="1"/>
  <c r="Q641" i="1"/>
  <c r="P641" i="1"/>
  <c r="O641" i="1"/>
  <c r="N641" i="1"/>
  <c r="M641" i="1"/>
  <c r="K641" i="1"/>
  <c r="L641" i="1" s="1"/>
  <c r="S640" i="1"/>
  <c r="R640" i="1"/>
  <c r="Q640" i="1"/>
  <c r="P640" i="1"/>
  <c r="O640" i="1"/>
  <c r="N640" i="1"/>
  <c r="M640" i="1"/>
  <c r="L640" i="1"/>
  <c r="K640" i="1"/>
  <c r="S639" i="1"/>
  <c r="R639" i="1"/>
  <c r="Q639" i="1"/>
  <c r="P639" i="1"/>
  <c r="O639" i="1"/>
  <c r="N639" i="1"/>
  <c r="M639" i="1"/>
  <c r="K639" i="1"/>
  <c r="L639" i="1" s="1"/>
  <c r="S638" i="1"/>
  <c r="R638" i="1"/>
  <c r="Q638" i="1"/>
  <c r="P638" i="1"/>
  <c r="O638" i="1"/>
  <c r="N638" i="1"/>
  <c r="M638" i="1"/>
  <c r="L638" i="1"/>
  <c r="K638" i="1"/>
  <c r="S637" i="1"/>
  <c r="R637" i="1"/>
  <c r="Q637" i="1"/>
  <c r="P637" i="1"/>
  <c r="O637" i="1"/>
  <c r="N637" i="1"/>
  <c r="M637" i="1"/>
  <c r="K637" i="1"/>
  <c r="L637" i="1" s="1"/>
  <c r="S636" i="1"/>
  <c r="R636" i="1"/>
  <c r="Q636" i="1"/>
  <c r="P636" i="1"/>
  <c r="O636" i="1"/>
  <c r="N636" i="1"/>
  <c r="M636" i="1"/>
  <c r="L636" i="1"/>
  <c r="K636" i="1"/>
  <c r="S635" i="1"/>
  <c r="R635" i="1"/>
  <c r="Q635" i="1"/>
  <c r="P635" i="1"/>
  <c r="O635" i="1"/>
  <c r="N635" i="1"/>
  <c r="M635" i="1"/>
  <c r="K635" i="1"/>
  <c r="L635" i="1" s="1"/>
  <c r="S634" i="1"/>
  <c r="R634" i="1"/>
  <c r="Q634" i="1"/>
  <c r="P634" i="1"/>
  <c r="O634" i="1"/>
  <c r="N634" i="1"/>
  <c r="M634" i="1"/>
  <c r="L634" i="1"/>
  <c r="K634" i="1"/>
  <c r="S633" i="1"/>
  <c r="R633" i="1"/>
  <c r="Q633" i="1"/>
  <c r="P633" i="1"/>
  <c r="O633" i="1"/>
  <c r="N633" i="1"/>
  <c r="M633" i="1"/>
  <c r="K633" i="1"/>
  <c r="L633" i="1" s="1"/>
  <c r="S632" i="1"/>
  <c r="R632" i="1"/>
  <c r="Q632" i="1"/>
  <c r="P632" i="1"/>
  <c r="O632" i="1"/>
  <c r="N632" i="1"/>
  <c r="M632" i="1"/>
  <c r="L632" i="1"/>
  <c r="K632" i="1"/>
  <c r="S631" i="1"/>
  <c r="R631" i="1"/>
  <c r="Q631" i="1"/>
  <c r="P631" i="1"/>
  <c r="O631" i="1"/>
  <c r="N631" i="1"/>
  <c r="M631" i="1"/>
  <c r="K631" i="1"/>
  <c r="L631" i="1" s="1"/>
  <c r="S630" i="1"/>
  <c r="R630" i="1"/>
  <c r="Q630" i="1"/>
  <c r="P630" i="1"/>
  <c r="O630" i="1"/>
  <c r="N630" i="1"/>
  <c r="M630" i="1"/>
  <c r="L630" i="1"/>
  <c r="K630" i="1"/>
  <c r="S629" i="1"/>
  <c r="R629" i="1"/>
  <c r="Q629" i="1"/>
  <c r="P629" i="1"/>
  <c r="O629" i="1"/>
  <c r="N629" i="1"/>
  <c r="M629" i="1"/>
  <c r="K629" i="1"/>
  <c r="L629" i="1" s="1"/>
  <c r="S628" i="1"/>
  <c r="R628" i="1"/>
  <c r="Q628" i="1"/>
  <c r="P628" i="1"/>
  <c r="O628" i="1"/>
  <c r="N628" i="1"/>
  <c r="M628" i="1"/>
  <c r="L628" i="1"/>
  <c r="K628" i="1"/>
  <c r="S627" i="1"/>
  <c r="R627" i="1"/>
  <c r="Q627" i="1"/>
  <c r="P627" i="1"/>
  <c r="O627" i="1"/>
  <c r="N627" i="1"/>
  <c r="M627" i="1"/>
  <c r="K627" i="1"/>
  <c r="L627" i="1" s="1"/>
  <c r="S626" i="1"/>
  <c r="R626" i="1"/>
  <c r="Q626" i="1"/>
  <c r="P626" i="1"/>
  <c r="O626" i="1"/>
  <c r="N626" i="1"/>
  <c r="M626" i="1"/>
  <c r="L626" i="1"/>
  <c r="K626" i="1"/>
  <c r="S625" i="1"/>
  <c r="R625" i="1"/>
  <c r="Q625" i="1"/>
  <c r="P625" i="1"/>
  <c r="O625" i="1"/>
  <c r="N625" i="1"/>
  <c r="M625" i="1"/>
  <c r="K625" i="1"/>
  <c r="L625" i="1" s="1"/>
  <c r="S624" i="1"/>
  <c r="R624" i="1"/>
  <c r="Q624" i="1"/>
  <c r="P624" i="1"/>
  <c r="O624" i="1"/>
  <c r="N624" i="1"/>
  <c r="M624" i="1"/>
  <c r="L624" i="1"/>
  <c r="K624" i="1"/>
  <c r="S623" i="1"/>
  <c r="R623" i="1"/>
  <c r="Q623" i="1"/>
  <c r="P623" i="1"/>
  <c r="O623" i="1"/>
  <c r="N623" i="1"/>
  <c r="M623" i="1"/>
  <c r="K623" i="1"/>
  <c r="L623" i="1" s="1"/>
  <c r="S622" i="1"/>
  <c r="R622" i="1"/>
  <c r="Q622" i="1"/>
  <c r="P622" i="1"/>
  <c r="O622" i="1"/>
  <c r="N622" i="1"/>
  <c r="M622" i="1"/>
  <c r="L622" i="1"/>
  <c r="K622" i="1"/>
  <c r="S621" i="1"/>
  <c r="R621" i="1"/>
  <c r="Q621" i="1"/>
  <c r="P621" i="1"/>
  <c r="O621" i="1"/>
  <c r="N621" i="1"/>
  <c r="M621" i="1"/>
  <c r="K621" i="1"/>
  <c r="L621" i="1" s="1"/>
  <c r="S620" i="1"/>
  <c r="R620" i="1"/>
  <c r="Q620" i="1"/>
  <c r="P620" i="1"/>
  <c r="O620" i="1"/>
  <c r="N620" i="1"/>
  <c r="M620" i="1"/>
  <c r="L620" i="1"/>
  <c r="K620" i="1"/>
  <c r="S619" i="1"/>
  <c r="R619" i="1"/>
  <c r="Q619" i="1"/>
  <c r="P619" i="1"/>
  <c r="O619" i="1"/>
  <c r="N619" i="1"/>
  <c r="M619" i="1"/>
  <c r="K619" i="1"/>
  <c r="L619" i="1" s="1"/>
  <c r="S618" i="1"/>
  <c r="R618" i="1"/>
  <c r="Q618" i="1"/>
  <c r="P618" i="1"/>
  <c r="O618" i="1"/>
  <c r="N618" i="1"/>
  <c r="M618" i="1"/>
  <c r="L618" i="1"/>
  <c r="K618" i="1"/>
  <c r="S617" i="1"/>
  <c r="R617" i="1"/>
  <c r="Q617" i="1"/>
  <c r="P617" i="1"/>
  <c r="O617" i="1"/>
  <c r="N617" i="1"/>
  <c r="M617" i="1"/>
  <c r="K617" i="1"/>
  <c r="L617" i="1" s="1"/>
  <c r="S616" i="1"/>
  <c r="R616" i="1"/>
  <c r="Q616" i="1"/>
  <c r="P616" i="1"/>
  <c r="O616" i="1"/>
  <c r="N616" i="1"/>
  <c r="M616" i="1"/>
  <c r="L616" i="1"/>
  <c r="K616" i="1"/>
  <c r="S615" i="1"/>
  <c r="R615" i="1"/>
  <c r="Q615" i="1"/>
  <c r="P615" i="1"/>
  <c r="O615" i="1"/>
  <c r="N615" i="1"/>
  <c r="M615" i="1"/>
  <c r="K615" i="1"/>
  <c r="L615" i="1" s="1"/>
  <c r="S614" i="1"/>
  <c r="R614" i="1"/>
  <c r="Q614" i="1"/>
  <c r="P614" i="1"/>
  <c r="O614" i="1"/>
  <c r="N614" i="1"/>
  <c r="M614" i="1"/>
  <c r="L614" i="1"/>
  <c r="K614" i="1"/>
  <c r="S613" i="1"/>
  <c r="R613" i="1"/>
  <c r="Q613" i="1"/>
  <c r="P613" i="1"/>
  <c r="O613" i="1"/>
  <c r="N613" i="1"/>
  <c r="M613" i="1"/>
  <c r="K613" i="1"/>
  <c r="L613" i="1" s="1"/>
  <c r="S612" i="1"/>
  <c r="R612" i="1"/>
  <c r="Q612" i="1"/>
  <c r="P612" i="1"/>
  <c r="O612" i="1"/>
  <c r="N612" i="1"/>
  <c r="M612" i="1"/>
  <c r="L612" i="1"/>
  <c r="K612" i="1"/>
  <c r="S611" i="1"/>
  <c r="R611" i="1"/>
  <c r="Q611" i="1"/>
  <c r="P611" i="1"/>
  <c r="O611" i="1"/>
  <c r="N611" i="1"/>
  <c r="M611" i="1"/>
  <c r="K611" i="1"/>
  <c r="L611" i="1" s="1"/>
  <c r="S610" i="1"/>
  <c r="R610" i="1"/>
  <c r="Q610" i="1"/>
  <c r="P610" i="1"/>
  <c r="O610" i="1"/>
  <c r="N610" i="1"/>
  <c r="M610" i="1"/>
  <c r="L610" i="1"/>
  <c r="K610" i="1"/>
  <c r="S609" i="1"/>
  <c r="R609" i="1"/>
  <c r="Q609" i="1"/>
  <c r="P609" i="1"/>
  <c r="O609" i="1"/>
  <c r="N609" i="1"/>
  <c r="M609" i="1"/>
  <c r="K609" i="1"/>
  <c r="L609" i="1" s="1"/>
  <c r="S608" i="1"/>
  <c r="R608" i="1"/>
  <c r="Q608" i="1"/>
  <c r="P608" i="1"/>
  <c r="O608" i="1"/>
  <c r="N608" i="1"/>
  <c r="M608" i="1"/>
  <c r="L608" i="1"/>
  <c r="K608" i="1"/>
  <c r="S607" i="1"/>
  <c r="R607" i="1"/>
  <c r="Q607" i="1"/>
  <c r="P607" i="1"/>
  <c r="O607" i="1"/>
  <c r="N607" i="1"/>
  <c r="M607" i="1"/>
  <c r="K607" i="1"/>
  <c r="L607" i="1" s="1"/>
  <c r="S606" i="1"/>
  <c r="R606" i="1"/>
  <c r="Q606" i="1"/>
  <c r="P606" i="1"/>
  <c r="O606" i="1"/>
  <c r="N606" i="1"/>
  <c r="M606" i="1"/>
  <c r="L606" i="1"/>
  <c r="K606" i="1"/>
  <c r="S605" i="1"/>
  <c r="R605" i="1"/>
  <c r="Q605" i="1"/>
  <c r="P605" i="1"/>
  <c r="O605" i="1"/>
  <c r="N605" i="1"/>
  <c r="M605" i="1"/>
  <c r="K605" i="1"/>
  <c r="L605" i="1" s="1"/>
  <c r="S604" i="1"/>
  <c r="R604" i="1"/>
  <c r="Q604" i="1"/>
  <c r="P604" i="1"/>
  <c r="O604" i="1"/>
  <c r="N604" i="1"/>
  <c r="M604" i="1"/>
  <c r="L604" i="1"/>
  <c r="K604" i="1"/>
  <c r="S603" i="1"/>
  <c r="R603" i="1"/>
  <c r="Q603" i="1"/>
  <c r="P603" i="1"/>
  <c r="O603" i="1"/>
  <c r="N603" i="1"/>
  <c r="M603" i="1"/>
  <c r="K603" i="1"/>
  <c r="L603" i="1" s="1"/>
  <c r="S602" i="1"/>
  <c r="R602" i="1"/>
  <c r="Q602" i="1"/>
  <c r="P602" i="1"/>
  <c r="O602" i="1"/>
  <c r="N602" i="1"/>
  <c r="M602" i="1"/>
  <c r="L602" i="1"/>
  <c r="K602" i="1"/>
  <c r="S601" i="1"/>
  <c r="R601" i="1"/>
  <c r="Q601" i="1"/>
  <c r="P601" i="1"/>
  <c r="O601" i="1"/>
  <c r="N601" i="1"/>
  <c r="M601" i="1"/>
  <c r="K601" i="1"/>
  <c r="L601" i="1" s="1"/>
  <c r="S600" i="1"/>
  <c r="R600" i="1"/>
  <c r="Q600" i="1"/>
  <c r="P600" i="1"/>
  <c r="O600" i="1"/>
  <c r="N600" i="1"/>
  <c r="M600" i="1"/>
  <c r="L600" i="1"/>
  <c r="K600" i="1"/>
  <c r="S599" i="1"/>
  <c r="R599" i="1"/>
  <c r="Q599" i="1"/>
  <c r="P599" i="1"/>
  <c r="O599" i="1"/>
  <c r="N599" i="1"/>
  <c r="M599" i="1"/>
  <c r="K599" i="1"/>
  <c r="L599" i="1" s="1"/>
  <c r="S598" i="1"/>
  <c r="R598" i="1"/>
  <c r="Q598" i="1"/>
  <c r="P598" i="1"/>
  <c r="O598" i="1"/>
  <c r="N598" i="1"/>
  <c r="M598" i="1"/>
  <c r="L598" i="1"/>
  <c r="K598" i="1"/>
  <c r="S597" i="1"/>
  <c r="R597" i="1"/>
  <c r="Q597" i="1"/>
  <c r="P597" i="1"/>
  <c r="O597" i="1"/>
  <c r="N597" i="1"/>
  <c r="M597" i="1"/>
  <c r="K597" i="1"/>
  <c r="L597" i="1" s="1"/>
  <c r="S596" i="1"/>
  <c r="R596" i="1"/>
  <c r="Q596" i="1"/>
  <c r="P596" i="1"/>
  <c r="O596" i="1"/>
  <c r="N596" i="1"/>
  <c r="M596" i="1"/>
  <c r="L596" i="1"/>
  <c r="K596" i="1"/>
  <c r="S595" i="1"/>
  <c r="R595" i="1"/>
  <c r="Q595" i="1"/>
  <c r="P595" i="1"/>
  <c r="O595" i="1"/>
  <c r="N595" i="1"/>
  <c r="M595" i="1"/>
  <c r="K595" i="1"/>
  <c r="L595" i="1" s="1"/>
  <c r="S594" i="1"/>
  <c r="R594" i="1"/>
  <c r="Q594" i="1"/>
  <c r="P594" i="1"/>
  <c r="O594" i="1"/>
  <c r="N594" i="1"/>
  <c r="M594" i="1"/>
  <c r="L594" i="1"/>
  <c r="K594" i="1"/>
  <c r="S593" i="1"/>
  <c r="R593" i="1"/>
  <c r="Q593" i="1"/>
  <c r="P593" i="1"/>
  <c r="O593" i="1"/>
  <c r="N593" i="1"/>
  <c r="M593" i="1"/>
  <c r="K593" i="1"/>
  <c r="L593" i="1" s="1"/>
  <c r="S592" i="1"/>
  <c r="R592" i="1"/>
  <c r="Q592" i="1"/>
  <c r="P592" i="1"/>
  <c r="O592" i="1"/>
  <c r="N592" i="1"/>
  <c r="M592" i="1"/>
  <c r="L592" i="1"/>
  <c r="K592" i="1"/>
  <c r="S591" i="1"/>
  <c r="R591" i="1"/>
  <c r="Q591" i="1"/>
  <c r="P591" i="1"/>
  <c r="O591" i="1"/>
  <c r="N591" i="1"/>
  <c r="M591" i="1"/>
  <c r="K591" i="1"/>
  <c r="L591" i="1" s="1"/>
  <c r="S590" i="1"/>
  <c r="R590" i="1"/>
  <c r="Q590" i="1"/>
  <c r="P590" i="1"/>
  <c r="O590" i="1"/>
  <c r="N590" i="1"/>
  <c r="M590" i="1"/>
  <c r="L590" i="1"/>
  <c r="K590" i="1"/>
  <c r="S589" i="1"/>
  <c r="R589" i="1"/>
  <c r="Q589" i="1"/>
  <c r="P589" i="1"/>
  <c r="O589" i="1"/>
  <c r="N589" i="1"/>
  <c r="M589" i="1"/>
  <c r="K589" i="1"/>
  <c r="L589" i="1" s="1"/>
  <c r="S588" i="1"/>
  <c r="R588" i="1"/>
  <c r="Q588" i="1"/>
  <c r="P588" i="1"/>
  <c r="O588" i="1"/>
  <c r="N588" i="1"/>
  <c r="M588" i="1"/>
  <c r="L588" i="1"/>
  <c r="K588" i="1"/>
  <c r="S587" i="1"/>
  <c r="R587" i="1"/>
  <c r="Q587" i="1"/>
  <c r="P587" i="1"/>
  <c r="O587" i="1"/>
  <c r="N587" i="1"/>
  <c r="M587" i="1"/>
  <c r="K587" i="1"/>
  <c r="L587" i="1" s="1"/>
  <c r="S586" i="1"/>
  <c r="R586" i="1"/>
  <c r="Q586" i="1"/>
  <c r="P586" i="1"/>
  <c r="O586" i="1"/>
  <c r="N586" i="1"/>
  <c r="M586" i="1"/>
  <c r="L586" i="1"/>
  <c r="K586" i="1"/>
  <c r="S585" i="1"/>
  <c r="R585" i="1"/>
  <c r="Q585" i="1"/>
  <c r="P585" i="1"/>
  <c r="O585" i="1"/>
  <c r="N585" i="1"/>
  <c r="M585" i="1"/>
  <c r="K585" i="1"/>
  <c r="L585" i="1" s="1"/>
  <c r="S584" i="1"/>
  <c r="R584" i="1"/>
  <c r="Q584" i="1"/>
  <c r="P584" i="1"/>
  <c r="O584" i="1"/>
  <c r="N584" i="1"/>
  <c r="M584" i="1"/>
  <c r="L584" i="1"/>
  <c r="K584" i="1"/>
  <c r="S583" i="1"/>
  <c r="R583" i="1"/>
  <c r="Q583" i="1"/>
  <c r="P583" i="1"/>
  <c r="O583" i="1"/>
  <c r="N583" i="1"/>
  <c r="M583" i="1"/>
  <c r="K583" i="1"/>
  <c r="L583" i="1" s="1"/>
  <c r="S582" i="1"/>
  <c r="R582" i="1"/>
  <c r="Q582" i="1"/>
  <c r="P582" i="1"/>
  <c r="O582" i="1"/>
  <c r="N582" i="1"/>
  <c r="M582" i="1"/>
  <c r="L582" i="1"/>
  <c r="K582" i="1"/>
  <c r="S581" i="1"/>
  <c r="R581" i="1"/>
  <c r="Q581" i="1"/>
  <c r="P581" i="1"/>
  <c r="O581" i="1"/>
  <c r="N581" i="1"/>
  <c r="M581" i="1"/>
  <c r="K581" i="1"/>
  <c r="L581" i="1" s="1"/>
  <c r="S580" i="1"/>
  <c r="R580" i="1"/>
  <c r="Q580" i="1"/>
  <c r="P580" i="1"/>
  <c r="O580" i="1"/>
  <c r="N580" i="1"/>
  <c r="M580" i="1"/>
  <c r="L580" i="1"/>
  <c r="K580" i="1"/>
  <c r="S579" i="1"/>
  <c r="R579" i="1"/>
  <c r="Q579" i="1"/>
  <c r="P579" i="1"/>
  <c r="O579" i="1"/>
  <c r="N579" i="1"/>
  <c r="M579" i="1"/>
  <c r="K579" i="1"/>
  <c r="L579" i="1" s="1"/>
  <c r="S578" i="1"/>
  <c r="R578" i="1"/>
  <c r="Q578" i="1"/>
  <c r="P578" i="1"/>
  <c r="O578" i="1"/>
  <c r="N578" i="1"/>
  <c r="M578" i="1"/>
  <c r="L578" i="1"/>
  <c r="K578" i="1"/>
  <c r="S577" i="1"/>
  <c r="R577" i="1"/>
  <c r="Q577" i="1"/>
  <c r="P577" i="1"/>
  <c r="O577" i="1"/>
  <c r="N577" i="1"/>
  <c r="M577" i="1"/>
  <c r="K577" i="1"/>
  <c r="L577" i="1" s="1"/>
  <c r="S576" i="1"/>
  <c r="R576" i="1"/>
  <c r="Q576" i="1"/>
  <c r="P576" i="1"/>
  <c r="O576" i="1"/>
  <c r="N576" i="1"/>
  <c r="M576" i="1"/>
  <c r="L576" i="1"/>
  <c r="K576" i="1"/>
  <c r="S575" i="1"/>
  <c r="R575" i="1"/>
  <c r="Q575" i="1"/>
  <c r="P575" i="1"/>
  <c r="O575" i="1"/>
  <c r="N575" i="1"/>
  <c r="M575" i="1"/>
  <c r="K575" i="1"/>
  <c r="L575" i="1" s="1"/>
  <c r="S574" i="1"/>
  <c r="R574" i="1"/>
  <c r="Q574" i="1"/>
  <c r="P574" i="1"/>
  <c r="O574" i="1"/>
  <c r="N574" i="1"/>
  <c r="M574" i="1"/>
  <c r="L574" i="1"/>
  <c r="K574" i="1"/>
  <c r="S573" i="1"/>
  <c r="R573" i="1"/>
  <c r="Q573" i="1"/>
  <c r="P573" i="1"/>
  <c r="O573" i="1"/>
  <c r="N573" i="1"/>
  <c r="M573" i="1"/>
  <c r="K573" i="1"/>
  <c r="L573" i="1" s="1"/>
  <c r="S572" i="1"/>
  <c r="R572" i="1"/>
  <c r="Q572" i="1"/>
  <c r="P572" i="1"/>
  <c r="O572" i="1"/>
  <c r="N572" i="1"/>
  <c r="M572" i="1"/>
  <c r="L572" i="1"/>
  <c r="K572" i="1"/>
  <c r="S571" i="1"/>
  <c r="R571" i="1"/>
  <c r="Q571" i="1"/>
  <c r="P571" i="1"/>
  <c r="O571" i="1"/>
  <c r="N571" i="1"/>
  <c r="M571" i="1"/>
  <c r="K571" i="1"/>
  <c r="L571" i="1" s="1"/>
  <c r="S570" i="1"/>
  <c r="R570" i="1"/>
  <c r="Q570" i="1"/>
  <c r="P570" i="1"/>
  <c r="O570" i="1"/>
  <c r="N570" i="1"/>
  <c r="M570" i="1"/>
  <c r="L570" i="1"/>
  <c r="K570" i="1"/>
  <c r="S569" i="1"/>
  <c r="R569" i="1"/>
  <c r="Q569" i="1"/>
  <c r="P569" i="1"/>
  <c r="O569" i="1"/>
  <c r="N569" i="1"/>
  <c r="M569" i="1"/>
  <c r="K569" i="1"/>
  <c r="L569" i="1" s="1"/>
  <c r="S568" i="1"/>
  <c r="R568" i="1"/>
  <c r="Q568" i="1"/>
  <c r="P568" i="1"/>
  <c r="O568" i="1"/>
  <c r="N568" i="1"/>
  <c r="M568" i="1"/>
  <c r="L568" i="1"/>
  <c r="K568" i="1"/>
  <c r="S567" i="1"/>
  <c r="R567" i="1"/>
  <c r="Q567" i="1"/>
  <c r="P567" i="1"/>
  <c r="O567" i="1"/>
  <c r="N567" i="1"/>
  <c r="M567" i="1"/>
  <c r="K567" i="1"/>
  <c r="L567" i="1" s="1"/>
  <c r="S566" i="1"/>
  <c r="R566" i="1"/>
  <c r="Q566" i="1"/>
  <c r="P566" i="1"/>
  <c r="O566" i="1"/>
  <c r="N566" i="1"/>
  <c r="M566" i="1"/>
  <c r="L566" i="1"/>
  <c r="K566" i="1"/>
  <c r="S565" i="1"/>
  <c r="R565" i="1"/>
  <c r="Q565" i="1"/>
  <c r="P565" i="1"/>
  <c r="O565" i="1"/>
  <c r="N565" i="1"/>
  <c r="M565" i="1"/>
  <c r="K565" i="1"/>
  <c r="L565" i="1" s="1"/>
  <c r="S564" i="1"/>
  <c r="R564" i="1"/>
  <c r="Q564" i="1"/>
  <c r="P564" i="1"/>
  <c r="O564" i="1"/>
  <c r="N564" i="1"/>
  <c r="M564" i="1"/>
  <c r="L564" i="1"/>
  <c r="K564" i="1"/>
  <c r="S563" i="1"/>
  <c r="R563" i="1"/>
  <c r="Q563" i="1"/>
  <c r="P563" i="1"/>
  <c r="O563" i="1"/>
  <c r="N563" i="1"/>
  <c r="M563" i="1"/>
  <c r="K563" i="1"/>
  <c r="L563" i="1" s="1"/>
  <c r="S562" i="1"/>
  <c r="R562" i="1"/>
  <c r="Q562" i="1"/>
  <c r="P562" i="1"/>
  <c r="O562" i="1"/>
  <c r="N562" i="1"/>
  <c r="M562" i="1"/>
  <c r="L562" i="1"/>
  <c r="K562" i="1"/>
  <c r="S561" i="1"/>
  <c r="R561" i="1"/>
  <c r="Q561" i="1"/>
  <c r="P561" i="1"/>
  <c r="O561" i="1"/>
  <c r="N561" i="1"/>
  <c r="M561" i="1"/>
  <c r="K561" i="1"/>
  <c r="L561" i="1" s="1"/>
  <c r="S560" i="1"/>
  <c r="R560" i="1"/>
  <c r="Q560" i="1"/>
  <c r="P560" i="1"/>
  <c r="O560" i="1"/>
  <c r="N560" i="1"/>
  <c r="M560" i="1"/>
  <c r="L560" i="1"/>
  <c r="K560" i="1"/>
  <c r="S559" i="1"/>
  <c r="R559" i="1"/>
  <c r="Q559" i="1"/>
  <c r="P559" i="1"/>
  <c r="O559" i="1"/>
  <c r="N559" i="1"/>
  <c r="M559" i="1"/>
  <c r="K559" i="1"/>
  <c r="L559" i="1" s="1"/>
  <c r="S558" i="1"/>
  <c r="R558" i="1"/>
  <c r="Q558" i="1"/>
  <c r="P558" i="1"/>
  <c r="O558" i="1"/>
  <c r="N558" i="1"/>
  <c r="M558" i="1"/>
  <c r="L558" i="1"/>
  <c r="K558" i="1"/>
  <c r="S557" i="1"/>
  <c r="R557" i="1"/>
  <c r="Q557" i="1"/>
  <c r="P557" i="1"/>
  <c r="O557" i="1"/>
  <c r="N557" i="1"/>
  <c r="M557" i="1"/>
  <c r="K557" i="1"/>
  <c r="L557" i="1" s="1"/>
  <c r="S556" i="1"/>
  <c r="R556" i="1"/>
  <c r="Q556" i="1"/>
  <c r="P556" i="1"/>
  <c r="O556" i="1"/>
  <c r="N556" i="1"/>
  <c r="M556" i="1"/>
  <c r="L556" i="1"/>
  <c r="K556" i="1"/>
  <c r="S555" i="1"/>
  <c r="R555" i="1"/>
  <c r="Q555" i="1"/>
  <c r="P555" i="1"/>
  <c r="O555" i="1"/>
  <c r="N555" i="1"/>
  <c r="M555" i="1"/>
  <c r="K555" i="1"/>
  <c r="L555" i="1" s="1"/>
  <c r="S554" i="1"/>
  <c r="R554" i="1"/>
  <c r="Q554" i="1"/>
  <c r="P554" i="1"/>
  <c r="O554" i="1"/>
  <c r="N554" i="1"/>
  <c r="M554" i="1"/>
  <c r="L554" i="1"/>
  <c r="K554" i="1"/>
  <c r="S553" i="1"/>
  <c r="R553" i="1"/>
  <c r="Q553" i="1"/>
  <c r="P553" i="1"/>
  <c r="O553" i="1"/>
  <c r="N553" i="1"/>
  <c r="M553" i="1"/>
  <c r="K553" i="1"/>
  <c r="L553" i="1" s="1"/>
  <c r="S552" i="1"/>
  <c r="R552" i="1"/>
  <c r="Q552" i="1"/>
  <c r="P552" i="1"/>
  <c r="O552" i="1"/>
  <c r="N552" i="1"/>
  <c r="M552" i="1"/>
  <c r="L552" i="1"/>
  <c r="K552" i="1"/>
  <c r="S551" i="1"/>
  <c r="R551" i="1"/>
  <c r="Q551" i="1"/>
  <c r="P551" i="1"/>
  <c r="O551" i="1"/>
  <c r="N551" i="1"/>
  <c r="M551" i="1"/>
  <c r="K551" i="1"/>
  <c r="L551" i="1" s="1"/>
  <c r="S550" i="1"/>
  <c r="R550" i="1"/>
  <c r="Q550" i="1"/>
  <c r="P550" i="1"/>
  <c r="O550" i="1"/>
  <c r="N550" i="1"/>
  <c r="M550" i="1"/>
  <c r="L550" i="1"/>
  <c r="K550" i="1"/>
  <c r="S549" i="1"/>
  <c r="R549" i="1"/>
  <c r="Q549" i="1"/>
  <c r="P549" i="1"/>
  <c r="O549" i="1"/>
  <c r="N549" i="1"/>
  <c r="M549" i="1"/>
  <c r="K549" i="1"/>
  <c r="L549" i="1" s="1"/>
  <c r="S548" i="1"/>
  <c r="R548" i="1"/>
  <c r="Q548" i="1"/>
  <c r="P548" i="1"/>
  <c r="O548" i="1"/>
  <c r="N548" i="1"/>
  <c r="M548" i="1"/>
  <c r="L548" i="1"/>
  <c r="K548" i="1"/>
  <c r="S547" i="1"/>
  <c r="R547" i="1"/>
  <c r="Q547" i="1"/>
  <c r="P547" i="1"/>
  <c r="O547" i="1"/>
  <c r="N547" i="1"/>
  <c r="M547" i="1"/>
  <c r="K547" i="1"/>
  <c r="L547" i="1" s="1"/>
  <c r="S546" i="1"/>
  <c r="R546" i="1"/>
  <c r="Q546" i="1"/>
  <c r="P546" i="1"/>
  <c r="O546" i="1"/>
  <c r="N546" i="1"/>
  <c r="M546" i="1"/>
  <c r="L546" i="1"/>
  <c r="K546" i="1"/>
  <c r="S545" i="1"/>
  <c r="R545" i="1"/>
  <c r="Q545" i="1"/>
  <c r="P545" i="1"/>
  <c r="O545" i="1"/>
  <c r="N545" i="1"/>
  <c r="M545" i="1"/>
  <c r="K545" i="1"/>
  <c r="L545" i="1" s="1"/>
  <c r="S544" i="1"/>
  <c r="R544" i="1"/>
  <c r="Q544" i="1"/>
  <c r="P544" i="1"/>
  <c r="O544" i="1"/>
  <c r="N544" i="1"/>
  <c r="M544" i="1"/>
  <c r="L544" i="1"/>
  <c r="K544" i="1"/>
  <c r="S543" i="1"/>
  <c r="R543" i="1"/>
  <c r="Q543" i="1"/>
  <c r="P543" i="1"/>
  <c r="O543" i="1"/>
  <c r="N543" i="1"/>
  <c r="M543" i="1"/>
  <c r="K543" i="1"/>
  <c r="L543" i="1" s="1"/>
  <c r="S542" i="1"/>
  <c r="R542" i="1"/>
  <c r="Q542" i="1"/>
  <c r="P542" i="1"/>
  <c r="O542" i="1"/>
  <c r="N542" i="1"/>
  <c r="M542" i="1"/>
  <c r="L542" i="1"/>
  <c r="K542" i="1"/>
  <c r="S541" i="1"/>
  <c r="R541" i="1"/>
  <c r="Q541" i="1"/>
  <c r="P541" i="1"/>
  <c r="O541" i="1"/>
  <c r="N541" i="1"/>
  <c r="M541" i="1"/>
  <c r="K541" i="1"/>
  <c r="L541" i="1" s="1"/>
  <c r="S540" i="1"/>
  <c r="R540" i="1"/>
  <c r="Q540" i="1"/>
  <c r="P540" i="1"/>
  <c r="O540" i="1"/>
  <c r="N540" i="1"/>
  <c r="M540" i="1"/>
  <c r="L540" i="1"/>
  <c r="K540" i="1"/>
  <c r="S539" i="1"/>
  <c r="R539" i="1"/>
  <c r="Q539" i="1"/>
  <c r="P539" i="1"/>
  <c r="O539" i="1"/>
  <c r="N539" i="1"/>
  <c r="M539" i="1"/>
  <c r="K539" i="1"/>
  <c r="L539" i="1" s="1"/>
  <c r="S538" i="1"/>
  <c r="R538" i="1"/>
  <c r="Q538" i="1"/>
  <c r="P538" i="1"/>
  <c r="O538" i="1"/>
  <c r="N538" i="1"/>
  <c r="M538" i="1"/>
  <c r="L538" i="1"/>
  <c r="K538" i="1"/>
  <c r="S537" i="1"/>
  <c r="R537" i="1"/>
  <c r="Q537" i="1"/>
  <c r="P537" i="1"/>
  <c r="O537" i="1"/>
  <c r="N537" i="1"/>
  <c r="M537" i="1"/>
  <c r="K537" i="1"/>
  <c r="L537" i="1" s="1"/>
  <c r="S536" i="1"/>
  <c r="R536" i="1"/>
  <c r="Q536" i="1"/>
  <c r="P536" i="1"/>
  <c r="O536" i="1"/>
  <c r="N536" i="1"/>
  <c r="M536" i="1"/>
  <c r="L536" i="1"/>
  <c r="K536" i="1"/>
  <c r="S535" i="1"/>
  <c r="R535" i="1"/>
  <c r="Q535" i="1"/>
  <c r="P535" i="1"/>
  <c r="O535" i="1"/>
  <c r="N535" i="1"/>
  <c r="M535" i="1"/>
  <c r="K535" i="1"/>
  <c r="L535" i="1" s="1"/>
  <c r="S534" i="1"/>
  <c r="R534" i="1"/>
  <c r="Q534" i="1"/>
  <c r="P534" i="1"/>
  <c r="O534" i="1"/>
  <c r="N534" i="1"/>
  <c r="M534" i="1"/>
  <c r="L534" i="1"/>
  <c r="K534" i="1"/>
  <c r="S533" i="1"/>
  <c r="R533" i="1"/>
  <c r="Q533" i="1"/>
  <c r="P533" i="1"/>
  <c r="O533" i="1"/>
  <c r="N533" i="1"/>
  <c r="M533" i="1"/>
  <c r="K533" i="1"/>
  <c r="L533" i="1" s="1"/>
  <c r="S532" i="1"/>
  <c r="R532" i="1"/>
  <c r="Q532" i="1"/>
  <c r="P532" i="1"/>
  <c r="O532" i="1"/>
  <c r="N532" i="1"/>
  <c r="M532" i="1"/>
  <c r="L532" i="1"/>
  <c r="K532" i="1"/>
  <c r="S531" i="1"/>
  <c r="R531" i="1"/>
  <c r="Q531" i="1"/>
  <c r="P531" i="1"/>
  <c r="O531" i="1"/>
  <c r="N531" i="1"/>
  <c r="M531" i="1"/>
  <c r="K531" i="1"/>
  <c r="L531" i="1" s="1"/>
  <c r="S530" i="1"/>
  <c r="R530" i="1"/>
  <c r="Q530" i="1"/>
  <c r="P530" i="1"/>
  <c r="O530" i="1"/>
  <c r="N530" i="1"/>
  <c r="M530" i="1"/>
  <c r="L530" i="1"/>
  <c r="K530" i="1"/>
  <c r="S529" i="1"/>
  <c r="R529" i="1"/>
  <c r="Q529" i="1"/>
  <c r="P529" i="1"/>
  <c r="O529" i="1"/>
  <c r="N529" i="1"/>
  <c r="M529" i="1"/>
  <c r="K529" i="1"/>
  <c r="L529" i="1" s="1"/>
  <c r="S528" i="1"/>
  <c r="R528" i="1"/>
  <c r="Q528" i="1"/>
  <c r="P528" i="1"/>
  <c r="O528" i="1"/>
  <c r="N528" i="1"/>
  <c r="M528" i="1"/>
  <c r="L528" i="1"/>
  <c r="K528" i="1"/>
  <c r="S527" i="1"/>
  <c r="R527" i="1"/>
  <c r="Q527" i="1"/>
  <c r="P527" i="1"/>
  <c r="O527" i="1"/>
  <c r="N527" i="1"/>
  <c r="M527" i="1"/>
  <c r="K527" i="1"/>
  <c r="L527" i="1" s="1"/>
  <c r="S526" i="1"/>
  <c r="R526" i="1"/>
  <c r="Q526" i="1"/>
  <c r="P526" i="1"/>
  <c r="O526" i="1"/>
  <c r="N526" i="1"/>
  <c r="M526" i="1"/>
  <c r="L526" i="1"/>
  <c r="K526" i="1"/>
  <c r="S525" i="1"/>
  <c r="R525" i="1"/>
  <c r="Q525" i="1"/>
  <c r="P525" i="1"/>
  <c r="O525" i="1"/>
  <c r="N525" i="1"/>
  <c r="M525" i="1"/>
  <c r="K525" i="1"/>
  <c r="L525" i="1" s="1"/>
  <c r="S524" i="1"/>
  <c r="R524" i="1"/>
  <c r="Q524" i="1"/>
  <c r="P524" i="1"/>
  <c r="O524" i="1"/>
  <c r="N524" i="1"/>
  <c r="M524" i="1"/>
  <c r="L524" i="1"/>
  <c r="K524" i="1"/>
  <c r="S523" i="1"/>
  <c r="R523" i="1"/>
  <c r="Q523" i="1"/>
  <c r="P523" i="1"/>
  <c r="O523" i="1"/>
  <c r="N523" i="1"/>
  <c r="M523" i="1"/>
  <c r="K523" i="1"/>
  <c r="L523" i="1" s="1"/>
  <c r="S522" i="1"/>
  <c r="R522" i="1"/>
  <c r="Q522" i="1"/>
  <c r="P522" i="1"/>
  <c r="O522" i="1"/>
  <c r="N522" i="1"/>
  <c r="M522" i="1"/>
  <c r="L522" i="1"/>
  <c r="K522" i="1"/>
  <c r="S521" i="1"/>
  <c r="R521" i="1"/>
  <c r="Q521" i="1"/>
  <c r="P521" i="1"/>
  <c r="O521" i="1"/>
  <c r="N521" i="1"/>
  <c r="M521" i="1"/>
  <c r="K521" i="1"/>
  <c r="L521" i="1" s="1"/>
  <c r="S520" i="1"/>
  <c r="R520" i="1"/>
  <c r="Q520" i="1"/>
  <c r="P520" i="1"/>
  <c r="O520" i="1"/>
  <c r="N520" i="1"/>
  <c r="M520" i="1"/>
  <c r="L520" i="1"/>
  <c r="K520" i="1"/>
  <c r="S519" i="1"/>
  <c r="R519" i="1"/>
  <c r="Q519" i="1"/>
  <c r="P519" i="1"/>
  <c r="O519" i="1"/>
  <c r="N519" i="1"/>
  <c r="M519" i="1"/>
  <c r="K519" i="1"/>
  <c r="L519" i="1" s="1"/>
  <c r="S518" i="1"/>
  <c r="R518" i="1"/>
  <c r="Q518" i="1"/>
  <c r="P518" i="1"/>
  <c r="O518" i="1"/>
  <c r="N518" i="1"/>
  <c r="M518" i="1"/>
  <c r="L518" i="1"/>
  <c r="K518" i="1"/>
  <c r="S517" i="1"/>
  <c r="R517" i="1"/>
  <c r="Q517" i="1"/>
  <c r="P517" i="1"/>
  <c r="O517" i="1"/>
  <c r="N517" i="1"/>
  <c r="M517" i="1"/>
  <c r="K517" i="1"/>
  <c r="L517" i="1" s="1"/>
  <c r="S516" i="1"/>
  <c r="R516" i="1"/>
  <c r="Q516" i="1"/>
  <c r="P516" i="1"/>
  <c r="O516" i="1"/>
  <c r="N516" i="1"/>
  <c r="M516" i="1"/>
  <c r="L516" i="1"/>
  <c r="K516" i="1"/>
  <c r="S515" i="1"/>
  <c r="R515" i="1"/>
  <c r="Q515" i="1"/>
  <c r="P515" i="1"/>
  <c r="O515" i="1"/>
  <c r="N515" i="1"/>
  <c r="M515" i="1"/>
  <c r="K515" i="1"/>
  <c r="L515" i="1" s="1"/>
  <c r="S514" i="1"/>
  <c r="R514" i="1"/>
  <c r="Q514" i="1"/>
  <c r="P514" i="1"/>
  <c r="O514" i="1"/>
  <c r="N514" i="1"/>
  <c r="M514" i="1"/>
  <c r="L514" i="1"/>
  <c r="K514" i="1"/>
  <c r="S513" i="1"/>
  <c r="R513" i="1"/>
  <c r="Q513" i="1"/>
  <c r="P513" i="1"/>
  <c r="O513" i="1"/>
  <c r="N513" i="1"/>
  <c r="M513" i="1"/>
  <c r="K513" i="1"/>
  <c r="L513" i="1" s="1"/>
  <c r="S512" i="1"/>
  <c r="R512" i="1"/>
  <c r="Q512" i="1"/>
  <c r="P512" i="1"/>
  <c r="O512" i="1"/>
  <c r="N512" i="1"/>
  <c r="M512" i="1"/>
  <c r="L512" i="1"/>
  <c r="K512" i="1"/>
  <c r="S511" i="1"/>
  <c r="R511" i="1"/>
  <c r="Q511" i="1"/>
  <c r="P511" i="1"/>
  <c r="O511" i="1"/>
  <c r="N511" i="1"/>
  <c r="M511" i="1"/>
  <c r="K511" i="1"/>
  <c r="L511" i="1" s="1"/>
  <c r="S510" i="1"/>
  <c r="R510" i="1"/>
  <c r="Q510" i="1"/>
  <c r="P510" i="1"/>
  <c r="O510" i="1"/>
  <c r="N510" i="1"/>
  <c r="M510" i="1"/>
  <c r="L510" i="1"/>
  <c r="K510" i="1"/>
  <c r="S509" i="1"/>
  <c r="R509" i="1"/>
  <c r="Q509" i="1"/>
  <c r="P509" i="1"/>
  <c r="O509" i="1"/>
  <c r="N509" i="1"/>
  <c r="M509" i="1"/>
  <c r="K509" i="1"/>
  <c r="L509" i="1" s="1"/>
  <c r="S508" i="1"/>
  <c r="R508" i="1"/>
  <c r="Q508" i="1"/>
  <c r="P508" i="1"/>
  <c r="O508" i="1"/>
  <c r="N508" i="1"/>
  <c r="M508" i="1"/>
  <c r="L508" i="1"/>
  <c r="K508" i="1"/>
  <c r="S507" i="1"/>
  <c r="R507" i="1"/>
  <c r="Q507" i="1"/>
  <c r="P507" i="1"/>
  <c r="O507" i="1"/>
  <c r="N507" i="1"/>
  <c r="M507" i="1"/>
  <c r="K507" i="1"/>
  <c r="L507" i="1" s="1"/>
  <c r="S506" i="1"/>
  <c r="R506" i="1"/>
  <c r="Q506" i="1"/>
  <c r="P506" i="1"/>
  <c r="O506" i="1"/>
  <c r="N506" i="1"/>
  <c r="M506" i="1"/>
  <c r="L506" i="1"/>
  <c r="K506" i="1"/>
  <c r="S505" i="1"/>
  <c r="R505" i="1"/>
  <c r="Q505" i="1"/>
  <c r="P505" i="1"/>
  <c r="O505" i="1"/>
  <c r="N505" i="1"/>
  <c r="M505" i="1"/>
  <c r="K505" i="1"/>
  <c r="L505" i="1" s="1"/>
  <c r="S504" i="1"/>
  <c r="R504" i="1"/>
  <c r="Q504" i="1"/>
  <c r="P504" i="1"/>
  <c r="O504" i="1"/>
  <c r="N504" i="1"/>
  <c r="M504" i="1"/>
  <c r="L504" i="1"/>
  <c r="K504" i="1"/>
  <c r="S503" i="1"/>
  <c r="R503" i="1"/>
  <c r="Q503" i="1"/>
  <c r="P503" i="1"/>
  <c r="O503" i="1"/>
  <c r="N503" i="1"/>
  <c r="M503" i="1"/>
  <c r="K503" i="1"/>
  <c r="L503" i="1" s="1"/>
  <c r="S502" i="1"/>
  <c r="R502" i="1"/>
  <c r="Q502" i="1"/>
  <c r="P502" i="1"/>
  <c r="O502" i="1"/>
  <c r="N502" i="1"/>
  <c r="M502" i="1"/>
  <c r="L502" i="1"/>
  <c r="K502" i="1"/>
  <c r="S501" i="1"/>
  <c r="R501" i="1"/>
  <c r="Q501" i="1"/>
  <c r="P501" i="1"/>
  <c r="O501" i="1"/>
  <c r="N501" i="1"/>
  <c r="M501" i="1"/>
  <c r="K501" i="1"/>
  <c r="L501" i="1" s="1"/>
  <c r="S500" i="1"/>
  <c r="R500" i="1"/>
  <c r="Q500" i="1"/>
  <c r="P500" i="1"/>
  <c r="O500" i="1"/>
  <c r="N500" i="1"/>
  <c r="M500" i="1"/>
  <c r="L500" i="1"/>
  <c r="K500" i="1"/>
  <c r="S499" i="1"/>
  <c r="R499" i="1"/>
  <c r="Q499" i="1"/>
  <c r="P499" i="1"/>
  <c r="O499" i="1"/>
  <c r="N499" i="1"/>
  <c r="M499" i="1"/>
  <c r="K499" i="1"/>
  <c r="L499" i="1" s="1"/>
  <c r="S498" i="1"/>
  <c r="R498" i="1"/>
  <c r="Q498" i="1"/>
  <c r="P498" i="1"/>
  <c r="O498" i="1"/>
  <c r="N498" i="1"/>
  <c r="M498" i="1"/>
  <c r="L498" i="1"/>
  <c r="K498" i="1"/>
  <c r="S497" i="1"/>
  <c r="R497" i="1"/>
  <c r="Q497" i="1"/>
  <c r="P497" i="1"/>
  <c r="O497" i="1"/>
  <c r="N497" i="1"/>
  <c r="M497" i="1"/>
  <c r="K497" i="1"/>
  <c r="L497" i="1" s="1"/>
  <c r="S496" i="1"/>
  <c r="R496" i="1"/>
  <c r="Q496" i="1"/>
  <c r="P496" i="1"/>
  <c r="O496" i="1"/>
  <c r="N496" i="1"/>
  <c r="M496" i="1"/>
  <c r="L496" i="1"/>
  <c r="K496" i="1"/>
  <c r="S495" i="1"/>
  <c r="R495" i="1"/>
  <c r="Q495" i="1"/>
  <c r="P495" i="1"/>
  <c r="O495" i="1"/>
  <c r="N495" i="1"/>
  <c r="M495" i="1"/>
  <c r="K495" i="1"/>
  <c r="L495" i="1" s="1"/>
  <c r="S494" i="1"/>
  <c r="R494" i="1"/>
  <c r="Q494" i="1"/>
  <c r="P494" i="1"/>
  <c r="O494" i="1"/>
  <c r="N494" i="1"/>
  <c r="M494" i="1"/>
  <c r="L494" i="1"/>
  <c r="K494" i="1"/>
  <c r="S493" i="1"/>
  <c r="R493" i="1"/>
  <c r="Q493" i="1"/>
  <c r="P493" i="1"/>
  <c r="O493" i="1"/>
  <c r="N493" i="1"/>
  <c r="M493" i="1"/>
  <c r="K493" i="1"/>
  <c r="L493" i="1" s="1"/>
  <c r="S492" i="1"/>
  <c r="R492" i="1"/>
  <c r="Q492" i="1"/>
  <c r="P492" i="1"/>
  <c r="O492" i="1"/>
  <c r="N492" i="1"/>
  <c r="M492" i="1"/>
  <c r="L492" i="1"/>
  <c r="K492" i="1"/>
  <c r="S491" i="1"/>
  <c r="R491" i="1"/>
  <c r="Q491" i="1"/>
  <c r="P491" i="1"/>
  <c r="O491" i="1"/>
  <c r="N491" i="1"/>
  <c r="M491" i="1"/>
  <c r="K491" i="1"/>
  <c r="L491" i="1" s="1"/>
  <c r="S490" i="1"/>
  <c r="R490" i="1"/>
  <c r="Q490" i="1"/>
  <c r="P490" i="1"/>
  <c r="O490" i="1"/>
  <c r="N490" i="1"/>
  <c r="M490" i="1"/>
  <c r="L490" i="1"/>
  <c r="K490" i="1"/>
  <c r="S489" i="1"/>
  <c r="R489" i="1"/>
  <c r="Q489" i="1"/>
  <c r="P489" i="1"/>
  <c r="O489" i="1"/>
  <c r="N489" i="1"/>
  <c r="M489" i="1"/>
  <c r="K489" i="1"/>
  <c r="L489" i="1" s="1"/>
  <c r="S488" i="1"/>
  <c r="R488" i="1"/>
  <c r="Q488" i="1"/>
  <c r="P488" i="1"/>
  <c r="O488" i="1"/>
  <c r="N488" i="1"/>
  <c r="M488" i="1"/>
  <c r="L488" i="1"/>
  <c r="K488" i="1"/>
  <c r="S487" i="1"/>
  <c r="R487" i="1"/>
  <c r="Q487" i="1"/>
  <c r="P487" i="1"/>
  <c r="O487" i="1"/>
  <c r="N487" i="1"/>
  <c r="M487" i="1"/>
  <c r="K487" i="1"/>
  <c r="L487" i="1" s="1"/>
  <c r="S486" i="1"/>
  <c r="R486" i="1"/>
  <c r="Q486" i="1"/>
  <c r="P486" i="1"/>
  <c r="O486" i="1"/>
  <c r="N486" i="1"/>
  <c r="M486" i="1"/>
  <c r="L486" i="1"/>
  <c r="K486" i="1"/>
  <c r="S485" i="1"/>
  <c r="R485" i="1"/>
  <c r="Q485" i="1"/>
  <c r="P485" i="1"/>
  <c r="O485" i="1"/>
  <c r="N485" i="1"/>
  <c r="M485" i="1"/>
  <c r="K485" i="1"/>
  <c r="L485" i="1" s="1"/>
  <c r="S484" i="1"/>
  <c r="R484" i="1"/>
  <c r="Q484" i="1"/>
  <c r="P484" i="1"/>
  <c r="O484" i="1"/>
  <c r="N484" i="1"/>
  <c r="M484" i="1"/>
  <c r="L484" i="1"/>
  <c r="K484" i="1"/>
  <c r="S483" i="1"/>
  <c r="R483" i="1"/>
  <c r="Q483" i="1"/>
  <c r="P483" i="1"/>
  <c r="O483" i="1"/>
  <c r="N483" i="1"/>
  <c r="M483" i="1"/>
  <c r="K483" i="1"/>
  <c r="L483" i="1" s="1"/>
  <c r="S482" i="1"/>
  <c r="R482" i="1"/>
  <c r="Q482" i="1"/>
  <c r="P482" i="1"/>
  <c r="O482" i="1"/>
  <c r="N482" i="1"/>
  <c r="M482" i="1"/>
  <c r="L482" i="1"/>
  <c r="K482" i="1"/>
  <c r="S481" i="1"/>
  <c r="R481" i="1"/>
  <c r="Q481" i="1"/>
  <c r="P481" i="1"/>
  <c r="O481" i="1"/>
  <c r="N481" i="1"/>
  <c r="M481" i="1"/>
  <c r="K481" i="1"/>
  <c r="L481" i="1" s="1"/>
  <c r="S480" i="1"/>
  <c r="R480" i="1"/>
  <c r="Q480" i="1"/>
  <c r="P480" i="1"/>
  <c r="O480" i="1"/>
  <c r="N480" i="1"/>
  <c r="M480" i="1"/>
  <c r="L480" i="1"/>
  <c r="K480" i="1"/>
  <c r="S479" i="1"/>
  <c r="R479" i="1"/>
  <c r="Q479" i="1"/>
  <c r="P479" i="1"/>
  <c r="O479" i="1"/>
  <c r="N479" i="1"/>
  <c r="M479" i="1"/>
  <c r="K479" i="1"/>
  <c r="L479" i="1" s="1"/>
  <c r="S478" i="1"/>
  <c r="R478" i="1"/>
  <c r="Q478" i="1"/>
  <c r="P478" i="1"/>
  <c r="O478" i="1"/>
  <c r="N478" i="1"/>
  <c r="M478" i="1"/>
  <c r="L478" i="1"/>
  <c r="K478" i="1"/>
  <c r="S477" i="1"/>
  <c r="R477" i="1"/>
  <c r="Q477" i="1"/>
  <c r="P477" i="1"/>
  <c r="O477" i="1"/>
  <c r="N477" i="1"/>
  <c r="M477" i="1"/>
  <c r="K477" i="1"/>
  <c r="L477" i="1" s="1"/>
  <c r="S476" i="1"/>
  <c r="R476" i="1"/>
  <c r="Q476" i="1"/>
  <c r="P476" i="1"/>
  <c r="O476" i="1"/>
  <c r="N476" i="1"/>
  <c r="M476" i="1"/>
  <c r="L476" i="1"/>
  <c r="K476" i="1"/>
  <c r="S475" i="1"/>
  <c r="R475" i="1"/>
  <c r="Q475" i="1"/>
  <c r="P475" i="1"/>
  <c r="O475" i="1"/>
  <c r="N475" i="1"/>
  <c r="M475" i="1"/>
  <c r="K475" i="1"/>
  <c r="L475" i="1" s="1"/>
  <c r="S474" i="1"/>
  <c r="R474" i="1"/>
  <c r="Q474" i="1"/>
  <c r="P474" i="1"/>
  <c r="O474" i="1"/>
  <c r="N474" i="1"/>
  <c r="M474" i="1"/>
  <c r="L474" i="1"/>
  <c r="K474" i="1"/>
  <c r="S473" i="1"/>
  <c r="R473" i="1"/>
  <c r="Q473" i="1"/>
  <c r="P473" i="1"/>
  <c r="O473" i="1"/>
  <c r="N473" i="1"/>
  <c r="M473" i="1"/>
  <c r="K473" i="1"/>
  <c r="L473" i="1" s="1"/>
  <c r="S472" i="1"/>
  <c r="R472" i="1"/>
  <c r="Q472" i="1"/>
  <c r="P472" i="1"/>
  <c r="O472" i="1"/>
  <c r="N472" i="1"/>
  <c r="M472" i="1"/>
  <c r="L472" i="1"/>
  <c r="K472" i="1"/>
  <c r="S471" i="1"/>
  <c r="R471" i="1"/>
  <c r="Q471" i="1"/>
  <c r="P471" i="1"/>
  <c r="O471" i="1"/>
  <c r="N471" i="1"/>
  <c r="M471" i="1"/>
  <c r="K471" i="1"/>
  <c r="L471" i="1" s="1"/>
  <c r="S470" i="1"/>
  <c r="R470" i="1"/>
  <c r="Q470" i="1"/>
  <c r="P470" i="1"/>
  <c r="O470" i="1"/>
  <c r="N470" i="1"/>
  <c r="M470" i="1"/>
  <c r="L470" i="1"/>
  <c r="K470" i="1"/>
  <c r="S469" i="1"/>
  <c r="R469" i="1"/>
  <c r="Q469" i="1"/>
  <c r="P469" i="1"/>
  <c r="O469" i="1"/>
  <c r="N469" i="1"/>
  <c r="M469" i="1"/>
  <c r="K469" i="1"/>
  <c r="L469" i="1" s="1"/>
  <c r="S468" i="1"/>
  <c r="R468" i="1"/>
  <c r="Q468" i="1"/>
  <c r="P468" i="1"/>
  <c r="O468" i="1"/>
  <c r="N468" i="1"/>
  <c r="M468" i="1"/>
  <c r="L468" i="1"/>
  <c r="K468" i="1"/>
  <c r="S467" i="1"/>
  <c r="R467" i="1"/>
  <c r="Q467" i="1"/>
  <c r="P467" i="1"/>
  <c r="O467" i="1"/>
  <c r="N467" i="1"/>
  <c r="M467" i="1"/>
  <c r="K467" i="1"/>
  <c r="L467" i="1" s="1"/>
  <c r="S466" i="1"/>
  <c r="R466" i="1"/>
  <c r="Q466" i="1"/>
  <c r="P466" i="1"/>
  <c r="O466" i="1"/>
  <c r="N466" i="1"/>
  <c r="M466" i="1"/>
  <c r="L466" i="1"/>
  <c r="K466" i="1"/>
  <c r="S465" i="1"/>
  <c r="R465" i="1"/>
  <c r="Q465" i="1"/>
  <c r="P465" i="1"/>
  <c r="O465" i="1"/>
  <c r="N465" i="1"/>
  <c r="M465" i="1"/>
  <c r="K465" i="1"/>
  <c r="L465" i="1" s="1"/>
  <c r="S464" i="1"/>
  <c r="R464" i="1"/>
  <c r="Q464" i="1"/>
  <c r="P464" i="1"/>
  <c r="O464" i="1"/>
  <c r="N464" i="1"/>
  <c r="M464" i="1"/>
  <c r="L464" i="1"/>
  <c r="K464" i="1"/>
  <c r="S463" i="1"/>
  <c r="R463" i="1"/>
  <c r="Q463" i="1"/>
  <c r="P463" i="1"/>
  <c r="O463" i="1"/>
  <c r="N463" i="1"/>
  <c r="M463" i="1"/>
  <c r="K463" i="1"/>
  <c r="L463" i="1" s="1"/>
  <c r="S462" i="1"/>
  <c r="R462" i="1"/>
  <c r="Q462" i="1"/>
  <c r="P462" i="1"/>
  <c r="O462" i="1"/>
  <c r="N462" i="1"/>
  <c r="M462" i="1"/>
  <c r="L462" i="1"/>
  <c r="K462" i="1"/>
  <c r="S461" i="1"/>
  <c r="R461" i="1"/>
  <c r="Q461" i="1"/>
  <c r="P461" i="1"/>
  <c r="O461" i="1"/>
  <c r="N461" i="1"/>
  <c r="M461" i="1"/>
  <c r="K461" i="1"/>
  <c r="L461" i="1" s="1"/>
  <c r="S460" i="1"/>
  <c r="R460" i="1"/>
  <c r="Q460" i="1"/>
  <c r="P460" i="1"/>
  <c r="O460" i="1"/>
  <c r="N460" i="1"/>
  <c r="M460" i="1"/>
  <c r="L460" i="1"/>
  <c r="K460" i="1"/>
  <c r="S459" i="1"/>
  <c r="R459" i="1"/>
  <c r="Q459" i="1"/>
  <c r="P459" i="1"/>
  <c r="O459" i="1"/>
  <c r="N459" i="1"/>
  <c r="M459" i="1"/>
  <c r="K459" i="1"/>
  <c r="L459" i="1" s="1"/>
  <c r="S458" i="1"/>
  <c r="R458" i="1"/>
  <c r="Q458" i="1"/>
  <c r="P458" i="1"/>
  <c r="O458" i="1"/>
  <c r="N458" i="1"/>
  <c r="M458" i="1"/>
  <c r="L458" i="1"/>
  <c r="K458" i="1"/>
  <c r="S457" i="1"/>
  <c r="R457" i="1"/>
  <c r="Q457" i="1"/>
  <c r="P457" i="1"/>
  <c r="O457" i="1"/>
  <c r="N457" i="1"/>
  <c r="M457" i="1"/>
  <c r="K457" i="1"/>
  <c r="L457" i="1" s="1"/>
  <c r="S456" i="1"/>
  <c r="R456" i="1"/>
  <c r="Q456" i="1"/>
  <c r="P456" i="1"/>
  <c r="O456" i="1"/>
  <c r="N456" i="1"/>
  <c r="M456" i="1"/>
  <c r="L456" i="1"/>
  <c r="K456" i="1"/>
  <c r="S455" i="1"/>
  <c r="R455" i="1"/>
  <c r="Q455" i="1"/>
  <c r="P455" i="1"/>
  <c r="O455" i="1"/>
  <c r="N455" i="1"/>
  <c r="M455" i="1"/>
  <c r="K455" i="1"/>
  <c r="L455" i="1" s="1"/>
  <c r="S454" i="1"/>
  <c r="R454" i="1"/>
  <c r="Q454" i="1"/>
  <c r="P454" i="1"/>
  <c r="O454" i="1"/>
  <c r="N454" i="1"/>
  <c r="M454" i="1"/>
  <c r="L454" i="1"/>
  <c r="K454" i="1"/>
  <c r="S453" i="1"/>
  <c r="R453" i="1"/>
  <c r="Q453" i="1"/>
  <c r="P453" i="1"/>
  <c r="O453" i="1"/>
  <c r="N453" i="1"/>
  <c r="M453" i="1"/>
  <c r="K453" i="1"/>
  <c r="L453" i="1" s="1"/>
  <c r="S452" i="1"/>
  <c r="R452" i="1"/>
  <c r="Q452" i="1"/>
  <c r="P452" i="1"/>
  <c r="O452" i="1"/>
  <c r="N452" i="1"/>
  <c r="M452" i="1"/>
  <c r="L452" i="1"/>
  <c r="K452" i="1"/>
  <c r="S451" i="1"/>
  <c r="R451" i="1"/>
  <c r="Q451" i="1"/>
  <c r="P451" i="1"/>
  <c r="O451" i="1"/>
  <c r="N451" i="1"/>
  <c r="M451" i="1"/>
  <c r="K451" i="1"/>
  <c r="L451" i="1" s="1"/>
  <c r="S450" i="1"/>
  <c r="R450" i="1"/>
  <c r="Q450" i="1"/>
  <c r="P450" i="1"/>
  <c r="O450" i="1"/>
  <c r="N450" i="1"/>
  <c r="M450" i="1"/>
  <c r="L450" i="1"/>
  <c r="K450" i="1"/>
  <c r="S449" i="1"/>
  <c r="R449" i="1"/>
  <c r="Q449" i="1"/>
  <c r="P449" i="1"/>
  <c r="O449" i="1"/>
  <c r="N449" i="1"/>
  <c r="M449" i="1"/>
  <c r="K449" i="1"/>
  <c r="L449" i="1" s="1"/>
  <c r="S448" i="1"/>
  <c r="R448" i="1"/>
  <c r="Q448" i="1"/>
  <c r="P448" i="1"/>
  <c r="O448" i="1"/>
  <c r="N448" i="1"/>
  <c r="M448" i="1"/>
  <c r="L448" i="1"/>
  <c r="K448" i="1"/>
  <c r="S447" i="1"/>
  <c r="R447" i="1"/>
  <c r="Q447" i="1"/>
  <c r="P447" i="1"/>
  <c r="O447" i="1"/>
  <c r="N447" i="1"/>
  <c r="M447" i="1"/>
  <c r="K447" i="1"/>
  <c r="L447" i="1" s="1"/>
  <c r="S446" i="1"/>
  <c r="R446" i="1"/>
  <c r="Q446" i="1"/>
  <c r="P446" i="1"/>
  <c r="O446" i="1"/>
  <c r="N446" i="1"/>
  <c r="M446" i="1"/>
  <c r="L446" i="1"/>
  <c r="K446" i="1"/>
  <c r="S445" i="1"/>
  <c r="R445" i="1"/>
  <c r="Q445" i="1"/>
  <c r="P445" i="1"/>
  <c r="O445" i="1"/>
  <c r="N445" i="1"/>
  <c r="M445" i="1"/>
  <c r="K445" i="1"/>
  <c r="L445" i="1" s="1"/>
  <c r="S444" i="1"/>
  <c r="R444" i="1"/>
  <c r="Q444" i="1"/>
  <c r="P444" i="1"/>
  <c r="O444" i="1"/>
  <c r="N444" i="1"/>
  <c r="M444" i="1"/>
  <c r="L444" i="1"/>
  <c r="K444" i="1"/>
  <c r="S443" i="1"/>
  <c r="R443" i="1"/>
  <c r="Q443" i="1"/>
  <c r="P443" i="1"/>
  <c r="O443" i="1"/>
  <c r="N443" i="1"/>
  <c r="M443" i="1"/>
  <c r="K443" i="1"/>
  <c r="L443" i="1" s="1"/>
  <c r="S442" i="1"/>
  <c r="R442" i="1"/>
  <c r="Q442" i="1"/>
  <c r="P442" i="1"/>
  <c r="O442" i="1"/>
  <c r="N442" i="1"/>
  <c r="M442" i="1"/>
  <c r="L442" i="1"/>
  <c r="K442" i="1"/>
  <c r="S441" i="1"/>
  <c r="R441" i="1"/>
  <c r="Q441" i="1"/>
  <c r="P441" i="1"/>
  <c r="O441" i="1"/>
  <c r="N441" i="1"/>
  <c r="M441" i="1"/>
  <c r="K441" i="1"/>
  <c r="L441" i="1" s="1"/>
  <c r="S440" i="1"/>
  <c r="R440" i="1"/>
  <c r="Q440" i="1"/>
  <c r="P440" i="1"/>
  <c r="O440" i="1"/>
  <c r="N440" i="1"/>
  <c r="M440" i="1"/>
  <c r="L440" i="1"/>
  <c r="K440" i="1"/>
  <c r="S439" i="1"/>
  <c r="R439" i="1"/>
  <c r="Q439" i="1"/>
  <c r="P439" i="1"/>
  <c r="O439" i="1"/>
  <c r="N439" i="1"/>
  <c r="M439" i="1"/>
  <c r="K439" i="1"/>
  <c r="L439" i="1" s="1"/>
  <c r="S438" i="1"/>
  <c r="R438" i="1"/>
  <c r="Q438" i="1"/>
  <c r="P438" i="1"/>
  <c r="O438" i="1"/>
  <c r="N438" i="1"/>
  <c r="M438" i="1"/>
  <c r="L438" i="1"/>
  <c r="K438" i="1"/>
  <c r="S437" i="1"/>
  <c r="R437" i="1"/>
  <c r="Q437" i="1"/>
  <c r="P437" i="1"/>
  <c r="O437" i="1"/>
  <c r="N437" i="1"/>
  <c r="M437" i="1"/>
  <c r="K437" i="1"/>
  <c r="L437" i="1" s="1"/>
  <c r="S436" i="1"/>
  <c r="R436" i="1"/>
  <c r="Q436" i="1"/>
  <c r="P436" i="1"/>
  <c r="O436" i="1"/>
  <c r="N436" i="1"/>
  <c r="M436" i="1"/>
  <c r="L436" i="1"/>
  <c r="K436" i="1"/>
  <c r="S435" i="1"/>
  <c r="R435" i="1"/>
  <c r="Q435" i="1"/>
  <c r="P435" i="1"/>
  <c r="O435" i="1"/>
  <c r="N435" i="1"/>
  <c r="M435" i="1"/>
  <c r="K435" i="1"/>
  <c r="L435" i="1" s="1"/>
  <c r="S434" i="1"/>
  <c r="R434" i="1"/>
  <c r="Q434" i="1"/>
  <c r="P434" i="1"/>
  <c r="O434" i="1"/>
  <c r="N434" i="1"/>
  <c r="M434" i="1"/>
  <c r="L434" i="1"/>
  <c r="K434" i="1"/>
  <c r="S433" i="1"/>
  <c r="R433" i="1"/>
  <c r="Q433" i="1"/>
  <c r="P433" i="1"/>
  <c r="O433" i="1"/>
  <c r="N433" i="1"/>
  <c r="M433" i="1"/>
  <c r="K433" i="1"/>
  <c r="L433" i="1" s="1"/>
  <c r="S432" i="1"/>
  <c r="R432" i="1"/>
  <c r="Q432" i="1"/>
  <c r="P432" i="1"/>
  <c r="O432" i="1"/>
  <c r="N432" i="1"/>
  <c r="M432" i="1"/>
  <c r="L432" i="1"/>
  <c r="K432" i="1"/>
  <c r="S431" i="1"/>
  <c r="R431" i="1"/>
  <c r="Q431" i="1"/>
  <c r="P431" i="1"/>
  <c r="O431" i="1"/>
  <c r="N431" i="1"/>
  <c r="M431" i="1"/>
  <c r="K431" i="1"/>
  <c r="L431" i="1" s="1"/>
  <c r="S430" i="1"/>
  <c r="R430" i="1"/>
  <c r="Q430" i="1"/>
  <c r="P430" i="1"/>
  <c r="O430" i="1"/>
  <c r="N430" i="1"/>
  <c r="M430" i="1"/>
  <c r="L430" i="1"/>
  <c r="K430" i="1"/>
  <c r="S429" i="1"/>
  <c r="R429" i="1"/>
  <c r="Q429" i="1"/>
  <c r="P429" i="1"/>
  <c r="O429" i="1"/>
  <c r="N429" i="1"/>
  <c r="M429" i="1"/>
  <c r="K429" i="1"/>
  <c r="L429" i="1" s="1"/>
  <c r="S428" i="1"/>
  <c r="R428" i="1"/>
  <c r="Q428" i="1"/>
  <c r="P428" i="1"/>
  <c r="O428" i="1"/>
  <c r="N428" i="1"/>
  <c r="M428" i="1"/>
  <c r="L428" i="1"/>
  <c r="K428" i="1"/>
  <c r="S427" i="1"/>
  <c r="R427" i="1"/>
  <c r="Q427" i="1"/>
  <c r="P427" i="1"/>
  <c r="O427" i="1"/>
  <c r="N427" i="1"/>
  <c r="M427" i="1"/>
  <c r="K427" i="1"/>
  <c r="L427" i="1" s="1"/>
  <c r="S426" i="1"/>
  <c r="R426" i="1"/>
  <c r="Q426" i="1"/>
  <c r="P426" i="1"/>
  <c r="O426" i="1"/>
  <c r="N426" i="1"/>
  <c r="M426" i="1"/>
  <c r="L426" i="1"/>
  <c r="K426" i="1"/>
  <c r="S425" i="1"/>
  <c r="R425" i="1"/>
  <c r="Q425" i="1"/>
  <c r="P425" i="1"/>
  <c r="O425" i="1"/>
  <c r="N425" i="1"/>
  <c r="M425" i="1"/>
  <c r="K425" i="1"/>
  <c r="L425" i="1" s="1"/>
  <c r="S424" i="1"/>
  <c r="R424" i="1"/>
  <c r="Q424" i="1"/>
  <c r="P424" i="1"/>
  <c r="O424" i="1"/>
  <c r="N424" i="1"/>
  <c r="M424" i="1"/>
  <c r="L424" i="1"/>
  <c r="K424" i="1"/>
  <c r="S423" i="1"/>
  <c r="R423" i="1"/>
  <c r="Q423" i="1"/>
  <c r="P423" i="1"/>
  <c r="O423" i="1"/>
  <c r="N423" i="1"/>
  <c r="M423" i="1"/>
  <c r="K423" i="1"/>
  <c r="L423" i="1" s="1"/>
  <c r="S422" i="1"/>
  <c r="R422" i="1"/>
  <c r="Q422" i="1"/>
  <c r="P422" i="1"/>
  <c r="O422" i="1"/>
  <c r="N422" i="1"/>
  <c r="M422" i="1"/>
  <c r="L422" i="1"/>
  <c r="K422" i="1"/>
  <c r="S421" i="1"/>
  <c r="R421" i="1"/>
  <c r="Q421" i="1"/>
  <c r="P421" i="1"/>
  <c r="O421" i="1"/>
  <c r="N421" i="1"/>
  <c r="M421" i="1"/>
  <c r="K421" i="1"/>
  <c r="L421" i="1" s="1"/>
  <c r="S420" i="1"/>
  <c r="R420" i="1"/>
  <c r="Q420" i="1"/>
  <c r="P420" i="1"/>
  <c r="O420" i="1"/>
  <c r="N420" i="1"/>
  <c r="M420" i="1"/>
  <c r="L420" i="1"/>
  <c r="K420" i="1"/>
  <c r="S419" i="1"/>
  <c r="R419" i="1"/>
  <c r="Q419" i="1"/>
  <c r="P419" i="1"/>
  <c r="O419" i="1"/>
  <c r="N419" i="1"/>
  <c r="M419" i="1"/>
  <c r="K419" i="1"/>
  <c r="L419" i="1" s="1"/>
  <c r="S418" i="1"/>
  <c r="R418" i="1"/>
  <c r="Q418" i="1"/>
  <c r="P418" i="1"/>
  <c r="O418" i="1"/>
  <c r="N418" i="1"/>
  <c r="M418" i="1"/>
  <c r="L418" i="1"/>
  <c r="K418" i="1"/>
  <c r="S417" i="1"/>
  <c r="R417" i="1"/>
  <c r="Q417" i="1"/>
  <c r="P417" i="1"/>
  <c r="O417" i="1"/>
  <c r="N417" i="1"/>
  <c r="M417" i="1"/>
  <c r="K417" i="1"/>
  <c r="L417" i="1" s="1"/>
  <c r="S416" i="1"/>
  <c r="R416" i="1"/>
  <c r="Q416" i="1"/>
  <c r="P416" i="1"/>
  <c r="O416" i="1"/>
  <c r="N416" i="1"/>
  <c r="M416" i="1"/>
  <c r="L416" i="1"/>
  <c r="K416" i="1"/>
  <c r="S415" i="1"/>
  <c r="R415" i="1"/>
  <c r="Q415" i="1"/>
  <c r="P415" i="1"/>
  <c r="O415" i="1"/>
  <c r="N415" i="1"/>
  <c r="M415" i="1"/>
  <c r="K415" i="1"/>
  <c r="L415" i="1" s="1"/>
  <c r="S414" i="1"/>
  <c r="R414" i="1"/>
  <c r="Q414" i="1"/>
  <c r="P414" i="1"/>
  <c r="O414" i="1"/>
  <c r="N414" i="1"/>
  <c r="M414" i="1"/>
  <c r="L414" i="1"/>
  <c r="K414" i="1"/>
  <c r="S413" i="1"/>
  <c r="R413" i="1"/>
  <c r="Q413" i="1"/>
  <c r="P413" i="1"/>
  <c r="O413" i="1"/>
  <c r="N413" i="1"/>
  <c r="M413" i="1"/>
  <c r="K413" i="1"/>
  <c r="L413" i="1" s="1"/>
  <c r="S412" i="1"/>
  <c r="R412" i="1"/>
  <c r="Q412" i="1"/>
  <c r="P412" i="1"/>
  <c r="O412" i="1"/>
  <c r="N412" i="1"/>
  <c r="M412" i="1"/>
  <c r="L412" i="1"/>
  <c r="K412" i="1"/>
  <c r="S411" i="1"/>
  <c r="R411" i="1"/>
  <c r="Q411" i="1"/>
  <c r="P411" i="1"/>
  <c r="O411" i="1"/>
  <c r="N411" i="1"/>
  <c r="M411" i="1"/>
  <c r="K411" i="1"/>
  <c r="L411" i="1" s="1"/>
  <c r="S410" i="1"/>
  <c r="R410" i="1"/>
  <c r="Q410" i="1"/>
  <c r="P410" i="1"/>
  <c r="O410" i="1"/>
  <c r="N410" i="1"/>
  <c r="M410" i="1"/>
  <c r="L410" i="1"/>
  <c r="K410" i="1"/>
  <c r="S409" i="1"/>
  <c r="R409" i="1"/>
  <c r="Q409" i="1"/>
  <c r="P409" i="1"/>
  <c r="O409" i="1"/>
  <c r="N409" i="1"/>
  <c r="M409" i="1"/>
  <c r="K409" i="1"/>
  <c r="L409" i="1" s="1"/>
  <c r="S408" i="1"/>
  <c r="R408" i="1"/>
  <c r="Q408" i="1"/>
  <c r="P408" i="1"/>
  <c r="O408" i="1"/>
  <c r="N408" i="1"/>
  <c r="M408" i="1"/>
  <c r="L408" i="1"/>
  <c r="K408" i="1"/>
  <c r="S407" i="1"/>
  <c r="R407" i="1"/>
  <c r="Q407" i="1"/>
  <c r="P407" i="1"/>
  <c r="O407" i="1"/>
  <c r="N407" i="1"/>
  <c r="M407" i="1"/>
  <c r="K407" i="1"/>
  <c r="L407" i="1" s="1"/>
  <c r="S406" i="1"/>
  <c r="R406" i="1"/>
  <c r="Q406" i="1"/>
  <c r="P406" i="1"/>
  <c r="O406" i="1"/>
  <c r="N406" i="1"/>
  <c r="M406" i="1"/>
  <c r="L406" i="1"/>
  <c r="K406" i="1"/>
  <c r="S405" i="1"/>
  <c r="R405" i="1"/>
  <c r="Q405" i="1"/>
  <c r="P405" i="1"/>
  <c r="O405" i="1"/>
  <c r="N405" i="1"/>
  <c r="M405" i="1"/>
  <c r="K405" i="1"/>
  <c r="L405" i="1" s="1"/>
  <c r="S404" i="1"/>
  <c r="R404" i="1"/>
  <c r="Q404" i="1"/>
  <c r="P404" i="1"/>
  <c r="O404" i="1"/>
  <c r="N404" i="1"/>
  <c r="M404" i="1"/>
  <c r="L404" i="1"/>
  <c r="K404" i="1"/>
  <c r="S403" i="1"/>
  <c r="R403" i="1"/>
  <c r="Q403" i="1"/>
  <c r="P403" i="1"/>
  <c r="O403" i="1"/>
  <c r="N403" i="1"/>
  <c r="M403" i="1"/>
  <c r="K403" i="1"/>
  <c r="L403" i="1" s="1"/>
  <c r="S402" i="1"/>
  <c r="R402" i="1"/>
  <c r="Q402" i="1"/>
  <c r="P402" i="1"/>
  <c r="O402" i="1"/>
  <c r="N402" i="1"/>
  <c r="M402" i="1"/>
  <c r="L402" i="1"/>
  <c r="K402" i="1"/>
  <c r="S401" i="1"/>
  <c r="R401" i="1"/>
  <c r="Q401" i="1"/>
  <c r="P401" i="1"/>
  <c r="O401" i="1"/>
  <c r="N401" i="1"/>
  <c r="M401" i="1"/>
  <c r="K401" i="1"/>
  <c r="L401" i="1" s="1"/>
  <c r="S400" i="1"/>
  <c r="R400" i="1"/>
  <c r="Q400" i="1"/>
  <c r="P400" i="1"/>
  <c r="O400" i="1"/>
  <c r="N400" i="1"/>
  <c r="M400" i="1"/>
  <c r="L400" i="1"/>
  <c r="K400" i="1"/>
  <c r="S399" i="1"/>
  <c r="R399" i="1"/>
  <c r="Q399" i="1"/>
  <c r="P399" i="1"/>
  <c r="O399" i="1"/>
  <c r="N399" i="1"/>
  <c r="M399" i="1"/>
  <c r="K399" i="1"/>
  <c r="L399" i="1" s="1"/>
  <c r="S398" i="1"/>
  <c r="R398" i="1"/>
  <c r="Q398" i="1"/>
  <c r="P398" i="1"/>
  <c r="O398" i="1"/>
  <c r="N398" i="1"/>
  <c r="M398" i="1"/>
  <c r="L398" i="1"/>
  <c r="K398" i="1"/>
  <c r="S397" i="1"/>
  <c r="R397" i="1"/>
  <c r="Q397" i="1"/>
  <c r="P397" i="1"/>
  <c r="O397" i="1"/>
  <c r="N397" i="1"/>
  <c r="M397" i="1"/>
  <c r="K397" i="1"/>
  <c r="L397" i="1" s="1"/>
  <c r="S396" i="1"/>
  <c r="R396" i="1"/>
  <c r="Q396" i="1"/>
  <c r="P396" i="1"/>
  <c r="O396" i="1"/>
  <c r="N396" i="1"/>
  <c r="M396" i="1"/>
  <c r="L396" i="1"/>
  <c r="K396" i="1"/>
  <c r="S395" i="1"/>
  <c r="R395" i="1"/>
  <c r="Q395" i="1"/>
  <c r="P395" i="1"/>
  <c r="O395" i="1"/>
  <c r="N395" i="1"/>
  <c r="M395" i="1"/>
  <c r="K395" i="1"/>
  <c r="L395" i="1" s="1"/>
  <c r="S394" i="1"/>
  <c r="R394" i="1"/>
  <c r="Q394" i="1"/>
  <c r="P394" i="1"/>
  <c r="O394" i="1"/>
  <c r="N394" i="1"/>
  <c r="M394" i="1"/>
  <c r="L394" i="1"/>
  <c r="K394" i="1"/>
  <c r="S393" i="1"/>
  <c r="R393" i="1"/>
  <c r="Q393" i="1"/>
  <c r="P393" i="1"/>
  <c r="O393" i="1"/>
  <c r="N393" i="1"/>
  <c r="M393" i="1"/>
  <c r="K393" i="1"/>
  <c r="L393" i="1" s="1"/>
  <c r="S392" i="1"/>
  <c r="R392" i="1"/>
  <c r="Q392" i="1"/>
  <c r="P392" i="1"/>
  <c r="O392" i="1"/>
  <c r="N392" i="1"/>
  <c r="M392" i="1"/>
  <c r="L392" i="1"/>
  <c r="K392" i="1"/>
  <c r="S391" i="1"/>
  <c r="R391" i="1"/>
  <c r="Q391" i="1"/>
  <c r="P391" i="1"/>
  <c r="O391" i="1"/>
  <c r="N391" i="1"/>
  <c r="M391" i="1"/>
  <c r="K391" i="1"/>
  <c r="L391" i="1" s="1"/>
  <c r="S390" i="1"/>
  <c r="R390" i="1"/>
  <c r="Q390" i="1"/>
  <c r="P390" i="1"/>
  <c r="O390" i="1"/>
  <c r="N390" i="1"/>
  <c r="M390" i="1"/>
  <c r="L390" i="1"/>
  <c r="K390" i="1"/>
  <c r="S389" i="1"/>
  <c r="R389" i="1"/>
  <c r="Q389" i="1"/>
  <c r="P389" i="1"/>
  <c r="O389" i="1"/>
  <c r="N389" i="1"/>
  <c r="M389" i="1"/>
  <c r="K389" i="1"/>
  <c r="L389" i="1" s="1"/>
  <c r="S388" i="1"/>
  <c r="R388" i="1"/>
  <c r="Q388" i="1"/>
  <c r="P388" i="1"/>
  <c r="O388" i="1"/>
  <c r="N388" i="1"/>
  <c r="M388" i="1"/>
  <c r="L388" i="1"/>
  <c r="K388" i="1"/>
  <c r="S387" i="1"/>
  <c r="R387" i="1"/>
  <c r="Q387" i="1"/>
  <c r="P387" i="1"/>
  <c r="O387" i="1"/>
  <c r="N387" i="1"/>
  <c r="M387" i="1"/>
  <c r="K387" i="1"/>
  <c r="L387" i="1" s="1"/>
  <c r="S386" i="1"/>
  <c r="R386" i="1"/>
  <c r="Q386" i="1"/>
  <c r="P386" i="1"/>
  <c r="O386" i="1"/>
  <c r="N386" i="1"/>
  <c r="M386" i="1"/>
  <c r="L386" i="1"/>
  <c r="K386" i="1"/>
  <c r="S385" i="1"/>
  <c r="R385" i="1"/>
  <c r="Q385" i="1"/>
  <c r="P385" i="1"/>
  <c r="O385" i="1"/>
  <c r="N385" i="1"/>
  <c r="M385" i="1"/>
  <c r="K385" i="1"/>
  <c r="L385" i="1" s="1"/>
  <c r="S384" i="1"/>
  <c r="R384" i="1"/>
  <c r="Q384" i="1"/>
  <c r="P384" i="1"/>
  <c r="O384" i="1"/>
  <c r="N384" i="1"/>
  <c r="M384" i="1"/>
  <c r="L384" i="1"/>
  <c r="K384" i="1"/>
  <c r="S383" i="1"/>
  <c r="R383" i="1"/>
  <c r="Q383" i="1"/>
  <c r="P383" i="1"/>
  <c r="O383" i="1"/>
  <c r="N383" i="1"/>
  <c r="M383" i="1"/>
  <c r="K383" i="1"/>
  <c r="L383" i="1" s="1"/>
  <c r="S382" i="1"/>
  <c r="R382" i="1"/>
  <c r="Q382" i="1"/>
  <c r="P382" i="1"/>
  <c r="O382" i="1"/>
  <c r="N382" i="1"/>
  <c r="M382" i="1"/>
  <c r="L382" i="1"/>
  <c r="K382" i="1"/>
  <c r="S381" i="1"/>
  <c r="R381" i="1"/>
  <c r="Q381" i="1"/>
  <c r="P381" i="1"/>
  <c r="O381" i="1"/>
  <c r="N381" i="1"/>
  <c r="M381" i="1"/>
  <c r="K381" i="1"/>
  <c r="L381" i="1" s="1"/>
  <c r="S380" i="1"/>
  <c r="R380" i="1"/>
  <c r="Q380" i="1"/>
  <c r="P380" i="1"/>
  <c r="O380" i="1"/>
  <c r="N380" i="1"/>
  <c r="M380" i="1"/>
  <c r="L380" i="1"/>
  <c r="K380" i="1"/>
  <c r="S379" i="1"/>
  <c r="R379" i="1"/>
  <c r="Q379" i="1"/>
  <c r="P379" i="1"/>
  <c r="O379" i="1"/>
  <c r="N379" i="1"/>
  <c r="M379" i="1"/>
  <c r="K379" i="1"/>
  <c r="L379" i="1" s="1"/>
  <c r="S378" i="1"/>
  <c r="R378" i="1"/>
  <c r="Q378" i="1"/>
  <c r="P378" i="1"/>
  <c r="O378" i="1"/>
  <c r="N378" i="1"/>
  <c r="M378" i="1"/>
  <c r="L378" i="1"/>
  <c r="K378" i="1"/>
  <c r="S377" i="1"/>
  <c r="R377" i="1"/>
  <c r="Q377" i="1"/>
  <c r="P377" i="1"/>
  <c r="O377" i="1"/>
  <c r="N377" i="1"/>
  <c r="M377" i="1"/>
  <c r="K377" i="1"/>
  <c r="L377" i="1" s="1"/>
  <c r="S376" i="1"/>
  <c r="R376" i="1"/>
  <c r="Q376" i="1"/>
  <c r="P376" i="1"/>
  <c r="O376" i="1"/>
  <c r="N376" i="1"/>
  <c r="M376" i="1"/>
  <c r="L376" i="1"/>
  <c r="K376" i="1"/>
  <c r="S375" i="1"/>
  <c r="R375" i="1"/>
  <c r="Q375" i="1"/>
  <c r="P375" i="1"/>
  <c r="O375" i="1"/>
  <c r="N375" i="1"/>
  <c r="M375" i="1"/>
  <c r="K375" i="1"/>
  <c r="L375" i="1" s="1"/>
  <c r="S374" i="1"/>
  <c r="R374" i="1"/>
  <c r="Q374" i="1"/>
  <c r="P374" i="1"/>
  <c r="O374" i="1"/>
  <c r="N374" i="1"/>
  <c r="M374" i="1"/>
  <c r="L374" i="1"/>
  <c r="K374" i="1"/>
  <c r="S373" i="1"/>
  <c r="R373" i="1"/>
  <c r="Q373" i="1"/>
  <c r="P373" i="1"/>
  <c r="O373" i="1"/>
  <c r="N373" i="1"/>
  <c r="M373" i="1"/>
  <c r="K373" i="1"/>
  <c r="L373" i="1" s="1"/>
  <c r="S372" i="1"/>
  <c r="R372" i="1"/>
  <c r="Q372" i="1"/>
  <c r="P372" i="1"/>
  <c r="O372" i="1"/>
  <c r="N372" i="1"/>
  <c r="M372" i="1"/>
  <c r="L372" i="1"/>
  <c r="K372" i="1"/>
  <c r="S371" i="1"/>
  <c r="R371" i="1"/>
  <c r="Q371" i="1"/>
  <c r="P371" i="1"/>
  <c r="O371" i="1"/>
  <c r="N371" i="1"/>
  <c r="M371" i="1"/>
  <c r="K371" i="1"/>
  <c r="L371" i="1" s="1"/>
  <c r="S370" i="1"/>
  <c r="R370" i="1"/>
  <c r="Q370" i="1"/>
  <c r="P370" i="1"/>
  <c r="O370" i="1"/>
  <c r="N370" i="1"/>
  <c r="M370" i="1"/>
  <c r="L370" i="1"/>
  <c r="K370" i="1"/>
  <c r="S369" i="1"/>
  <c r="R369" i="1"/>
  <c r="Q369" i="1"/>
  <c r="P369" i="1"/>
  <c r="O369" i="1"/>
  <c r="N369" i="1"/>
  <c r="M369" i="1"/>
  <c r="K369" i="1"/>
  <c r="L369" i="1" s="1"/>
  <c r="S368" i="1"/>
  <c r="R368" i="1"/>
  <c r="Q368" i="1"/>
  <c r="P368" i="1"/>
  <c r="O368" i="1"/>
  <c r="N368" i="1"/>
  <c r="M368" i="1"/>
  <c r="L368" i="1"/>
  <c r="K368" i="1"/>
  <c r="S367" i="1"/>
  <c r="R367" i="1"/>
  <c r="Q367" i="1"/>
  <c r="P367" i="1"/>
  <c r="O367" i="1"/>
  <c r="N367" i="1"/>
  <c r="M367" i="1"/>
  <c r="K367" i="1"/>
  <c r="L367" i="1" s="1"/>
  <c r="S366" i="1"/>
  <c r="R366" i="1"/>
  <c r="Q366" i="1"/>
  <c r="P366" i="1"/>
  <c r="O366" i="1"/>
  <c r="N366" i="1"/>
  <c r="M366" i="1"/>
  <c r="L366" i="1"/>
  <c r="K366" i="1"/>
  <c r="S365" i="1"/>
  <c r="R365" i="1"/>
  <c r="Q365" i="1"/>
  <c r="P365" i="1"/>
  <c r="O365" i="1"/>
  <c r="N365" i="1"/>
  <c r="M365" i="1"/>
  <c r="K365" i="1"/>
  <c r="L365" i="1" s="1"/>
  <c r="S364" i="1"/>
  <c r="R364" i="1"/>
  <c r="Q364" i="1"/>
  <c r="P364" i="1"/>
  <c r="O364" i="1"/>
  <c r="N364" i="1"/>
  <c r="M364" i="1"/>
  <c r="L364" i="1"/>
  <c r="K364" i="1"/>
  <c r="S363" i="1"/>
  <c r="R363" i="1"/>
  <c r="Q363" i="1"/>
  <c r="P363" i="1"/>
  <c r="O363" i="1"/>
  <c r="N363" i="1"/>
  <c r="M363" i="1"/>
  <c r="K363" i="1"/>
  <c r="L363" i="1" s="1"/>
  <c r="S362" i="1"/>
  <c r="R362" i="1"/>
  <c r="Q362" i="1"/>
  <c r="P362" i="1"/>
  <c r="O362" i="1"/>
  <c r="N362" i="1"/>
  <c r="M362" i="1"/>
  <c r="L362" i="1"/>
  <c r="K362" i="1"/>
  <c r="S361" i="1"/>
  <c r="R361" i="1"/>
  <c r="Q361" i="1"/>
  <c r="P361" i="1"/>
  <c r="O361" i="1"/>
  <c r="N361" i="1"/>
  <c r="M361" i="1"/>
  <c r="K361" i="1"/>
  <c r="L361" i="1" s="1"/>
  <c r="S360" i="1"/>
  <c r="R360" i="1"/>
  <c r="Q360" i="1"/>
  <c r="P360" i="1"/>
  <c r="O360" i="1"/>
  <c r="N360" i="1"/>
  <c r="M360" i="1"/>
  <c r="L360" i="1"/>
  <c r="K360" i="1"/>
  <c r="S359" i="1"/>
  <c r="R359" i="1"/>
  <c r="Q359" i="1"/>
  <c r="P359" i="1"/>
  <c r="O359" i="1"/>
  <c r="N359" i="1"/>
  <c r="M359" i="1"/>
  <c r="K359" i="1"/>
  <c r="L359" i="1" s="1"/>
  <c r="S358" i="1"/>
  <c r="R358" i="1"/>
  <c r="Q358" i="1"/>
  <c r="P358" i="1"/>
  <c r="O358" i="1"/>
  <c r="N358" i="1"/>
  <c r="M358" i="1"/>
  <c r="L358" i="1"/>
  <c r="K358" i="1"/>
  <c r="S357" i="1"/>
  <c r="R357" i="1"/>
  <c r="Q357" i="1"/>
  <c r="P357" i="1"/>
  <c r="O357" i="1"/>
  <c r="N357" i="1"/>
  <c r="M357" i="1"/>
  <c r="K357" i="1"/>
  <c r="L357" i="1" s="1"/>
  <c r="S356" i="1"/>
  <c r="R356" i="1"/>
  <c r="Q356" i="1"/>
  <c r="P356" i="1"/>
  <c r="O356" i="1"/>
  <c r="N356" i="1"/>
  <c r="M356" i="1"/>
  <c r="L356" i="1"/>
  <c r="K356" i="1"/>
  <c r="S355" i="1"/>
  <c r="R355" i="1"/>
  <c r="Q355" i="1"/>
  <c r="P355" i="1"/>
  <c r="O355" i="1"/>
  <c r="N355" i="1"/>
  <c r="M355" i="1"/>
  <c r="K355" i="1"/>
  <c r="L355" i="1" s="1"/>
  <c r="S354" i="1"/>
  <c r="R354" i="1"/>
  <c r="Q354" i="1"/>
  <c r="P354" i="1"/>
  <c r="O354" i="1"/>
  <c r="N354" i="1"/>
  <c r="M354" i="1"/>
  <c r="L354" i="1"/>
  <c r="K354" i="1"/>
  <c r="S353" i="1"/>
  <c r="R353" i="1"/>
  <c r="Q353" i="1"/>
  <c r="P353" i="1"/>
  <c r="O353" i="1"/>
  <c r="N353" i="1"/>
  <c r="M353" i="1"/>
  <c r="K353" i="1"/>
  <c r="L353" i="1" s="1"/>
  <c r="S352" i="1"/>
  <c r="R352" i="1"/>
  <c r="Q352" i="1"/>
  <c r="P352" i="1"/>
  <c r="O352" i="1"/>
  <c r="N352" i="1"/>
  <c r="M352" i="1"/>
  <c r="L352" i="1"/>
  <c r="K352" i="1"/>
  <c r="S351" i="1"/>
  <c r="R351" i="1"/>
  <c r="Q351" i="1"/>
  <c r="P351" i="1"/>
  <c r="O351" i="1"/>
  <c r="N351" i="1"/>
  <c r="M351" i="1"/>
  <c r="K351" i="1"/>
  <c r="L351" i="1" s="1"/>
  <c r="S350" i="1"/>
  <c r="R350" i="1"/>
  <c r="Q350" i="1"/>
  <c r="P350" i="1"/>
  <c r="O350" i="1"/>
  <c r="N350" i="1"/>
  <c r="M350" i="1"/>
  <c r="L350" i="1"/>
  <c r="K350" i="1"/>
  <c r="S349" i="1"/>
  <c r="R349" i="1"/>
  <c r="Q349" i="1"/>
  <c r="P349" i="1"/>
  <c r="O349" i="1"/>
  <c r="N349" i="1"/>
  <c r="M349" i="1"/>
  <c r="K349" i="1"/>
  <c r="L349" i="1" s="1"/>
  <c r="S348" i="1"/>
  <c r="R348" i="1"/>
  <c r="Q348" i="1"/>
  <c r="P348" i="1"/>
  <c r="O348" i="1"/>
  <c r="N348" i="1"/>
  <c r="M348" i="1"/>
  <c r="L348" i="1"/>
  <c r="K348" i="1"/>
  <c r="S347" i="1"/>
  <c r="R347" i="1"/>
  <c r="Q347" i="1"/>
  <c r="P347" i="1"/>
  <c r="O347" i="1"/>
  <c r="N347" i="1"/>
  <c r="M347" i="1"/>
  <c r="K347" i="1"/>
  <c r="L347" i="1" s="1"/>
  <c r="S346" i="1"/>
  <c r="R346" i="1"/>
  <c r="Q346" i="1"/>
  <c r="P346" i="1"/>
  <c r="O346" i="1"/>
  <c r="N346" i="1"/>
  <c r="M346" i="1"/>
  <c r="L346" i="1"/>
  <c r="K346" i="1"/>
  <c r="S345" i="1"/>
  <c r="R345" i="1"/>
  <c r="Q345" i="1"/>
  <c r="P345" i="1"/>
  <c r="O345" i="1"/>
  <c r="N345" i="1"/>
  <c r="M345" i="1"/>
  <c r="K345" i="1"/>
  <c r="L345" i="1" s="1"/>
  <c r="S344" i="1"/>
  <c r="R344" i="1"/>
  <c r="Q344" i="1"/>
  <c r="P344" i="1"/>
  <c r="O344" i="1"/>
  <c r="N344" i="1"/>
  <c r="M344" i="1"/>
  <c r="L344" i="1"/>
  <c r="K344" i="1"/>
  <c r="S343" i="1"/>
  <c r="R343" i="1"/>
  <c r="Q343" i="1"/>
  <c r="P343" i="1"/>
  <c r="O343" i="1"/>
  <c r="N343" i="1"/>
  <c r="M343" i="1"/>
  <c r="K343" i="1"/>
  <c r="L343" i="1" s="1"/>
  <c r="S342" i="1"/>
  <c r="R342" i="1"/>
  <c r="Q342" i="1"/>
  <c r="P342" i="1"/>
  <c r="O342" i="1"/>
  <c r="N342" i="1"/>
  <c r="M342" i="1"/>
  <c r="L342" i="1"/>
  <c r="K342" i="1"/>
  <c r="S341" i="1"/>
  <c r="R341" i="1"/>
  <c r="Q341" i="1"/>
  <c r="P341" i="1"/>
  <c r="O341" i="1"/>
  <c r="N341" i="1"/>
  <c r="M341" i="1"/>
  <c r="K341" i="1"/>
  <c r="L341" i="1" s="1"/>
  <c r="S340" i="1"/>
  <c r="R340" i="1"/>
  <c r="Q340" i="1"/>
  <c r="P340" i="1"/>
  <c r="O340" i="1"/>
  <c r="N340" i="1"/>
  <c r="M340" i="1"/>
  <c r="L340" i="1"/>
  <c r="K340" i="1"/>
  <c r="S339" i="1"/>
  <c r="R339" i="1"/>
  <c r="Q339" i="1"/>
  <c r="P339" i="1"/>
  <c r="O339" i="1"/>
  <c r="N339" i="1"/>
  <c r="M339" i="1"/>
  <c r="K339" i="1"/>
  <c r="L339" i="1" s="1"/>
  <c r="S338" i="1"/>
  <c r="R338" i="1"/>
  <c r="Q338" i="1"/>
  <c r="P338" i="1"/>
  <c r="O338" i="1"/>
  <c r="N338" i="1"/>
  <c r="M338" i="1"/>
  <c r="L338" i="1"/>
  <c r="K338" i="1"/>
  <c r="S337" i="1"/>
  <c r="R337" i="1"/>
  <c r="Q337" i="1"/>
  <c r="P337" i="1"/>
  <c r="O337" i="1"/>
  <c r="N337" i="1"/>
  <c r="M337" i="1"/>
  <c r="K337" i="1"/>
  <c r="L337" i="1" s="1"/>
  <c r="S336" i="1"/>
  <c r="R336" i="1"/>
  <c r="Q336" i="1"/>
  <c r="P336" i="1"/>
  <c r="O336" i="1"/>
  <c r="N336" i="1"/>
  <c r="M336" i="1"/>
  <c r="L336" i="1"/>
  <c r="K336" i="1"/>
  <c r="S335" i="1"/>
  <c r="R335" i="1"/>
  <c r="Q335" i="1"/>
  <c r="P335" i="1"/>
  <c r="O335" i="1"/>
  <c r="N335" i="1"/>
  <c r="M335" i="1"/>
  <c r="K335" i="1"/>
  <c r="L335" i="1" s="1"/>
  <c r="S334" i="1"/>
  <c r="R334" i="1"/>
  <c r="Q334" i="1"/>
  <c r="P334" i="1"/>
  <c r="O334" i="1"/>
  <c r="N334" i="1"/>
  <c r="M334" i="1"/>
  <c r="L334" i="1"/>
  <c r="K334" i="1"/>
  <c r="S333" i="1"/>
  <c r="R333" i="1"/>
  <c r="Q333" i="1"/>
  <c r="P333" i="1"/>
  <c r="O333" i="1"/>
  <c r="N333" i="1"/>
  <c r="M333" i="1"/>
  <c r="K333" i="1"/>
  <c r="L333" i="1" s="1"/>
  <c r="S332" i="1"/>
  <c r="R332" i="1"/>
  <c r="Q332" i="1"/>
  <c r="P332" i="1"/>
  <c r="O332" i="1"/>
  <c r="N332" i="1"/>
  <c r="M332" i="1"/>
  <c r="L332" i="1"/>
  <c r="K332" i="1"/>
  <c r="S331" i="1"/>
  <c r="R331" i="1"/>
  <c r="Q331" i="1"/>
  <c r="P331" i="1"/>
  <c r="O331" i="1"/>
  <c r="N331" i="1"/>
  <c r="M331" i="1"/>
  <c r="K331" i="1"/>
  <c r="L331" i="1" s="1"/>
  <c r="S330" i="1"/>
  <c r="R330" i="1"/>
  <c r="Q330" i="1"/>
  <c r="P330" i="1"/>
  <c r="O330" i="1"/>
  <c r="N330" i="1"/>
  <c r="M330" i="1"/>
  <c r="L330" i="1"/>
  <c r="K330" i="1"/>
  <c r="S329" i="1"/>
  <c r="R329" i="1"/>
  <c r="Q329" i="1"/>
  <c r="P329" i="1"/>
  <c r="O329" i="1"/>
  <c r="N329" i="1"/>
  <c r="M329" i="1"/>
  <c r="K329" i="1"/>
  <c r="L329" i="1" s="1"/>
  <c r="S328" i="1"/>
  <c r="R328" i="1"/>
  <c r="Q328" i="1"/>
  <c r="P328" i="1"/>
  <c r="O328" i="1"/>
  <c r="N328" i="1"/>
  <c r="M328" i="1"/>
  <c r="L328" i="1"/>
  <c r="K328" i="1"/>
  <c r="S327" i="1"/>
  <c r="R327" i="1"/>
  <c r="Q327" i="1"/>
  <c r="P327" i="1"/>
  <c r="O327" i="1"/>
  <c r="N327" i="1"/>
  <c r="M327" i="1"/>
  <c r="K327" i="1"/>
  <c r="L327" i="1" s="1"/>
  <c r="S326" i="1"/>
  <c r="R326" i="1"/>
  <c r="Q326" i="1"/>
  <c r="P326" i="1"/>
  <c r="O326" i="1"/>
  <c r="N326" i="1"/>
  <c r="M326" i="1"/>
  <c r="L326" i="1"/>
  <c r="K326" i="1"/>
  <c r="S325" i="1"/>
  <c r="R325" i="1"/>
  <c r="Q325" i="1"/>
  <c r="P325" i="1"/>
  <c r="O325" i="1"/>
  <c r="N325" i="1"/>
  <c r="M325" i="1"/>
  <c r="K325" i="1"/>
  <c r="L325" i="1" s="1"/>
  <c r="S324" i="1"/>
  <c r="R324" i="1"/>
  <c r="Q324" i="1"/>
  <c r="P324" i="1"/>
  <c r="O324" i="1"/>
  <c r="N324" i="1"/>
  <c r="M324" i="1"/>
  <c r="L324" i="1"/>
  <c r="K324" i="1"/>
  <c r="S323" i="1"/>
  <c r="R323" i="1"/>
  <c r="Q323" i="1"/>
  <c r="P323" i="1"/>
  <c r="O323" i="1"/>
  <c r="N323" i="1"/>
  <c r="M323" i="1"/>
  <c r="K323" i="1"/>
  <c r="L323" i="1" s="1"/>
  <c r="S322" i="1"/>
  <c r="R322" i="1"/>
  <c r="Q322" i="1"/>
  <c r="P322" i="1"/>
  <c r="O322" i="1"/>
  <c r="N322" i="1"/>
  <c r="M322" i="1"/>
  <c r="L322" i="1"/>
  <c r="K322" i="1"/>
  <c r="S321" i="1"/>
  <c r="R321" i="1"/>
  <c r="Q321" i="1"/>
  <c r="P321" i="1"/>
  <c r="O321" i="1"/>
  <c r="N321" i="1"/>
  <c r="M321" i="1"/>
  <c r="K321" i="1"/>
  <c r="L321" i="1" s="1"/>
  <c r="S320" i="1"/>
  <c r="R320" i="1"/>
  <c r="Q320" i="1"/>
  <c r="P320" i="1"/>
  <c r="O320" i="1"/>
  <c r="N320" i="1"/>
  <c r="M320" i="1"/>
  <c r="L320" i="1"/>
  <c r="K320" i="1"/>
  <c r="S319" i="1"/>
  <c r="R319" i="1"/>
  <c r="Q319" i="1"/>
  <c r="P319" i="1"/>
  <c r="O319" i="1"/>
  <c r="N319" i="1"/>
  <c r="M319" i="1"/>
  <c r="K319" i="1"/>
  <c r="L319" i="1" s="1"/>
  <c r="S318" i="1"/>
  <c r="R318" i="1"/>
  <c r="Q318" i="1"/>
  <c r="P318" i="1"/>
  <c r="O318" i="1"/>
  <c r="N318" i="1"/>
  <c r="M318" i="1"/>
  <c r="L318" i="1"/>
  <c r="K318" i="1"/>
  <c r="S317" i="1"/>
  <c r="R317" i="1"/>
  <c r="Q317" i="1"/>
  <c r="P317" i="1"/>
  <c r="O317" i="1"/>
  <c r="N317" i="1"/>
  <c r="M317" i="1"/>
  <c r="K317" i="1"/>
  <c r="L317" i="1" s="1"/>
  <c r="S316" i="1"/>
  <c r="R316" i="1"/>
  <c r="Q316" i="1"/>
  <c r="P316" i="1"/>
  <c r="O316" i="1"/>
  <c r="N316" i="1"/>
  <c r="M316" i="1"/>
  <c r="L316" i="1"/>
  <c r="K316" i="1"/>
  <c r="S315" i="1"/>
  <c r="R315" i="1"/>
  <c r="Q315" i="1"/>
  <c r="P315" i="1"/>
  <c r="O315" i="1"/>
  <c r="N315" i="1"/>
  <c r="M315" i="1"/>
  <c r="K315" i="1"/>
  <c r="L315" i="1" s="1"/>
  <c r="S314" i="1"/>
  <c r="R314" i="1"/>
  <c r="Q314" i="1"/>
  <c r="P314" i="1"/>
  <c r="O314" i="1"/>
  <c r="N314" i="1"/>
  <c r="M314" i="1"/>
  <c r="L314" i="1"/>
  <c r="K314" i="1"/>
  <c r="S313" i="1"/>
  <c r="R313" i="1"/>
  <c r="Q313" i="1"/>
  <c r="P313" i="1"/>
  <c r="O313" i="1"/>
  <c r="N313" i="1"/>
  <c r="M313" i="1"/>
  <c r="K313" i="1"/>
  <c r="L313" i="1" s="1"/>
  <c r="S312" i="1"/>
  <c r="R312" i="1"/>
  <c r="Q312" i="1"/>
  <c r="P312" i="1"/>
  <c r="O312" i="1"/>
  <c r="N312" i="1"/>
  <c r="M312" i="1"/>
  <c r="L312" i="1"/>
  <c r="K312" i="1"/>
  <c r="S311" i="1"/>
  <c r="R311" i="1"/>
  <c r="Q311" i="1"/>
  <c r="P311" i="1"/>
  <c r="O311" i="1"/>
  <c r="N311" i="1"/>
  <c r="M311" i="1"/>
  <c r="K311" i="1"/>
  <c r="L311" i="1" s="1"/>
  <c r="S310" i="1"/>
  <c r="R310" i="1"/>
  <c r="Q310" i="1"/>
  <c r="P310" i="1"/>
  <c r="O310" i="1"/>
  <c r="N310" i="1"/>
  <c r="M310" i="1"/>
  <c r="L310" i="1"/>
  <c r="K310" i="1"/>
  <c r="S309" i="1"/>
  <c r="R309" i="1"/>
  <c r="Q309" i="1"/>
  <c r="P309" i="1"/>
  <c r="O309" i="1"/>
  <c r="N309" i="1"/>
  <c r="M309" i="1"/>
  <c r="K309" i="1"/>
  <c r="L309" i="1" s="1"/>
  <c r="S308" i="1"/>
  <c r="R308" i="1"/>
  <c r="Q308" i="1"/>
  <c r="P308" i="1"/>
  <c r="O308" i="1"/>
  <c r="N308" i="1"/>
  <c r="M308" i="1"/>
  <c r="L308" i="1"/>
  <c r="K308" i="1"/>
  <c r="S307" i="1"/>
  <c r="R307" i="1"/>
  <c r="Q307" i="1"/>
  <c r="P307" i="1"/>
  <c r="O307" i="1"/>
  <c r="N307" i="1"/>
  <c r="M307" i="1"/>
  <c r="K307" i="1"/>
  <c r="L307" i="1" s="1"/>
  <c r="S306" i="1"/>
  <c r="R306" i="1"/>
  <c r="Q306" i="1"/>
  <c r="P306" i="1"/>
  <c r="O306" i="1"/>
  <c r="N306" i="1"/>
  <c r="M306" i="1"/>
  <c r="L306" i="1"/>
  <c r="K306" i="1"/>
  <c r="S305" i="1"/>
  <c r="R305" i="1"/>
  <c r="Q305" i="1"/>
  <c r="P305" i="1"/>
  <c r="O305" i="1"/>
  <c r="N305" i="1"/>
  <c r="M305" i="1"/>
  <c r="K305" i="1"/>
  <c r="L305" i="1" s="1"/>
  <c r="S304" i="1"/>
  <c r="R304" i="1"/>
  <c r="Q304" i="1"/>
  <c r="P304" i="1"/>
  <c r="O304" i="1"/>
  <c r="N304" i="1"/>
  <c r="M304" i="1"/>
  <c r="L304" i="1"/>
  <c r="K304" i="1"/>
  <c r="S303" i="1"/>
  <c r="R303" i="1"/>
  <c r="Q303" i="1"/>
  <c r="P303" i="1"/>
  <c r="O303" i="1"/>
  <c r="N303" i="1"/>
  <c r="M303" i="1"/>
  <c r="K303" i="1"/>
  <c r="L303" i="1" s="1"/>
  <c r="S302" i="1"/>
  <c r="R302" i="1"/>
  <c r="Q302" i="1"/>
  <c r="P302" i="1"/>
  <c r="O302" i="1"/>
  <c r="N302" i="1"/>
  <c r="M302" i="1"/>
  <c r="L302" i="1"/>
  <c r="K302" i="1"/>
  <c r="S301" i="1"/>
  <c r="R301" i="1"/>
  <c r="Q301" i="1"/>
  <c r="P301" i="1"/>
  <c r="O301" i="1"/>
  <c r="N301" i="1"/>
  <c r="M301" i="1"/>
  <c r="K301" i="1"/>
  <c r="L301" i="1" s="1"/>
  <c r="S300" i="1"/>
  <c r="R300" i="1"/>
  <c r="Q300" i="1"/>
  <c r="P300" i="1"/>
  <c r="O300" i="1"/>
  <c r="N300" i="1"/>
  <c r="M300" i="1"/>
  <c r="L300" i="1"/>
  <c r="K300" i="1"/>
  <c r="S299" i="1"/>
  <c r="R299" i="1"/>
  <c r="Q299" i="1"/>
  <c r="P299" i="1"/>
  <c r="O299" i="1"/>
  <c r="N299" i="1"/>
  <c r="M299" i="1"/>
  <c r="K299" i="1"/>
  <c r="L299" i="1" s="1"/>
  <c r="S298" i="1"/>
  <c r="R298" i="1"/>
  <c r="Q298" i="1"/>
  <c r="P298" i="1"/>
  <c r="O298" i="1"/>
  <c r="N298" i="1"/>
  <c r="M298" i="1"/>
  <c r="L298" i="1"/>
  <c r="K298" i="1"/>
  <c r="S297" i="1"/>
  <c r="R297" i="1"/>
  <c r="Q297" i="1"/>
  <c r="P297" i="1"/>
  <c r="O297" i="1"/>
  <c r="N297" i="1"/>
  <c r="M297" i="1"/>
  <c r="K297" i="1"/>
  <c r="L297" i="1" s="1"/>
  <c r="S296" i="1"/>
  <c r="R296" i="1"/>
  <c r="Q296" i="1"/>
  <c r="P296" i="1"/>
  <c r="O296" i="1"/>
  <c r="N296" i="1"/>
  <c r="M296" i="1"/>
  <c r="L296" i="1"/>
  <c r="K296" i="1"/>
  <c r="S295" i="1"/>
  <c r="R295" i="1"/>
  <c r="Q295" i="1"/>
  <c r="P295" i="1"/>
  <c r="O295" i="1"/>
  <c r="N295" i="1"/>
  <c r="M295" i="1"/>
  <c r="K295" i="1"/>
  <c r="L295" i="1" s="1"/>
  <c r="S294" i="1"/>
  <c r="R294" i="1"/>
  <c r="Q294" i="1"/>
  <c r="P294" i="1"/>
  <c r="O294" i="1"/>
  <c r="N294" i="1"/>
  <c r="M294" i="1"/>
  <c r="L294" i="1"/>
  <c r="K294" i="1"/>
  <c r="S293" i="1"/>
  <c r="R293" i="1"/>
  <c r="Q293" i="1"/>
  <c r="P293" i="1"/>
  <c r="O293" i="1"/>
  <c r="N293" i="1"/>
  <c r="M293" i="1"/>
  <c r="K293" i="1"/>
  <c r="L293" i="1" s="1"/>
  <c r="S292" i="1"/>
  <c r="R292" i="1"/>
  <c r="Q292" i="1"/>
  <c r="P292" i="1"/>
  <c r="O292" i="1"/>
  <c r="N292" i="1"/>
  <c r="M292" i="1"/>
  <c r="L292" i="1"/>
  <c r="K292" i="1"/>
  <c r="S291" i="1"/>
  <c r="R291" i="1"/>
  <c r="Q291" i="1"/>
  <c r="P291" i="1"/>
  <c r="O291" i="1"/>
  <c r="N291" i="1"/>
  <c r="M291" i="1"/>
  <c r="K291" i="1"/>
  <c r="L291" i="1" s="1"/>
  <c r="S290" i="1"/>
  <c r="R290" i="1"/>
  <c r="Q290" i="1"/>
  <c r="P290" i="1"/>
  <c r="O290" i="1"/>
  <c r="N290" i="1"/>
  <c r="M290" i="1"/>
  <c r="L290" i="1"/>
  <c r="K290" i="1"/>
  <c r="S289" i="1"/>
  <c r="R289" i="1"/>
  <c r="Q289" i="1"/>
  <c r="P289" i="1"/>
  <c r="O289" i="1"/>
  <c r="N289" i="1"/>
  <c r="M289" i="1"/>
  <c r="K289" i="1"/>
  <c r="L289" i="1" s="1"/>
  <c r="S288" i="1"/>
  <c r="R288" i="1"/>
  <c r="Q288" i="1"/>
  <c r="P288" i="1"/>
  <c r="O288" i="1"/>
  <c r="N288" i="1"/>
  <c r="M288" i="1"/>
  <c r="L288" i="1"/>
  <c r="K288" i="1"/>
  <c r="S287" i="1"/>
  <c r="R287" i="1"/>
  <c r="Q287" i="1"/>
  <c r="P287" i="1"/>
  <c r="O287" i="1"/>
  <c r="N287" i="1"/>
  <c r="M287" i="1"/>
  <c r="K287" i="1"/>
  <c r="L287" i="1" s="1"/>
  <c r="S286" i="1"/>
  <c r="R286" i="1"/>
  <c r="Q286" i="1"/>
  <c r="P286" i="1"/>
  <c r="O286" i="1"/>
  <c r="N286" i="1"/>
  <c r="M286" i="1"/>
  <c r="L286" i="1"/>
  <c r="K286" i="1"/>
  <c r="S285" i="1"/>
  <c r="R285" i="1"/>
  <c r="Q285" i="1"/>
  <c r="P285" i="1"/>
  <c r="O285" i="1"/>
  <c r="N285" i="1"/>
  <c r="M285" i="1"/>
  <c r="K285" i="1"/>
  <c r="L285" i="1" s="1"/>
  <c r="S284" i="1"/>
  <c r="R284" i="1"/>
  <c r="Q284" i="1"/>
  <c r="P284" i="1"/>
  <c r="O284" i="1"/>
  <c r="N284" i="1"/>
  <c r="M284" i="1"/>
  <c r="L284" i="1"/>
  <c r="K284" i="1"/>
  <c r="S283" i="1"/>
  <c r="R283" i="1"/>
  <c r="Q283" i="1"/>
  <c r="P283" i="1"/>
  <c r="O283" i="1"/>
  <c r="N283" i="1"/>
  <c r="M283" i="1"/>
  <c r="K283" i="1"/>
  <c r="L283" i="1" s="1"/>
  <c r="S282" i="1"/>
  <c r="R282" i="1"/>
  <c r="Q282" i="1"/>
  <c r="P282" i="1"/>
  <c r="O282" i="1"/>
  <c r="N282" i="1"/>
  <c r="M282" i="1"/>
  <c r="L282" i="1"/>
  <c r="K282" i="1"/>
  <c r="S281" i="1"/>
  <c r="R281" i="1"/>
  <c r="Q281" i="1"/>
  <c r="P281" i="1"/>
  <c r="O281" i="1"/>
  <c r="N281" i="1"/>
  <c r="M281" i="1"/>
  <c r="K281" i="1"/>
  <c r="L281" i="1" s="1"/>
  <c r="S280" i="1"/>
  <c r="R280" i="1"/>
  <c r="Q280" i="1"/>
  <c r="P280" i="1"/>
  <c r="O280" i="1"/>
  <c r="N280" i="1"/>
  <c r="M280" i="1"/>
  <c r="L280" i="1"/>
  <c r="K280" i="1"/>
  <c r="S279" i="1"/>
  <c r="R279" i="1"/>
  <c r="Q279" i="1"/>
  <c r="P279" i="1"/>
  <c r="O279" i="1"/>
  <c r="N279" i="1"/>
  <c r="M279" i="1"/>
  <c r="K279" i="1"/>
  <c r="L279" i="1" s="1"/>
  <c r="S278" i="1"/>
  <c r="R278" i="1"/>
  <c r="Q278" i="1"/>
  <c r="P278" i="1"/>
  <c r="O278" i="1"/>
  <c r="N278" i="1"/>
  <c r="M278" i="1"/>
  <c r="L278" i="1"/>
  <c r="K278" i="1"/>
  <c r="S277" i="1"/>
  <c r="R277" i="1"/>
  <c r="Q277" i="1"/>
  <c r="P277" i="1"/>
  <c r="O277" i="1"/>
  <c r="N277" i="1"/>
  <c r="M277" i="1"/>
  <c r="K277" i="1"/>
  <c r="L277" i="1" s="1"/>
  <c r="S276" i="1"/>
  <c r="R276" i="1"/>
  <c r="Q276" i="1"/>
  <c r="P276" i="1"/>
  <c r="O276" i="1"/>
  <c r="N276" i="1"/>
  <c r="M276" i="1"/>
  <c r="L276" i="1"/>
  <c r="K276" i="1"/>
  <c r="S275" i="1"/>
  <c r="R275" i="1"/>
  <c r="Q275" i="1"/>
  <c r="P275" i="1"/>
  <c r="O275" i="1"/>
  <c r="N275" i="1"/>
  <c r="M275" i="1"/>
  <c r="K275" i="1"/>
  <c r="L275" i="1" s="1"/>
  <c r="S274" i="1"/>
  <c r="R274" i="1"/>
  <c r="Q274" i="1"/>
  <c r="P274" i="1"/>
  <c r="O274" i="1"/>
  <c r="N274" i="1"/>
  <c r="M274" i="1"/>
  <c r="L274" i="1"/>
  <c r="K274" i="1"/>
  <c r="S273" i="1"/>
  <c r="R273" i="1"/>
  <c r="Q273" i="1"/>
  <c r="P273" i="1"/>
  <c r="O273" i="1"/>
  <c r="N273" i="1"/>
  <c r="M273" i="1"/>
  <c r="K273" i="1"/>
  <c r="L273" i="1" s="1"/>
  <c r="S272" i="1"/>
  <c r="R272" i="1"/>
  <c r="Q272" i="1"/>
  <c r="P272" i="1"/>
  <c r="O272" i="1"/>
  <c r="N272" i="1"/>
  <c r="M272" i="1"/>
  <c r="L272" i="1"/>
  <c r="K272" i="1"/>
  <c r="S271" i="1"/>
  <c r="R271" i="1"/>
  <c r="Q271" i="1"/>
  <c r="P271" i="1"/>
  <c r="O271" i="1"/>
  <c r="N271" i="1"/>
  <c r="M271" i="1"/>
  <c r="K271" i="1"/>
  <c r="L271" i="1" s="1"/>
  <c r="S270" i="1"/>
  <c r="R270" i="1"/>
  <c r="Q270" i="1"/>
  <c r="P270" i="1"/>
  <c r="O270" i="1"/>
  <c r="N270" i="1"/>
  <c r="M270" i="1"/>
  <c r="L270" i="1"/>
  <c r="K270" i="1"/>
  <c r="S269" i="1"/>
  <c r="R269" i="1"/>
  <c r="Q269" i="1"/>
  <c r="P269" i="1"/>
  <c r="O269" i="1"/>
  <c r="N269" i="1"/>
  <c r="M269" i="1"/>
  <c r="K269" i="1"/>
  <c r="L269" i="1" s="1"/>
  <c r="S268" i="1"/>
  <c r="R268" i="1"/>
  <c r="Q268" i="1"/>
  <c r="P268" i="1"/>
  <c r="O268" i="1"/>
  <c r="N268" i="1"/>
  <c r="M268" i="1"/>
  <c r="L268" i="1"/>
  <c r="K268" i="1"/>
  <c r="S267" i="1"/>
  <c r="R267" i="1"/>
  <c r="Q267" i="1"/>
  <c r="P267" i="1"/>
  <c r="O267" i="1"/>
  <c r="N267" i="1"/>
  <c r="M267" i="1"/>
  <c r="K267" i="1"/>
  <c r="L267" i="1" s="1"/>
  <c r="S266" i="1"/>
  <c r="R266" i="1"/>
  <c r="Q266" i="1"/>
  <c r="P266" i="1"/>
  <c r="O266" i="1"/>
  <c r="N266" i="1"/>
  <c r="M266" i="1"/>
  <c r="L266" i="1"/>
  <c r="K266" i="1"/>
  <c r="S265" i="1"/>
  <c r="R265" i="1"/>
  <c r="Q265" i="1"/>
  <c r="P265" i="1"/>
  <c r="O265" i="1"/>
  <c r="N265" i="1"/>
  <c r="M265" i="1"/>
  <c r="K265" i="1"/>
  <c r="L265" i="1" s="1"/>
  <c r="S264" i="1"/>
  <c r="R264" i="1"/>
  <c r="Q264" i="1"/>
  <c r="P264" i="1"/>
  <c r="O264" i="1"/>
  <c r="N264" i="1"/>
  <c r="M264" i="1"/>
  <c r="L264" i="1"/>
  <c r="K264" i="1"/>
  <c r="S263" i="1"/>
  <c r="R263" i="1"/>
  <c r="Q263" i="1"/>
  <c r="P263" i="1"/>
  <c r="O263" i="1"/>
  <c r="N263" i="1"/>
  <c r="M263" i="1"/>
  <c r="K263" i="1"/>
  <c r="L263" i="1" s="1"/>
  <c r="S262" i="1"/>
  <c r="R262" i="1"/>
  <c r="Q262" i="1"/>
  <c r="P262" i="1"/>
  <c r="O262" i="1"/>
  <c r="N262" i="1"/>
  <c r="M262" i="1"/>
  <c r="L262" i="1"/>
  <c r="K262" i="1"/>
  <c r="S261" i="1"/>
  <c r="R261" i="1"/>
  <c r="Q261" i="1"/>
  <c r="P261" i="1"/>
  <c r="O261" i="1"/>
  <c r="N261" i="1"/>
  <c r="M261" i="1"/>
  <c r="K261" i="1"/>
  <c r="L261" i="1" s="1"/>
  <c r="S260" i="1"/>
  <c r="R260" i="1"/>
  <c r="Q260" i="1"/>
  <c r="P260" i="1"/>
  <c r="O260" i="1"/>
  <c r="N260" i="1"/>
  <c r="M260" i="1"/>
  <c r="L260" i="1"/>
  <c r="K260" i="1"/>
  <c r="S259" i="1"/>
  <c r="R259" i="1"/>
  <c r="Q259" i="1"/>
  <c r="P259" i="1"/>
  <c r="O259" i="1"/>
  <c r="N259" i="1"/>
  <c r="M259" i="1"/>
  <c r="K259" i="1"/>
  <c r="L259" i="1" s="1"/>
  <c r="S258" i="1"/>
  <c r="R258" i="1"/>
  <c r="Q258" i="1"/>
  <c r="P258" i="1"/>
  <c r="O258" i="1"/>
  <c r="N258" i="1"/>
  <c r="M258" i="1"/>
  <c r="L258" i="1"/>
  <c r="K258" i="1"/>
  <c r="S257" i="1"/>
  <c r="R257" i="1"/>
  <c r="Q257" i="1"/>
  <c r="P257" i="1"/>
  <c r="O257" i="1"/>
  <c r="N257" i="1"/>
  <c r="M257" i="1"/>
  <c r="K257" i="1"/>
  <c r="L257" i="1" s="1"/>
  <c r="S256" i="1"/>
  <c r="R256" i="1"/>
  <c r="Q256" i="1"/>
  <c r="P256" i="1"/>
  <c r="O256" i="1"/>
  <c r="N256" i="1"/>
  <c r="M256" i="1"/>
  <c r="L256" i="1"/>
  <c r="K256" i="1"/>
  <c r="S255" i="1"/>
  <c r="R255" i="1"/>
  <c r="Q255" i="1"/>
  <c r="P255" i="1"/>
  <c r="O255" i="1"/>
  <c r="N255" i="1"/>
  <c r="M255" i="1"/>
  <c r="K255" i="1"/>
  <c r="L255" i="1" s="1"/>
  <c r="S254" i="1"/>
  <c r="R254" i="1"/>
  <c r="Q254" i="1"/>
  <c r="P254" i="1"/>
  <c r="O254" i="1"/>
  <c r="N254" i="1"/>
  <c r="M254" i="1"/>
  <c r="L254" i="1"/>
  <c r="K254" i="1"/>
  <c r="S253" i="1"/>
  <c r="R253" i="1"/>
  <c r="Q253" i="1"/>
  <c r="P253" i="1"/>
  <c r="O253" i="1"/>
  <c r="N253" i="1"/>
  <c r="M253" i="1"/>
  <c r="K253" i="1"/>
  <c r="L253" i="1" s="1"/>
  <c r="S252" i="1"/>
  <c r="R252" i="1"/>
  <c r="Q252" i="1"/>
  <c r="P252" i="1"/>
  <c r="O252" i="1"/>
  <c r="N252" i="1"/>
  <c r="M252" i="1"/>
  <c r="L252" i="1"/>
  <c r="K252" i="1"/>
  <c r="S251" i="1"/>
  <c r="R251" i="1"/>
  <c r="Q251" i="1"/>
  <c r="P251" i="1"/>
  <c r="O251" i="1"/>
  <c r="N251" i="1"/>
  <c r="M251" i="1"/>
  <c r="K251" i="1"/>
  <c r="L251" i="1" s="1"/>
  <c r="S250" i="1"/>
  <c r="R250" i="1"/>
  <c r="Q250" i="1"/>
  <c r="P250" i="1"/>
  <c r="O250" i="1"/>
  <c r="N250" i="1"/>
  <c r="M250" i="1"/>
  <c r="L250" i="1"/>
  <c r="K250" i="1"/>
  <c r="S249" i="1"/>
  <c r="R249" i="1"/>
  <c r="Q249" i="1"/>
  <c r="P249" i="1"/>
  <c r="O249" i="1"/>
  <c r="N249" i="1"/>
  <c r="M249" i="1"/>
  <c r="K249" i="1"/>
  <c r="L249" i="1" s="1"/>
  <c r="S248" i="1"/>
  <c r="R248" i="1"/>
  <c r="Q248" i="1"/>
  <c r="P248" i="1"/>
  <c r="O248" i="1"/>
  <c r="N248" i="1"/>
  <c r="M248" i="1"/>
  <c r="L248" i="1"/>
  <c r="K248" i="1"/>
  <c r="S247" i="1"/>
  <c r="R247" i="1"/>
  <c r="Q247" i="1"/>
  <c r="P247" i="1"/>
  <c r="O247" i="1"/>
  <c r="N247" i="1"/>
  <c r="M247" i="1"/>
  <c r="K247" i="1"/>
  <c r="L247" i="1" s="1"/>
  <c r="S246" i="1"/>
  <c r="R246" i="1"/>
  <c r="Q246" i="1"/>
  <c r="P246" i="1"/>
  <c r="O246" i="1"/>
  <c r="N246" i="1"/>
  <c r="M246" i="1"/>
  <c r="L246" i="1"/>
  <c r="K246" i="1"/>
  <c r="S245" i="1"/>
  <c r="R245" i="1"/>
  <c r="Q245" i="1"/>
  <c r="P245" i="1"/>
  <c r="O245" i="1"/>
  <c r="N245" i="1"/>
  <c r="M245" i="1"/>
  <c r="K245" i="1"/>
  <c r="L245" i="1" s="1"/>
  <c r="S244" i="1"/>
  <c r="R244" i="1"/>
  <c r="Q244" i="1"/>
  <c r="P244" i="1"/>
  <c r="O244" i="1"/>
  <c r="N244" i="1"/>
  <c r="M244" i="1"/>
  <c r="L244" i="1"/>
  <c r="K244" i="1"/>
  <c r="S243" i="1"/>
  <c r="R243" i="1"/>
  <c r="Q243" i="1"/>
  <c r="P243" i="1"/>
  <c r="O243" i="1"/>
  <c r="N243" i="1"/>
  <c r="M243" i="1"/>
  <c r="K243" i="1"/>
  <c r="L243" i="1" s="1"/>
  <c r="S242" i="1"/>
  <c r="R242" i="1"/>
  <c r="Q242" i="1"/>
  <c r="P242" i="1"/>
  <c r="O242" i="1"/>
  <c r="N242" i="1"/>
  <c r="M242" i="1"/>
  <c r="L242" i="1"/>
  <c r="K242" i="1"/>
  <c r="S241" i="1"/>
  <c r="R241" i="1"/>
  <c r="Q241" i="1"/>
  <c r="P241" i="1"/>
  <c r="O241" i="1"/>
  <c r="N241" i="1"/>
  <c r="M241" i="1"/>
  <c r="K241" i="1"/>
  <c r="L241" i="1" s="1"/>
  <c r="S240" i="1"/>
  <c r="R240" i="1"/>
  <c r="Q240" i="1"/>
  <c r="P240" i="1"/>
  <c r="O240" i="1"/>
  <c r="N240" i="1"/>
  <c r="M240" i="1"/>
  <c r="L240" i="1"/>
  <c r="K240" i="1"/>
  <c r="S239" i="1"/>
  <c r="R239" i="1"/>
  <c r="Q239" i="1"/>
  <c r="P239" i="1"/>
  <c r="O239" i="1"/>
  <c r="N239" i="1"/>
  <c r="M239" i="1"/>
  <c r="K239" i="1"/>
  <c r="L239" i="1" s="1"/>
  <c r="S238" i="1"/>
  <c r="R238" i="1"/>
  <c r="Q238" i="1"/>
  <c r="P238" i="1"/>
  <c r="O238" i="1"/>
  <c r="N238" i="1"/>
  <c r="M238" i="1"/>
  <c r="L238" i="1"/>
  <c r="K238" i="1"/>
  <c r="S237" i="1"/>
  <c r="R237" i="1"/>
  <c r="Q237" i="1"/>
  <c r="P237" i="1"/>
  <c r="O237" i="1"/>
  <c r="N237" i="1"/>
  <c r="M237" i="1"/>
  <c r="K237" i="1"/>
  <c r="L237" i="1" s="1"/>
  <c r="S236" i="1"/>
  <c r="R236" i="1"/>
  <c r="Q236" i="1"/>
  <c r="P236" i="1"/>
  <c r="O236" i="1"/>
  <c r="N236" i="1"/>
  <c r="M236" i="1"/>
  <c r="L236" i="1"/>
  <c r="K236" i="1"/>
  <c r="S235" i="1"/>
  <c r="R235" i="1"/>
  <c r="Q235" i="1"/>
  <c r="P235" i="1"/>
  <c r="O235" i="1"/>
  <c r="N235" i="1"/>
  <c r="M235" i="1"/>
  <c r="K235" i="1"/>
  <c r="L235" i="1" s="1"/>
  <c r="S234" i="1"/>
  <c r="R234" i="1"/>
  <c r="Q234" i="1"/>
  <c r="P234" i="1"/>
  <c r="O234" i="1"/>
  <c r="N234" i="1"/>
  <c r="M234" i="1"/>
  <c r="L234" i="1"/>
  <c r="K234" i="1"/>
  <c r="S233" i="1"/>
  <c r="R233" i="1"/>
  <c r="Q233" i="1"/>
  <c r="P233" i="1"/>
  <c r="O233" i="1"/>
  <c r="N233" i="1"/>
  <c r="M233" i="1"/>
  <c r="K233" i="1"/>
  <c r="L233" i="1" s="1"/>
  <c r="S232" i="1"/>
  <c r="R232" i="1"/>
  <c r="Q232" i="1"/>
  <c r="P232" i="1"/>
  <c r="O232" i="1"/>
  <c r="N232" i="1"/>
  <c r="M232" i="1"/>
  <c r="L232" i="1"/>
  <c r="K232" i="1"/>
  <c r="S231" i="1"/>
  <c r="R231" i="1"/>
  <c r="Q231" i="1"/>
  <c r="P231" i="1"/>
  <c r="O231" i="1"/>
  <c r="N231" i="1"/>
  <c r="M231" i="1"/>
  <c r="K231" i="1"/>
  <c r="L231" i="1" s="1"/>
  <c r="S230" i="1"/>
  <c r="R230" i="1"/>
  <c r="Q230" i="1"/>
  <c r="P230" i="1"/>
  <c r="O230" i="1"/>
  <c r="N230" i="1"/>
  <c r="M230" i="1"/>
  <c r="L230" i="1"/>
  <c r="K230" i="1"/>
  <c r="S229" i="1"/>
  <c r="R229" i="1"/>
  <c r="Q229" i="1"/>
  <c r="P229" i="1"/>
  <c r="O229" i="1"/>
  <c r="N229" i="1"/>
  <c r="M229" i="1"/>
  <c r="K229" i="1"/>
  <c r="L229" i="1" s="1"/>
  <c r="S228" i="1"/>
  <c r="R228" i="1"/>
  <c r="Q228" i="1"/>
  <c r="P228" i="1"/>
  <c r="O228" i="1"/>
  <c r="N228" i="1"/>
  <c r="M228" i="1"/>
  <c r="L228" i="1"/>
  <c r="K228" i="1"/>
  <c r="S227" i="1"/>
  <c r="R227" i="1"/>
  <c r="Q227" i="1"/>
  <c r="P227" i="1"/>
  <c r="O227" i="1"/>
  <c r="N227" i="1"/>
  <c r="M227" i="1"/>
  <c r="K227" i="1"/>
  <c r="L227" i="1" s="1"/>
  <c r="S226" i="1"/>
  <c r="R226" i="1"/>
  <c r="Q226" i="1"/>
  <c r="P226" i="1"/>
  <c r="O226" i="1"/>
  <c r="N226" i="1"/>
  <c r="M226" i="1"/>
  <c r="L226" i="1"/>
  <c r="K226" i="1"/>
  <c r="S225" i="1"/>
  <c r="R225" i="1"/>
  <c r="Q225" i="1"/>
  <c r="P225" i="1"/>
  <c r="O225" i="1"/>
  <c r="N225" i="1"/>
  <c r="M225" i="1"/>
  <c r="K225" i="1"/>
  <c r="L225" i="1" s="1"/>
  <c r="S224" i="1"/>
  <c r="R224" i="1"/>
  <c r="Q224" i="1"/>
  <c r="P224" i="1"/>
  <c r="O224" i="1"/>
  <c r="N224" i="1"/>
  <c r="M224" i="1"/>
  <c r="L224" i="1"/>
  <c r="K224" i="1"/>
  <c r="S223" i="1"/>
  <c r="R223" i="1"/>
  <c r="Q223" i="1"/>
  <c r="P223" i="1"/>
  <c r="O223" i="1"/>
  <c r="N223" i="1"/>
  <c r="M223" i="1"/>
  <c r="K223" i="1"/>
  <c r="L223" i="1" s="1"/>
  <c r="S222" i="1"/>
  <c r="R222" i="1"/>
  <c r="Q222" i="1"/>
  <c r="P222" i="1"/>
  <c r="O222" i="1"/>
  <c r="N222" i="1"/>
  <c r="M222" i="1"/>
  <c r="L222" i="1"/>
  <c r="K222" i="1"/>
  <c r="S221" i="1"/>
  <c r="R221" i="1"/>
  <c r="Q221" i="1"/>
  <c r="P221" i="1"/>
  <c r="O221" i="1"/>
  <c r="N221" i="1"/>
  <c r="M221" i="1"/>
  <c r="K221" i="1"/>
  <c r="L221" i="1" s="1"/>
  <c r="S220" i="1"/>
  <c r="R220" i="1"/>
  <c r="Q220" i="1"/>
  <c r="P220" i="1"/>
  <c r="O220" i="1"/>
  <c r="N220" i="1"/>
  <c r="M220" i="1"/>
  <c r="L220" i="1"/>
  <c r="K220" i="1"/>
  <c r="S219" i="1"/>
  <c r="R219" i="1"/>
  <c r="Q219" i="1"/>
  <c r="P219" i="1"/>
  <c r="O219" i="1"/>
  <c r="N219" i="1"/>
  <c r="M219" i="1"/>
  <c r="K219" i="1"/>
  <c r="L219" i="1" s="1"/>
  <c r="S218" i="1"/>
  <c r="R218" i="1"/>
  <c r="Q218" i="1"/>
  <c r="P218" i="1"/>
  <c r="O218" i="1"/>
  <c r="N218" i="1"/>
  <c r="M218" i="1"/>
  <c r="L218" i="1"/>
  <c r="K218" i="1"/>
  <c r="S217" i="1"/>
  <c r="R217" i="1"/>
  <c r="Q217" i="1"/>
  <c r="P217" i="1"/>
  <c r="O217" i="1"/>
  <c r="N217" i="1"/>
  <c r="M217" i="1"/>
  <c r="K217" i="1"/>
  <c r="L217" i="1" s="1"/>
  <c r="S216" i="1"/>
  <c r="R216" i="1"/>
  <c r="Q216" i="1"/>
  <c r="P216" i="1"/>
  <c r="O216" i="1"/>
  <c r="N216" i="1"/>
  <c r="M216" i="1"/>
  <c r="L216" i="1"/>
  <c r="K216" i="1"/>
  <c r="S215" i="1"/>
  <c r="R215" i="1"/>
  <c r="Q215" i="1"/>
  <c r="P215" i="1"/>
  <c r="O215" i="1"/>
  <c r="N215" i="1"/>
  <c r="M215" i="1"/>
  <c r="K215" i="1"/>
  <c r="L215" i="1" s="1"/>
  <c r="S214" i="1"/>
  <c r="R214" i="1"/>
  <c r="Q214" i="1"/>
  <c r="P214" i="1"/>
  <c r="O214" i="1"/>
  <c r="N214" i="1"/>
  <c r="M214" i="1"/>
  <c r="L214" i="1"/>
  <c r="K214" i="1"/>
  <c r="S213" i="1"/>
  <c r="R213" i="1"/>
  <c r="Q213" i="1"/>
  <c r="P213" i="1"/>
  <c r="O213" i="1"/>
  <c r="N213" i="1"/>
  <c r="M213" i="1"/>
  <c r="K213" i="1"/>
  <c r="L213" i="1" s="1"/>
  <c r="S212" i="1"/>
  <c r="R212" i="1"/>
  <c r="Q212" i="1"/>
  <c r="P212" i="1"/>
  <c r="O212" i="1"/>
  <c r="N212" i="1"/>
  <c r="M212" i="1"/>
  <c r="L212" i="1"/>
  <c r="K212" i="1"/>
  <c r="S211" i="1"/>
  <c r="R211" i="1"/>
  <c r="Q211" i="1"/>
  <c r="P211" i="1"/>
  <c r="O211" i="1"/>
  <c r="N211" i="1"/>
  <c r="M211" i="1"/>
  <c r="K211" i="1"/>
  <c r="L211" i="1" s="1"/>
  <c r="S210" i="1"/>
  <c r="R210" i="1"/>
  <c r="Q210" i="1"/>
  <c r="P210" i="1"/>
  <c r="O210" i="1"/>
  <c r="N210" i="1"/>
  <c r="M210" i="1"/>
  <c r="L210" i="1"/>
  <c r="K210" i="1"/>
  <c r="S209" i="1"/>
  <c r="R209" i="1"/>
  <c r="Q209" i="1"/>
  <c r="P209" i="1"/>
  <c r="O209" i="1"/>
  <c r="N209" i="1"/>
  <c r="M209" i="1"/>
  <c r="K209" i="1"/>
  <c r="L209" i="1" s="1"/>
  <c r="S208" i="1"/>
  <c r="R208" i="1"/>
  <c r="Q208" i="1"/>
  <c r="P208" i="1"/>
  <c r="O208" i="1"/>
  <c r="N208" i="1"/>
  <c r="M208" i="1"/>
  <c r="L208" i="1"/>
  <c r="K208" i="1"/>
  <c r="S207" i="1"/>
  <c r="R207" i="1"/>
  <c r="Q207" i="1"/>
  <c r="P207" i="1"/>
  <c r="O207" i="1"/>
  <c r="N207" i="1"/>
  <c r="M207" i="1"/>
  <c r="K207" i="1"/>
  <c r="L207" i="1" s="1"/>
  <c r="S206" i="1"/>
  <c r="R206" i="1"/>
  <c r="Q206" i="1"/>
  <c r="P206" i="1"/>
  <c r="O206" i="1"/>
  <c r="N206" i="1"/>
  <c r="M206" i="1"/>
  <c r="L206" i="1"/>
  <c r="K206" i="1"/>
  <c r="S205" i="1"/>
  <c r="R205" i="1"/>
  <c r="Q205" i="1"/>
  <c r="P205" i="1"/>
  <c r="O205" i="1"/>
  <c r="N205" i="1"/>
  <c r="M205" i="1"/>
  <c r="K205" i="1"/>
  <c r="L205" i="1" s="1"/>
  <c r="S204" i="1"/>
  <c r="R204" i="1"/>
  <c r="Q204" i="1"/>
  <c r="P204" i="1"/>
  <c r="O204" i="1"/>
  <c r="N204" i="1"/>
  <c r="M204" i="1"/>
  <c r="L204" i="1"/>
  <c r="K204" i="1"/>
  <c r="S203" i="1"/>
  <c r="R203" i="1"/>
  <c r="Q203" i="1"/>
  <c r="P203" i="1"/>
  <c r="O203" i="1"/>
  <c r="N203" i="1"/>
  <c r="M203" i="1"/>
  <c r="K203" i="1"/>
  <c r="L203" i="1" s="1"/>
  <c r="S202" i="1"/>
  <c r="R202" i="1"/>
  <c r="Q202" i="1"/>
  <c r="P202" i="1"/>
  <c r="O202" i="1"/>
  <c r="N202" i="1"/>
  <c r="M202" i="1"/>
  <c r="L202" i="1"/>
  <c r="K202" i="1"/>
  <c r="S201" i="1"/>
  <c r="R201" i="1"/>
  <c r="Q201" i="1"/>
  <c r="P201" i="1"/>
  <c r="O201" i="1"/>
  <c r="N201" i="1"/>
  <c r="M201" i="1"/>
  <c r="K201" i="1"/>
  <c r="L201" i="1" s="1"/>
  <c r="S200" i="1"/>
  <c r="R200" i="1"/>
  <c r="Q200" i="1"/>
  <c r="P200" i="1"/>
  <c r="O200" i="1"/>
  <c r="N200" i="1"/>
  <c r="M200" i="1"/>
  <c r="L200" i="1"/>
  <c r="K200" i="1"/>
  <c r="S199" i="1"/>
  <c r="R199" i="1"/>
  <c r="Q199" i="1"/>
  <c r="P199" i="1"/>
  <c r="O199" i="1"/>
  <c r="N199" i="1"/>
  <c r="M199" i="1"/>
  <c r="K199" i="1"/>
  <c r="L199" i="1" s="1"/>
  <c r="S198" i="1"/>
  <c r="R198" i="1"/>
  <c r="Q198" i="1"/>
  <c r="P198" i="1"/>
  <c r="O198" i="1"/>
  <c r="N198" i="1"/>
  <c r="M198" i="1"/>
  <c r="L198" i="1"/>
  <c r="K198" i="1"/>
  <c r="S197" i="1"/>
  <c r="R197" i="1"/>
  <c r="Q197" i="1"/>
  <c r="P197" i="1"/>
  <c r="O197" i="1"/>
  <c r="N197" i="1"/>
  <c r="M197" i="1"/>
  <c r="K197" i="1"/>
  <c r="L197" i="1" s="1"/>
  <c r="S196" i="1"/>
  <c r="R196" i="1"/>
  <c r="Q196" i="1"/>
  <c r="P196" i="1"/>
  <c r="O196" i="1"/>
  <c r="N196" i="1"/>
  <c r="M196" i="1"/>
  <c r="L196" i="1"/>
  <c r="K196" i="1"/>
  <c r="S195" i="1"/>
  <c r="R195" i="1"/>
  <c r="Q195" i="1"/>
  <c r="P195" i="1"/>
  <c r="O195" i="1"/>
  <c r="N195" i="1"/>
  <c r="M195" i="1"/>
  <c r="K195" i="1"/>
  <c r="L195" i="1" s="1"/>
  <c r="S194" i="1"/>
  <c r="R194" i="1"/>
  <c r="Q194" i="1"/>
  <c r="P194" i="1"/>
  <c r="O194" i="1"/>
  <c r="N194" i="1"/>
  <c r="M194" i="1"/>
  <c r="L194" i="1"/>
  <c r="K194" i="1"/>
  <c r="S193" i="1"/>
  <c r="R193" i="1"/>
  <c r="Q193" i="1"/>
  <c r="P193" i="1"/>
  <c r="O193" i="1"/>
  <c r="N193" i="1"/>
  <c r="M193" i="1"/>
  <c r="K193" i="1"/>
  <c r="L193" i="1" s="1"/>
  <c r="S192" i="1"/>
  <c r="R192" i="1"/>
  <c r="Q192" i="1"/>
  <c r="P192" i="1"/>
  <c r="O192" i="1"/>
  <c r="N192" i="1"/>
  <c r="M192" i="1"/>
  <c r="L192" i="1"/>
  <c r="K192" i="1"/>
  <c r="S191" i="1"/>
  <c r="R191" i="1"/>
  <c r="Q191" i="1"/>
  <c r="P191" i="1"/>
  <c r="O191" i="1"/>
  <c r="N191" i="1"/>
  <c r="M191" i="1"/>
  <c r="K191" i="1"/>
  <c r="L191" i="1" s="1"/>
  <c r="S190" i="1"/>
  <c r="R190" i="1"/>
  <c r="Q190" i="1"/>
  <c r="P190" i="1"/>
  <c r="O190" i="1"/>
  <c r="N190" i="1"/>
  <c r="M190" i="1"/>
  <c r="L190" i="1"/>
  <c r="K190" i="1"/>
  <c r="S189" i="1"/>
  <c r="R189" i="1"/>
  <c r="Q189" i="1"/>
  <c r="P189" i="1"/>
  <c r="O189" i="1"/>
  <c r="N189" i="1"/>
  <c r="M189" i="1"/>
  <c r="K189" i="1"/>
  <c r="L189" i="1" s="1"/>
  <c r="S188" i="1"/>
  <c r="R188" i="1"/>
  <c r="Q188" i="1"/>
  <c r="P188" i="1"/>
  <c r="O188" i="1"/>
  <c r="N188" i="1"/>
  <c r="M188" i="1"/>
  <c r="L188" i="1"/>
  <c r="K188" i="1"/>
  <c r="S187" i="1"/>
  <c r="R187" i="1"/>
  <c r="Q187" i="1"/>
  <c r="P187" i="1"/>
  <c r="O187" i="1"/>
  <c r="N187" i="1"/>
  <c r="M187" i="1"/>
  <c r="K187" i="1"/>
  <c r="L187" i="1" s="1"/>
  <c r="S186" i="1"/>
  <c r="R186" i="1"/>
  <c r="Q186" i="1"/>
  <c r="P186" i="1"/>
  <c r="O186" i="1"/>
  <c r="N186" i="1"/>
  <c r="M186" i="1"/>
  <c r="L186" i="1"/>
  <c r="K186" i="1"/>
  <c r="S185" i="1"/>
  <c r="R185" i="1"/>
  <c r="Q185" i="1"/>
  <c r="P185" i="1"/>
  <c r="O185" i="1"/>
  <c r="N185" i="1"/>
  <c r="M185" i="1"/>
  <c r="K185" i="1"/>
  <c r="L185" i="1" s="1"/>
  <c r="S184" i="1"/>
  <c r="R184" i="1"/>
  <c r="Q184" i="1"/>
  <c r="P184" i="1"/>
  <c r="O184" i="1"/>
  <c r="N184" i="1"/>
  <c r="M184" i="1"/>
  <c r="L184" i="1"/>
  <c r="K184" i="1"/>
  <c r="S183" i="1"/>
  <c r="R183" i="1"/>
  <c r="Q183" i="1"/>
  <c r="P183" i="1"/>
  <c r="O183" i="1"/>
  <c r="N183" i="1"/>
  <c r="M183" i="1"/>
  <c r="K183" i="1"/>
  <c r="L183" i="1" s="1"/>
  <c r="S182" i="1"/>
  <c r="R182" i="1"/>
  <c r="Q182" i="1"/>
  <c r="P182" i="1"/>
  <c r="O182" i="1"/>
  <c r="N182" i="1"/>
  <c r="M182" i="1"/>
  <c r="L182" i="1"/>
  <c r="K182" i="1"/>
  <c r="S181" i="1"/>
  <c r="R181" i="1"/>
  <c r="Q181" i="1"/>
  <c r="P181" i="1"/>
  <c r="O181" i="1"/>
  <c r="N181" i="1"/>
  <c r="M181" i="1"/>
  <c r="K181" i="1"/>
  <c r="L181" i="1" s="1"/>
  <c r="S180" i="1"/>
  <c r="R180" i="1"/>
  <c r="Q180" i="1"/>
  <c r="P180" i="1"/>
  <c r="O180" i="1"/>
  <c r="N180" i="1"/>
  <c r="M180" i="1"/>
  <c r="L180" i="1"/>
  <c r="K180" i="1"/>
  <c r="S179" i="1"/>
  <c r="R179" i="1"/>
  <c r="Q179" i="1"/>
  <c r="P179" i="1"/>
  <c r="O179" i="1"/>
  <c r="N179" i="1"/>
  <c r="M179" i="1"/>
  <c r="K179" i="1"/>
  <c r="L179" i="1" s="1"/>
  <c r="S178" i="1"/>
  <c r="R178" i="1"/>
  <c r="Q178" i="1"/>
  <c r="P178" i="1"/>
  <c r="O178" i="1"/>
  <c r="N178" i="1"/>
  <c r="M178" i="1"/>
  <c r="L178" i="1"/>
  <c r="K178" i="1"/>
  <c r="S177" i="1"/>
  <c r="R177" i="1"/>
  <c r="Q177" i="1"/>
  <c r="P177" i="1"/>
  <c r="O177" i="1"/>
  <c r="N177" i="1"/>
  <c r="M177" i="1"/>
  <c r="K177" i="1"/>
  <c r="L177" i="1" s="1"/>
  <c r="S176" i="1"/>
  <c r="R176" i="1"/>
  <c r="Q176" i="1"/>
  <c r="P176" i="1"/>
  <c r="O176" i="1"/>
  <c r="N176" i="1"/>
  <c r="M176" i="1"/>
  <c r="L176" i="1"/>
  <c r="K176" i="1"/>
  <c r="S175" i="1"/>
  <c r="R175" i="1"/>
  <c r="Q175" i="1"/>
  <c r="P175" i="1"/>
  <c r="O175" i="1"/>
  <c r="N175" i="1"/>
  <c r="M175" i="1"/>
  <c r="K175" i="1"/>
  <c r="L175" i="1" s="1"/>
  <c r="S174" i="1"/>
  <c r="R174" i="1"/>
  <c r="Q174" i="1"/>
  <c r="P174" i="1"/>
  <c r="O174" i="1"/>
  <c r="N174" i="1"/>
  <c r="M174" i="1"/>
  <c r="L174" i="1"/>
  <c r="K174" i="1"/>
  <c r="S173" i="1"/>
  <c r="R173" i="1"/>
  <c r="Q173" i="1"/>
  <c r="P173" i="1"/>
  <c r="O173" i="1"/>
  <c r="N173" i="1"/>
  <c r="M173" i="1"/>
  <c r="K173" i="1"/>
  <c r="L173" i="1" s="1"/>
  <c r="S172" i="1"/>
  <c r="R172" i="1"/>
  <c r="Q172" i="1"/>
  <c r="P172" i="1"/>
  <c r="O172" i="1"/>
  <c r="N172" i="1"/>
  <c r="M172" i="1"/>
  <c r="L172" i="1"/>
  <c r="K172" i="1"/>
  <c r="S171" i="1"/>
  <c r="R171" i="1"/>
  <c r="Q171" i="1"/>
  <c r="P171" i="1"/>
  <c r="O171" i="1"/>
  <c r="N171" i="1"/>
  <c r="M171" i="1"/>
  <c r="K171" i="1"/>
  <c r="L171" i="1" s="1"/>
  <c r="S170" i="1"/>
  <c r="R170" i="1"/>
  <c r="Q170" i="1"/>
  <c r="P170" i="1"/>
  <c r="O170" i="1"/>
  <c r="N170" i="1"/>
  <c r="M170" i="1"/>
  <c r="L170" i="1"/>
  <c r="K170" i="1"/>
  <c r="S169" i="1"/>
  <c r="R169" i="1"/>
  <c r="Q169" i="1"/>
  <c r="P169" i="1"/>
  <c r="O169" i="1"/>
  <c r="N169" i="1"/>
  <c r="M169" i="1"/>
  <c r="K169" i="1"/>
  <c r="L169" i="1" s="1"/>
  <c r="S168" i="1"/>
  <c r="R168" i="1"/>
  <c r="Q168" i="1"/>
  <c r="P168" i="1"/>
  <c r="O168" i="1"/>
  <c r="N168" i="1"/>
  <c r="M168" i="1"/>
  <c r="L168" i="1"/>
  <c r="K168" i="1"/>
  <c r="S167" i="1"/>
  <c r="R167" i="1"/>
  <c r="Q167" i="1"/>
  <c r="P167" i="1"/>
  <c r="O167" i="1"/>
  <c r="N167" i="1"/>
  <c r="M167" i="1"/>
  <c r="K167" i="1"/>
  <c r="L167" i="1" s="1"/>
  <c r="S166" i="1"/>
  <c r="R166" i="1"/>
  <c r="Q166" i="1"/>
  <c r="P166" i="1"/>
  <c r="O166" i="1"/>
  <c r="N166" i="1"/>
  <c r="M166" i="1"/>
  <c r="L166" i="1"/>
  <c r="K166" i="1"/>
  <c r="S165" i="1"/>
  <c r="R165" i="1"/>
  <c r="Q165" i="1"/>
  <c r="P165" i="1"/>
  <c r="O165" i="1"/>
  <c r="N165" i="1"/>
  <c r="M165" i="1"/>
  <c r="K165" i="1"/>
  <c r="L165" i="1" s="1"/>
  <c r="S164" i="1"/>
  <c r="R164" i="1"/>
  <c r="Q164" i="1"/>
  <c r="P164" i="1"/>
  <c r="O164" i="1"/>
  <c r="N164" i="1"/>
  <c r="M164" i="1"/>
  <c r="L164" i="1"/>
  <c r="K164" i="1"/>
  <c r="S163" i="1"/>
  <c r="R163" i="1"/>
  <c r="Q163" i="1"/>
  <c r="P163" i="1"/>
  <c r="O163" i="1"/>
  <c r="N163" i="1"/>
  <c r="M163" i="1"/>
  <c r="K163" i="1"/>
  <c r="L163" i="1" s="1"/>
  <c r="S162" i="1"/>
  <c r="R162" i="1"/>
  <c r="Q162" i="1"/>
  <c r="P162" i="1"/>
  <c r="O162" i="1"/>
  <c r="N162" i="1"/>
  <c r="M162" i="1"/>
  <c r="L162" i="1"/>
  <c r="K162" i="1"/>
  <c r="S161" i="1"/>
  <c r="R161" i="1"/>
  <c r="Q161" i="1"/>
  <c r="P161" i="1"/>
  <c r="O161" i="1"/>
  <c r="N161" i="1"/>
  <c r="M161" i="1"/>
  <c r="K161" i="1"/>
  <c r="L161" i="1" s="1"/>
  <c r="S160" i="1"/>
  <c r="R160" i="1"/>
  <c r="Q160" i="1"/>
  <c r="P160" i="1"/>
  <c r="O160" i="1"/>
  <c r="N160" i="1"/>
  <c r="M160" i="1"/>
  <c r="L160" i="1"/>
  <c r="K160" i="1"/>
  <c r="S159" i="1"/>
  <c r="R159" i="1"/>
  <c r="Q159" i="1"/>
  <c r="P159" i="1"/>
  <c r="O159" i="1"/>
  <c r="N159" i="1"/>
  <c r="M159" i="1"/>
  <c r="K159" i="1"/>
  <c r="L159" i="1" s="1"/>
  <c r="S158" i="1"/>
  <c r="R158" i="1"/>
  <c r="Q158" i="1"/>
  <c r="P158" i="1"/>
  <c r="O158" i="1"/>
  <c r="N158" i="1"/>
  <c r="M158" i="1"/>
  <c r="L158" i="1"/>
  <c r="K158" i="1"/>
  <c r="S157" i="1"/>
  <c r="R157" i="1"/>
  <c r="Q157" i="1"/>
  <c r="P157" i="1"/>
  <c r="O157" i="1"/>
  <c r="N157" i="1"/>
  <c r="M157" i="1"/>
  <c r="K157" i="1"/>
  <c r="L157" i="1" s="1"/>
  <c r="S156" i="1"/>
  <c r="R156" i="1"/>
  <c r="Q156" i="1"/>
  <c r="P156" i="1"/>
  <c r="O156" i="1"/>
  <c r="N156" i="1"/>
  <c r="M156" i="1"/>
  <c r="L156" i="1"/>
  <c r="K156" i="1"/>
  <c r="S155" i="1"/>
  <c r="R155" i="1"/>
  <c r="Q155" i="1"/>
  <c r="P155" i="1"/>
  <c r="O155" i="1"/>
  <c r="N155" i="1"/>
  <c r="M155" i="1"/>
  <c r="K155" i="1"/>
  <c r="L155" i="1" s="1"/>
  <c r="S154" i="1"/>
  <c r="R154" i="1"/>
  <c r="Q154" i="1"/>
  <c r="P154" i="1"/>
  <c r="O154" i="1"/>
  <c r="N154" i="1"/>
  <c r="M154" i="1"/>
  <c r="L154" i="1"/>
  <c r="K154" i="1"/>
  <c r="S153" i="1"/>
  <c r="R153" i="1"/>
  <c r="Q153" i="1"/>
  <c r="P153" i="1"/>
  <c r="O153" i="1"/>
  <c r="N153" i="1"/>
  <c r="M153" i="1"/>
  <c r="K153" i="1"/>
  <c r="L153" i="1" s="1"/>
  <c r="S152" i="1"/>
  <c r="R152" i="1"/>
  <c r="Q152" i="1"/>
  <c r="P152" i="1"/>
  <c r="O152" i="1"/>
  <c r="N152" i="1"/>
  <c r="M152" i="1"/>
  <c r="L152" i="1"/>
  <c r="K152" i="1"/>
  <c r="S151" i="1"/>
  <c r="R151" i="1"/>
  <c r="Q151" i="1"/>
  <c r="P151" i="1"/>
  <c r="O151" i="1"/>
  <c r="N151" i="1"/>
  <c r="M151" i="1"/>
  <c r="K151" i="1"/>
  <c r="L151" i="1" s="1"/>
  <c r="S150" i="1"/>
  <c r="R150" i="1"/>
  <c r="Q150" i="1"/>
  <c r="P150" i="1"/>
  <c r="O150" i="1"/>
  <c r="N150" i="1"/>
  <c r="M150" i="1"/>
  <c r="L150" i="1"/>
  <c r="K150" i="1"/>
  <c r="S149" i="1"/>
  <c r="R149" i="1"/>
  <c r="Q149" i="1"/>
  <c r="P149" i="1"/>
  <c r="O149" i="1"/>
  <c r="N149" i="1"/>
  <c r="M149" i="1"/>
  <c r="K149" i="1"/>
  <c r="L149" i="1" s="1"/>
  <c r="S148" i="1"/>
  <c r="R148" i="1"/>
  <c r="Q148" i="1"/>
  <c r="P148" i="1"/>
  <c r="O148" i="1"/>
  <c r="N148" i="1"/>
  <c r="M148" i="1"/>
  <c r="L148" i="1"/>
  <c r="K148" i="1"/>
  <c r="S147" i="1"/>
  <c r="R147" i="1"/>
  <c r="Q147" i="1"/>
  <c r="P147" i="1"/>
  <c r="O147" i="1"/>
  <c r="N147" i="1"/>
  <c r="M147" i="1"/>
  <c r="K147" i="1"/>
  <c r="L147" i="1" s="1"/>
  <c r="S146" i="1"/>
  <c r="R146" i="1"/>
  <c r="Q146" i="1"/>
  <c r="P146" i="1"/>
  <c r="O146" i="1"/>
  <c r="N146" i="1"/>
  <c r="M146" i="1"/>
  <c r="L146" i="1"/>
  <c r="K146" i="1"/>
  <c r="S145" i="1"/>
  <c r="R145" i="1"/>
  <c r="Q145" i="1"/>
  <c r="P145" i="1"/>
  <c r="O145" i="1"/>
  <c r="N145" i="1"/>
  <c r="M145" i="1"/>
  <c r="K145" i="1"/>
  <c r="L145" i="1" s="1"/>
  <c r="S144" i="1"/>
  <c r="R144" i="1"/>
  <c r="Q144" i="1"/>
  <c r="P144" i="1"/>
  <c r="O144" i="1"/>
  <c r="N144" i="1"/>
  <c r="M144" i="1"/>
  <c r="L144" i="1"/>
  <c r="K144" i="1"/>
  <c r="S143" i="1"/>
  <c r="R143" i="1"/>
  <c r="Q143" i="1"/>
  <c r="P143" i="1"/>
  <c r="O143" i="1"/>
  <c r="N143" i="1"/>
  <c r="M143" i="1"/>
  <c r="K143" i="1"/>
  <c r="L143" i="1" s="1"/>
  <c r="S142" i="1"/>
  <c r="R142" i="1"/>
  <c r="Q142" i="1"/>
  <c r="P142" i="1"/>
  <c r="O142" i="1"/>
  <c r="N142" i="1"/>
  <c r="M142" i="1"/>
  <c r="L142" i="1"/>
  <c r="K142" i="1"/>
  <c r="S141" i="1"/>
  <c r="R141" i="1"/>
  <c r="Q141" i="1"/>
  <c r="P141" i="1"/>
  <c r="O141" i="1"/>
  <c r="N141" i="1"/>
  <c r="M141" i="1"/>
  <c r="K141" i="1"/>
  <c r="L141" i="1" s="1"/>
  <c r="S140" i="1"/>
  <c r="R140" i="1"/>
  <c r="Q140" i="1"/>
  <c r="P140" i="1"/>
  <c r="O140" i="1"/>
  <c r="N140" i="1"/>
  <c r="M140" i="1"/>
  <c r="L140" i="1"/>
  <c r="K140" i="1"/>
  <c r="S139" i="1"/>
  <c r="R139" i="1"/>
  <c r="Q139" i="1"/>
  <c r="P139" i="1"/>
  <c r="O139" i="1"/>
  <c r="N139" i="1"/>
  <c r="M139" i="1"/>
  <c r="K139" i="1"/>
  <c r="L139" i="1" s="1"/>
  <c r="S138" i="1"/>
  <c r="R138" i="1"/>
  <c r="Q138" i="1"/>
  <c r="P138" i="1"/>
  <c r="O138" i="1"/>
  <c r="N138" i="1"/>
  <c r="M138" i="1"/>
  <c r="L138" i="1"/>
  <c r="K138" i="1"/>
  <c r="S137" i="1"/>
  <c r="R137" i="1"/>
  <c r="Q137" i="1"/>
  <c r="P137" i="1"/>
  <c r="O137" i="1"/>
  <c r="N137" i="1"/>
  <c r="M137" i="1"/>
  <c r="K137" i="1"/>
  <c r="L137" i="1" s="1"/>
  <c r="S136" i="1"/>
  <c r="R136" i="1"/>
  <c r="Q136" i="1"/>
  <c r="P136" i="1"/>
  <c r="O136" i="1"/>
  <c r="N136" i="1"/>
  <c r="M136" i="1"/>
  <c r="L136" i="1"/>
  <c r="K136" i="1"/>
  <c r="S135" i="1"/>
  <c r="R135" i="1"/>
  <c r="Q135" i="1"/>
  <c r="P135" i="1"/>
  <c r="O135" i="1"/>
  <c r="N135" i="1"/>
  <c r="M135" i="1"/>
  <c r="K135" i="1"/>
  <c r="L135" i="1" s="1"/>
  <c r="S134" i="1"/>
  <c r="R134" i="1"/>
  <c r="Q134" i="1"/>
  <c r="P134" i="1"/>
  <c r="O134" i="1"/>
  <c r="N134" i="1"/>
  <c r="M134" i="1"/>
  <c r="L134" i="1"/>
  <c r="K134" i="1"/>
  <c r="S133" i="1"/>
  <c r="R133" i="1"/>
  <c r="Q133" i="1"/>
  <c r="P133" i="1"/>
  <c r="O133" i="1"/>
  <c r="N133" i="1"/>
  <c r="M133" i="1"/>
  <c r="K133" i="1"/>
  <c r="L133" i="1" s="1"/>
  <c r="S132" i="1"/>
  <c r="R132" i="1"/>
  <c r="Q132" i="1"/>
  <c r="P132" i="1"/>
  <c r="O132" i="1"/>
  <c r="N132" i="1"/>
  <c r="M132" i="1"/>
  <c r="L132" i="1"/>
  <c r="K132" i="1"/>
  <c r="S131" i="1"/>
  <c r="R131" i="1"/>
  <c r="Q131" i="1"/>
  <c r="P131" i="1"/>
  <c r="O131" i="1"/>
  <c r="N131" i="1"/>
  <c r="M131" i="1"/>
  <c r="K131" i="1"/>
  <c r="L131" i="1" s="1"/>
  <c r="S130" i="1"/>
  <c r="R130" i="1"/>
  <c r="Q130" i="1"/>
  <c r="P130" i="1"/>
  <c r="O130" i="1"/>
  <c r="N130" i="1"/>
  <c r="M130" i="1"/>
  <c r="L130" i="1"/>
  <c r="K130" i="1"/>
  <c r="S129" i="1"/>
  <c r="R129" i="1"/>
  <c r="Q129" i="1"/>
  <c r="P129" i="1"/>
  <c r="O129" i="1"/>
  <c r="N129" i="1"/>
  <c r="M129" i="1"/>
  <c r="K129" i="1"/>
  <c r="L129" i="1" s="1"/>
  <c r="S128" i="1"/>
  <c r="R128" i="1"/>
  <c r="Q128" i="1"/>
  <c r="P128" i="1"/>
  <c r="O128" i="1"/>
  <c r="N128" i="1"/>
  <c r="M128" i="1"/>
  <c r="K128" i="1"/>
  <c r="L128" i="1" s="1"/>
  <c r="S127" i="1"/>
  <c r="R127" i="1"/>
  <c r="Q127" i="1"/>
  <c r="P127" i="1"/>
  <c r="O127" i="1"/>
  <c r="N127" i="1"/>
  <c r="M127" i="1"/>
  <c r="K127" i="1"/>
  <c r="L127" i="1" s="1"/>
  <c r="S126" i="1"/>
  <c r="R126" i="1"/>
  <c r="Q126" i="1"/>
  <c r="P126" i="1"/>
  <c r="O126" i="1"/>
  <c r="N126" i="1"/>
  <c r="M126" i="1"/>
  <c r="K126" i="1"/>
  <c r="L126" i="1" s="1"/>
  <c r="S125" i="1"/>
  <c r="R125" i="1"/>
  <c r="Q125" i="1"/>
  <c r="P125" i="1"/>
  <c r="O125" i="1"/>
  <c r="N125" i="1"/>
  <c r="M125" i="1"/>
  <c r="K125" i="1"/>
  <c r="L125" i="1" s="1"/>
  <c r="S124" i="1"/>
  <c r="R124" i="1"/>
  <c r="Q124" i="1"/>
  <c r="P124" i="1"/>
  <c r="O124" i="1"/>
  <c r="N124" i="1"/>
  <c r="M124" i="1"/>
  <c r="L124" i="1"/>
  <c r="K124" i="1"/>
  <c r="S123" i="1"/>
  <c r="R123" i="1"/>
  <c r="Q123" i="1"/>
  <c r="P123" i="1"/>
  <c r="O123" i="1"/>
  <c r="N123" i="1"/>
  <c r="M123" i="1"/>
  <c r="L123" i="1"/>
  <c r="K123" i="1"/>
  <c r="S122" i="1"/>
  <c r="R122" i="1"/>
  <c r="Q122" i="1"/>
  <c r="P122" i="1"/>
  <c r="O122" i="1"/>
  <c r="N122" i="1"/>
  <c r="M122" i="1"/>
  <c r="K122" i="1"/>
  <c r="L122" i="1" s="1"/>
  <c r="S121" i="1"/>
  <c r="R121" i="1"/>
  <c r="Q121" i="1"/>
  <c r="P121" i="1"/>
  <c r="O121" i="1"/>
  <c r="N121" i="1"/>
  <c r="M121" i="1"/>
  <c r="K121" i="1"/>
  <c r="L121" i="1" s="1"/>
  <c r="S120" i="1"/>
  <c r="R120" i="1"/>
  <c r="Q120" i="1"/>
  <c r="P120" i="1"/>
  <c r="O120" i="1"/>
  <c r="N120" i="1"/>
  <c r="M120" i="1"/>
  <c r="L120" i="1"/>
  <c r="K120" i="1"/>
  <c r="S119" i="1"/>
  <c r="R119" i="1"/>
  <c r="Q119" i="1"/>
  <c r="P119" i="1"/>
  <c r="O119" i="1"/>
  <c r="N119" i="1"/>
  <c r="M119" i="1"/>
  <c r="L119" i="1"/>
  <c r="K119" i="1"/>
  <c r="S118" i="1"/>
  <c r="R118" i="1"/>
  <c r="Q118" i="1"/>
  <c r="P118" i="1"/>
  <c r="O118" i="1"/>
  <c r="N118" i="1"/>
  <c r="M118" i="1"/>
  <c r="K118" i="1"/>
  <c r="L118" i="1" s="1"/>
  <c r="S117" i="1"/>
  <c r="R117" i="1"/>
  <c r="Q117" i="1"/>
  <c r="P117" i="1"/>
  <c r="O117" i="1"/>
  <c r="N117" i="1"/>
  <c r="M117" i="1"/>
  <c r="K117" i="1"/>
  <c r="L117" i="1" s="1"/>
  <c r="S116" i="1"/>
  <c r="R116" i="1"/>
  <c r="Q116" i="1"/>
  <c r="P116" i="1"/>
  <c r="O116" i="1"/>
  <c r="N116" i="1"/>
  <c r="M116" i="1"/>
  <c r="L116" i="1"/>
  <c r="K116" i="1"/>
  <c r="S115" i="1"/>
  <c r="R115" i="1"/>
  <c r="Q115" i="1"/>
  <c r="P115" i="1"/>
  <c r="O115" i="1"/>
  <c r="N115" i="1"/>
  <c r="M115" i="1"/>
  <c r="L115" i="1"/>
  <c r="K115" i="1"/>
  <c r="S114" i="1"/>
  <c r="R114" i="1"/>
  <c r="Q114" i="1"/>
  <c r="P114" i="1"/>
  <c r="O114" i="1"/>
  <c r="N114" i="1"/>
  <c r="M114" i="1"/>
  <c r="K114" i="1"/>
  <c r="L114" i="1" s="1"/>
  <c r="S113" i="1"/>
  <c r="R113" i="1"/>
  <c r="Q113" i="1"/>
  <c r="P113" i="1"/>
  <c r="O113" i="1"/>
  <c r="N113" i="1"/>
  <c r="M113" i="1"/>
  <c r="K113" i="1"/>
  <c r="L113" i="1" s="1"/>
  <c r="S112" i="1"/>
  <c r="R112" i="1"/>
  <c r="Q112" i="1"/>
  <c r="P112" i="1"/>
  <c r="O112" i="1"/>
  <c r="N112" i="1"/>
  <c r="M112" i="1"/>
  <c r="L112" i="1"/>
  <c r="K112" i="1"/>
  <c r="S111" i="1"/>
  <c r="R111" i="1"/>
  <c r="Q111" i="1"/>
  <c r="P111" i="1"/>
  <c r="O111" i="1"/>
  <c r="N111" i="1"/>
  <c r="M111" i="1"/>
  <c r="L111" i="1"/>
  <c r="K111" i="1"/>
  <c r="S110" i="1"/>
  <c r="R110" i="1"/>
  <c r="Q110" i="1"/>
  <c r="P110" i="1"/>
  <c r="O110" i="1"/>
  <c r="N110" i="1"/>
  <c r="M110" i="1"/>
  <c r="K110" i="1"/>
  <c r="L110" i="1" s="1"/>
  <c r="S109" i="1"/>
  <c r="R109" i="1"/>
  <c r="Q109" i="1"/>
  <c r="P109" i="1"/>
  <c r="O109" i="1"/>
  <c r="N109" i="1"/>
  <c r="M109" i="1"/>
  <c r="K109" i="1"/>
  <c r="L109" i="1" s="1"/>
  <c r="S108" i="1"/>
  <c r="R108" i="1"/>
  <c r="Q108" i="1"/>
  <c r="P108" i="1"/>
  <c r="O108" i="1"/>
  <c r="N108" i="1"/>
  <c r="M108" i="1"/>
  <c r="L108" i="1"/>
  <c r="K108" i="1"/>
  <c r="S107" i="1"/>
  <c r="R107" i="1"/>
  <c r="Q107" i="1"/>
  <c r="P107" i="1"/>
  <c r="O107" i="1"/>
  <c r="N107" i="1"/>
  <c r="M107" i="1"/>
  <c r="L107" i="1"/>
  <c r="K107" i="1"/>
  <c r="S106" i="1"/>
  <c r="R106" i="1"/>
  <c r="Q106" i="1"/>
  <c r="P106" i="1"/>
  <c r="O106" i="1"/>
  <c r="N106" i="1"/>
  <c r="M106" i="1"/>
  <c r="K106" i="1"/>
  <c r="L106" i="1" s="1"/>
  <c r="S105" i="1"/>
  <c r="R105" i="1"/>
  <c r="Q105" i="1"/>
  <c r="P105" i="1"/>
  <c r="O105" i="1"/>
  <c r="N105" i="1"/>
  <c r="M105" i="1"/>
  <c r="K105" i="1"/>
  <c r="L105" i="1" s="1"/>
  <c r="S104" i="1"/>
  <c r="R104" i="1"/>
  <c r="Q104" i="1"/>
  <c r="P104" i="1"/>
  <c r="O104" i="1"/>
  <c r="N104" i="1"/>
  <c r="M104" i="1"/>
  <c r="L104" i="1"/>
  <c r="K104" i="1"/>
  <c r="S103" i="1"/>
  <c r="R103" i="1"/>
  <c r="Q103" i="1"/>
  <c r="P103" i="1"/>
  <c r="O103" i="1"/>
  <c r="N103" i="1"/>
  <c r="M103" i="1"/>
  <c r="L103" i="1"/>
  <c r="K103" i="1"/>
  <c r="S102" i="1"/>
  <c r="R102" i="1"/>
  <c r="Q102" i="1"/>
  <c r="P102" i="1"/>
  <c r="O102" i="1"/>
  <c r="N102" i="1"/>
  <c r="M102" i="1"/>
  <c r="K102" i="1"/>
  <c r="L102" i="1" s="1"/>
  <c r="S101" i="1"/>
  <c r="R101" i="1"/>
  <c r="Q101" i="1"/>
  <c r="P101" i="1"/>
  <c r="O101" i="1"/>
  <c r="N101" i="1"/>
  <c r="M101" i="1"/>
  <c r="K101" i="1"/>
  <c r="L101" i="1" s="1"/>
  <c r="S100" i="1"/>
  <c r="R100" i="1"/>
  <c r="Q100" i="1"/>
  <c r="P100" i="1"/>
  <c r="O100" i="1"/>
  <c r="N100" i="1"/>
  <c r="M100" i="1"/>
  <c r="L100" i="1"/>
  <c r="K100" i="1"/>
  <c r="S99" i="1"/>
  <c r="R99" i="1"/>
  <c r="Q99" i="1"/>
  <c r="P99" i="1"/>
  <c r="O99" i="1"/>
  <c r="N99" i="1"/>
  <c r="M99" i="1"/>
  <c r="L99" i="1"/>
  <c r="K99" i="1"/>
  <c r="S98" i="1"/>
  <c r="R98" i="1"/>
  <c r="Q98" i="1"/>
  <c r="P98" i="1"/>
  <c r="O98" i="1"/>
  <c r="N98" i="1"/>
  <c r="M98" i="1"/>
  <c r="K98" i="1"/>
  <c r="L98" i="1" s="1"/>
  <c r="S97" i="1"/>
  <c r="R97" i="1"/>
  <c r="Q97" i="1"/>
  <c r="P97" i="1"/>
  <c r="O97" i="1"/>
  <c r="N97" i="1"/>
  <c r="M97" i="1"/>
  <c r="K97" i="1"/>
  <c r="L97" i="1" s="1"/>
  <c r="S96" i="1"/>
  <c r="R96" i="1"/>
  <c r="Q96" i="1"/>
  <c r="P96" i="1"/>
  <c r="O96" i="1"/>
  <c r="N96" i="1"/>
  <c r="M96" i="1"/>
  <c r="L96" i="1"/>
  <c r="K96" i="1"/>
  <c r="S95" i="1"/>
  <c r="R95" i="1"/>
  <c r="Q95" i="1"/>
  <c r="P95" i="1"/>
  <c r="O95" i="1"/>
  <c r="N95" i="1"/>
  <c r="M95" i="1"/>
  <c r="L95" i="1"/>
  <c r="K95" i="1"/>
  <c r="S94" i="1"/>
  <c r="R94" i="1"/>
  <c r="Q94" i="1"/>
  <c r="P94" i="1"/>
  <c r="O94" i="1"/>
  <c r="N94" i="1"/>
  <c r="M94" i="1"/>
  <c r="K94" i="1"/>
  <c r="L94" i="1" s="1"/>
  <c r="S93" i="1"/>
  <c r="R93" i="1"/>
  <c r="Q93" i="1"/>
  <c r="P93" i="1"/>
  <c r="O93" i="1"/>
  <c r="N93" i="1"/>
  <c r="M93" i="1"/>
  <c r="K93" i="1"/>
  <c r="L93" i="1" s="1"/>
  <c r="S92" i="1"/>
  <c r="R92" i="1"/>
  <c r="Q92" i="1"/>
  <c r="P92" i="1"/>
  <c r="O92" i="1"/>
  <c r="N92" i="1"/>
  <c r="M92" i="1"/>
  <c r="L92" i="1"/>
  <c r="K92" i="1"/>
  <c r="S91" i="1"/>
  <c r="R91" i="1"/>
  <c r="Q91" i="1"/>
  <c r="P91" i="1"/>
  <c r="O91" i="1"/>
  <c r="N91" i="1"/>
  <c r="M91" i="1"/>
  <c r="L91" i="1"/>
  <c r="K91" i="1"/>
  <c r="S90" i="1"/>
  <c r="R90" i="1"/>
  <c r="Q90" i="1"/>
  <c r="P90" i="1"/>
  <c r="O90" i="1"/>
  <c r="N90" i="1"/>
  <c r="M90" i="1"/>
  <c r="K90" i="1"/>
  <c r="L90" i="1" s="1"/>
  <c r="S89" i="1"/>
  <c r="R89" i="1"/>
  <c r="Q89" i="1"/>
  <c r="P89" i="1"/>
  <c r="O89" i="1"/>
  <c r="N89" i="1"/>
  <c r="M89" i="1"/>
  <c r="L89" i="1"/>
  <c r="K89" i="1"/>
  <c r="S88" i="1"/>
  <c r="R88" i="1"/>
  <c r="Q88" i="1"/>
  <c r="P88" i="1"/>
  <c r="O88" i="1"/>
  <c r="N88" i="1"/>
  <c r="M88" i="1"/>
  <c r="K88" i="1"/>
  <c r="L88" i="1" s="1"/>
  <c r="S87" i="1"/>
  <c r="R87" i="1"/>
  <c r="Q87" i="1"/>
  <c r="P87" i="1"/>
  <c r="O87" i="1"/>
  <c r="N87" i="1"/>
  <c r="M87" i="1"/>
  <c r="L87" i="1"/>
  <c r="K87" i="1"/>
  <c r="S86" i="1"/>
  <c r="R86" i="1"/>
  <c r="Q86" i="1"/>
  <c r="P86" i="1"/>
  <c r="O86" i="1"/>
  <c r="N86" i="1"/>
  <c r="M86" i="1"/>
  <c r="K86" i="1"/>
  <c r="L86" i="1" s="1"/>
  <c r="S85" i="1"/>
  <c r="R85" i="1"/>
  <c r="Q85" i="1"/>
  <c r="P85" i="1"/>
  <c r="O85" i="1"/>
  <c r="N85" i="1"/>
  <c r="M85" i="1"/>
  <c r="K85" i="1"/>
  <c r="L85" i="1" s="1"/>
  <c r="S84" i="1"/>
  <c r="R84" i="1"/>
  <c r="Q84" i="1"/>
  <c r="P84" i="1"/>
  <c r="O84" i="1"/>
  <c r="N84" i="1"/>
  <c r="M84" i="1"/>
  <c r="L84" i="1"/>
  <c r="K84" i="1"/>
  <c r="S83" i="1"/>
  <c r="R83" i="1"/>
  <c r="Q83" i="1"/>
  <c r="P83" i="1"/>
  <c r="O83" i="1"/>
  <c r="N83" i="1"/>
  <c r="M83" i="1"/>
  <c r="L83" i="1"/>
  <c r="K83" i="1"/>
  <c r="S82" i="1"/>
  <c r="R82" i="1"/>
  <c r="Q82" i="1"/>
  <c r="P82" i="1"/>
  <c r="O82" i="1"/>
  <c r="N82" i="1"/>
  <c r="M82" i="1"/>
  <c r="K82" i="1"/>
  <c r="L82" i="1" s="1"/>
  <c r="S81" i="1"/>
  <c r="R81" i="1"/>
  <c r="Q81" i="1"/>
  <c r="P81" i="1"/>
  <c r="O81" i="1"/>
  <c r="N81" i="1"/>
  <c r="M81" i="1"/>
  <c r="L81" i="1"/>
  <c r="K81" i="1"/>
  <c r="S80" i="1"/>
  <c r="R80" i="1"/>
  <c r="Q80" i="1"/>
  <c r="P80" i="1"/>
  <c r="O80" i="1"/>
  <c r="N80" i="1"/>
  <c r="M80" i="1"/>
  <c r="K80" i="1"/>
  <c r="L80" i="1" s="1"/>
  <c r="S79" i="1"/>
  <c r="R79" i="1"/>
  <c r="Q79" i="1"/>
  <c r="P79" i="1"/>
  <c r="O79" i="1"/>
  <c r="N79" i="1"/>
  <c r="M79" i="1"/>
  <c r="L79" i="1"/>
  <c r="K79" i="1"/>
  <c r="S78" i="1"/>
  <c r="R78" i="1"/>
  <c r="Q78" i="1"/>
  <c r="P78" i="1"/>
  <c r="O78" i="1"/>
  <c r="N78" i="1"/>
  <c r="M78" i="1"/>
  <c r="K78" i="1"/>
  <c r="L78" i="1" s="1"/>
  <c r="S77" i="1"/>
  <c r="R77" i="1"/>
  <c r="Q77" i="1"/>
  <c r="P77" i="1"/>
  <c r="O77" i="1"/>
  <c r="N77" i="1"/>
  <c r="M77" i="1"/>
  <c r="K77" i="1"/>
  <c r="L77" i="1" s="1"/>
  <c r="S76" i="1"/>
  <c r="R76" i="1"/>
  <c r="Q76" i="1"/>
  <c r="P76" i="1"/>
  <c r="O76" i="1"/>
  <c r="N76" i="1"/>
  <c r="M76" i="1"/>
  <c r="L76" i="1"/>
  <c r="K76" i="1"/>
  <c r="S75" i="1"/>
  <c r="R75" i="1"/>
  <c r="Q75" i="1"/>
  <c r="P75" i="1"/>
  <c r="O75" i="1"/>
  <c r="N75" i="1"/>
  <c r="M75" i="1"/>
  <c r="L75" i="1"/>
  <c r="K75" i="1"/>
  <c r="S74" i="1"/>
  <c r="R74" i="1"/>
  <c r="Q74" i="1"/>
  <c r="P74" i="1"/>
  <c r="O74" i="1"/>
  <c r="N74" i="1"/>
  <c r="M74" i="1"/>
  <c r="K74" i="1"/>
  <c r="L74" i="1" s="1"/>
  <c r="S73" i="1"/>
  <c r="R73" i="1"/>
  <c r="Q73" i="1"/>
  <c r="P73" i="1"/>
  <c r="O73" i="1"/>
  <c r="N73" i="1"/>
  <c r="M73" i="1"/>
  <c r="L73" i="1"/>
  <c r="K73" i="1"/>
  <c r="S72" i="1"/>
  <c r="R72" i="1"/>
  <c r="Q72" i="1"/>
  <c r="P72" i="1"/>
  <c r="O72" i="1"/>
  <c r="N72" i="1"/>
  <c r="M72" i="1"/>
  <c r="K72" i="1"/>
  <c r="L72" i="1" s="1"/>
  <c r="S71" i="1"/>
  <c r="R71" i="1"/>
  <c r="Q71" i="1"/>
  <c r="P71" i="1"/>
  <c r="O71" i="1"/>
  <c r="N71" i="1"/>
  <c r="M71" i="1"/>
  <c r="L71" i="1"/>
  <c r="K71" i="1"/>
  <c r="S70" i="1"/>
  <c r="R70" i="1"/>
  <c r="Q70" i="1"/>
  <c r="P70" i="1"/>
  <c r="O70" i="1"/>
  <c r="N70" i="1"/>
  <c r="M70" i="1"/>
  <c r="K70" i="1"/>
  <c r="L70" i="1" s="1"/>
  <c r="S69" i="1"/>
  <c r="R69" i="1"/>
  <c r="Q69" i="1"/>
  <c r="P69" i="1"/>
  <c r="O69" i="1"/>
  <c r="N69" i="1"/>
  <c r="M69" i="1"/>
  <c r="K69" i="1"/>
  <c r="L69" i="1" s="1"/>
  <c r="S68" i="1"/>
  <c r="R68" i="1"/>
  <c r="Q68" i="1"/>
  <c r="P68" i="1"/>
  <c r="O68" i="1"/>
  <c r="N68" i="1"/>
  <c r="M68" i="1"/>
  <c r="L68" i="1"/>
  <c r="K68" i="1"/>
  <c r="S67" i="1"/>
  <c r="R67" i="1"/>
  <c r="Q67" i="1"/>
  <c r="P67" i="1"/>
  <c r="O67" i="1"/>
  <c r="N67" i="1"/>
  <c r="M67" i="1"/>
  <c r="L67" i="1"/>
  <c r="K67" i="1"/>
  <c r="S66" i="1"/>
  <c r="R66" i="1"/>
  <c r="Q66" i="1"/>
  <c r="P66" i="1"/>
  <c r="O66" i="1"/>
  <c r="N66" i="1"/>
  <c r="M66" i="1"/>
  <c r="K66" i="1"/>
  <c r="L66" i="1" s="1"/>
  <c r="S65" i="1"/>
  <c r="R65" i="1"/>
  <c r="Q65" i="1"/>
  <c r="P65" i="1"/>
  <c r="O65" i="1"/>
  <c r="N65" i="1"/>
  <c r="M65" i="1"/>
  <c r="L65" i="1"/>
  <c r="K65" i="1"/>
  <c r="S64" i="1"/>
  <c r="R64" i="1"/>
  <c r="Q64" i="1"/>
  <c r="P64" i="1"/>
  <c r="O64" i="1"/>
  <c r="N64" i="1"/>
  <c r="M64" i="1"/>
  <c r="K64" i="1"/>
  <c r="L64" i="1" s="1"/>
  <c r="S63" i="1"/>
  <c r="R63" i="1"/>
  <c r="Q63" i="1"/>
  <c r="P63" i="1"/>
  <c r="O63" i="1"/>
  <c r="N63" i="1"/>
  <c r="M63" i="1"/>
  <c r="L63" i="1"/>
  <c r="K63" i="1"/>
  <c r="S62" i="1"/>
  <c r="R62" i="1"/>
  <c r="Q62" i="1"/>
  <c r="P62" i="1"/>
  <c r="O62" i="1"/>
  <c r="N62" i="1"/>
  <c r="M62" i="1"/>
  <c r="K62" i="1"/>
  <c r="L62" i="1" s="1"/>
  <c r="S61" i="1"/>
  <c r="R61" i="1"/>
  <c r="Q61" i="1"/>
  <c r="P61" i="1"/>
  <c r="O61" i="1"/>
  <c r="N61" i="1"/>
  <c r="M61" i="1"/>
  <c r="K61" i="1"/>
  <c r="L61" i="1" s="1"/>
  <c r="S60" i="1"/>
  <c r="R60" i="1"/>
  <c r="Q60" i="1"/>
  <c r="P60" i="1"/>
  <c r="O60" i="1"/>
  <c r="N60" i="1"/>
  <c r="M60" i="1"/>
  <c r="L60" i="1"/>
  <c r="K60" i="1"/>
  <c r="S59" i="1"/>
  <c r="R59" i="1"/>
  <c r="Q59" i="1"/>
  <c r="P59" i="1"/>
  <c r="O59" i="1"/>
  <c r="N59" i="1"/>
  <c r="M59" i="1"/>
  <c r="K59" i="1"/>
  <c r="L59" i="1" s="1"/>
  <c r="S58" i="1"/>
  <c r="R58" i="1"/>
  <c r="Q58" i="1"/>
  <c r="P58" i="1"/>
  <c r="O58" i="1"/>
  <c r="N58" i="1"/>
  <c r="M58" i="1"/>
  <c r="L58" i="1"/>
  <c r="K58" i="1"/>
  <c r="S57" i="1"/>
  <c r="R57" i="1"/>
  <c r="Q57" i="1"/>
  <c r="P57" i="1"/>
  <c r="O57" i="1"/>
  <c r="N57" i="1"/>
  <c r="M57" i="1"/>
  <c r="K57" i="1"/>
  <c r="L57" i="1" s="1"/>
  <c r="S56" i="1"/>
  <c r="R56" i="1"/>
  <c r="Q56" i="1"/>
  <c r="P56" i="1"/>
  <c r="O56" i="1"/>
  <c r="N56" i="1"/>
  <c r="M56" i="1"/>
  <c r="L56" i="1"/>
  <c r="K56" i="1"/>
  <c r="S55" i="1"/>
  <c r="R55" i="1"/>
  <c r="Q55" i="1"/>
  <c r="P55" i="1"/>
  <c r="O55" i="1"/>
  <c r="N55" i="1"/>
  <c r="M55" i="1"/>
  <c r="K55" i="1"/>
  <c r="L55" i="1" s="1"/>
  <c r="S54" i="1"/>
  <c r="R54" i="1"/>
  <c r="Q54" i="1"/>
  <c r="P54" i="1"/>
  <c r="O54" i="1"/>
  <c r="N54" i="1"/>
  <c r="M54" i="1"/>
  <c r="L54" i="1"/>
  <c r="K54" i="1"/>
  <c r="S53" i="1"/>
  <c r="R53" i="1"/>
  <c r="Q53" i="1"/>
  <c r="P53" i="1"/>
  <c r="O53" i="1"/>
  <c r="N53" i="1"/>
  <c r="M53" i="1"/>
  <c r="K53" i="1"/>
  <c r="L53" i="1" s="1"/>
  <c r="S52" i="1"/>
  <c r="R52" i="1"/>
  <c r="Q52" i="1"/>
  <c r="P52" i="1"/>
  <c r="O52" i="1"/>
  <c r="N52" i="1"/>
  <c r="M52" i="1"/>
  <c r="L52" i="1"/>
  <c r="K52" i="1"/>
  <c r="S51" i="1"/>
  <c r="R51" i="1"/>
  <c r="Q51" i="1"/>
  <c r="P51" i="1"/>
  <c r="O51" i="1"/>
  <c r="N51" i="1"/>
  <c r="M51" i="1"/>
  <c r="K51" i="1"/>
  <c r="L51" i="1" s="1"/>
  <c r="S50" i="1"/>
  <c r="R50" i="1"/>
  <c r="Q50" i="1"/>
  <c r="P50" i="1"/>
  <c r="O50" i="1"/>
  <c r="N50" i="1"/>
  <c r="M50" i="1"/>
  <c r="L50" i="1"/>
  <c r="K50" i="1"/>
  <c r="S49" i="1"/>
  <c r="R49" i="1"/>
  <c r="Q49" i="1"/>
  <c r="P49" i="1"/>
  <c r="O49" i="1"/>
  <c r="N49" i="1"/>
  <c r="M49" i="1"/>
  <c r="K49" i="1"/>
  <c r="L49" i="1" s="1"/>
  <c r="S48" i="1"/>
  <c r="R48" i="1"/>
  <c r="Q48" i="1"/>
  <c r="P48" i="1"/>
  <c r="O48" i="1"/>
  <c r="N48" i="1"/>
  <c r="M48" i="1"/>
  <c r="L48" i="1"/>
  <c r="K48" i="1"/>
  <c r="S47" i="1"/>
  <c r="R47" i="1"/>
  <c r="Q47" i="1"/>
  <c r="P47" i="1"/>
  <c r="O47" i="1"/>
  <c r="N47" i="1"/>
  <c r="M47" i="1"/>
  <c r="K47" i="1"/>
  <c r="L47" i="1" s="1"/>
  <c r="S46" i="1"/>
  <c r="R46" i="1"/>
  <c r="Q46" i="1"/>
  <c r="P46" i="1"/>
  <c r="O46" i="1"/>
  <c r="N46" i="1"/>
  <c r="M46" i="1"/>
  <c r="L46" i="1"/>
  <c r="K46" i="1"/>
  <c r="S45" i="1"/>
  <c r="R45" i="1"/>
  <c r="Q45" i="1"/>
  <c r="P45" i="1"/>
  <c r="O45" i="1"/>
  <c r="N45" i="1"/>
  <c r="M45" i="1"/>
  <c r="K45" i="1"/>
  <c r="L45" i="1" s="1"/>
  <c r="S44" i="1"/>
  <c r="R44" i="1"/>
  <c r="Q44" i="1"/>
  <c r="P44" i="1"/>
  <c r="O44" i="1"/>
  <c r="N44" i="1"/>
  <c r="M44" i="1"/>
  <c r="L44" i="1"/>
  <c r="K44" i="1"/>
  <c r="S43" i="1"/>
  <c r="R43" i="1"/>
  <c r="Q43" i="1"/>
  <c r="P43" i="1"/>
  <c r="O43" i="1"/>
  <c r="N43" i="1"/>
  <c r="M43" i="1"/>
  <c r="K43" i="1"/>
  <c r="L43" i="1" s="1"/>
  <c r="S42" i="1"/>
  <c r="R42" i="1"/>
  <c r="Q42" i="1"/>
  <c r="P42" i="1"/>
  <c r="O42" i="1"/>
  <c r="N42" i="1"/>
  <c r="M42" i="1"/>
  <c r="L42" i="1"/>
  <c r="K42" i="1"/>
  <c r="S41" i="1"/>
  <c r="R41" i="1"/>
  <c r="Q41" i="1"/>
  <c r="P41" i="1"/>
  <c r="O41" i="1"/>
  <c r="N41" i="1"/>
  <c r="M41" i="1"/>
  <c r="K41" i="1"/>
  <c r="L41" i="1" s="1"/>
  <c r="S40" i="1"/>
  <c r="R40" i="1"/>
  <c r="Q40" i="1"/>
  <c r="P40" i="1"/>
  <c r="O40" i="1"/>
  <c r="N40" i="1"/>
  <c r="M40" i="1"/>
  <c r="L40" i="1"/>
  <c r="K40" i="1"/>
  <c r="S39" i="1"/>
  <c r="R39" i="1"/>
  <c r="Q39" i="1"/>
  <c r="P39" i="1"/>
  <c r="O39" i="1"/>
  <c r="N39" i="1"/>
  <c r="M39" i="1"/>
  <c r="K39" i="1"/>
  <c r="L39" i="1" s="1"/>
  <c r="S38" i="1"/>
  <c r="R38" i="1"/>
  <c r="Q38" i="1"/>
  <c r="P38" i="1"/>
  <c r="O38" i="1"/>
  <c r="N38" i="1"/>
  <c r="M38" i="1"/>
  <c r="L38" i="1"/>
  <c r="K38" i="1"/>
  <c r="S37" i="1"/>
  <c r="R37" i="1"/>
  <c r="Q37" i="1"/>
  <c r="P37" i="1"/>
  <c r="O37" i="1"/>
  <c r="N37" i="1"/>
  <c r="M37" i="1"/>
  <c r="K37" i="1"/>
  <c r="L37" i="1" s="1"/>
  <c r="S36" i="1"/>
  <c r="R36" i="1"/>
  <c r="Q36" i="1"/>
  <c r="P36" i="1"/>
  <c r="O36" i="1"/>
  <c r="N36" i="1"/>
  <c r="M36" i="1"/>
  <c r="L36" i="1"/>
  <c r="K36" i="1"/>
  <c r="S35" i="1"/>
  <c r="R35" i="1"/>
  <c r="Q35" i="1"/>
  <c r="P35" i="1"/>
  <c r="O35" i="1"/>
  <c r="N35" i="1"/>
  <c r="M35" i="1"/>
  <c r="K35" i="1"/>
  <c r="L35" i="1" s="1"/>
  <c r="S34" i="1"/>
  <c r="R34" i="1"/>
  <c r="Q34" i="1"/>
  <c r="P34" i="1"/>
  <c r="O34" i="1"/>
  <c r="N34" i="1"/>
  <c r="M34" i="1"/>
  <c r="L34" i="1"/>
  <c r="K34" i="1"/>
  <c r="S33" i="1"/>
  <c r="R33" i="1"/>
  <c r="Q33" i="1"/>
  <c r="P33" i="1"/>
  <c r="O33" i="1"/>
  <c r="N33" i="1"/>
  <c r="M33" i="1"/>
  <c r="K33" i="1"/>
  <c r="L33" i="1" s="1"/>
  <c r="S32" i="1"/>
  <c r="R32" i="1"/>
  <c r="Q32" i="1"/>
  <c r="P32" i="1"/>
  <c r="O32" i="1"/>
  <c r="N32" i="1"/>
  <c r="M32" i="1"/>
  <c r="L32" i="1"/>
  <c r="K32" i="1"/>
  <c r="S31" i="1"/>
  <c r="R31" i="1"/>
  <c r="Q31" i="1"/>
  <c r="P31" i="1"/>
  <c r="O31" i="1"/>
  <c r="N31" i="1"/>
  <c r="M31" i="1"/>
  <c r="K31" i="1"/>
  <c r="L31" i="1" s="1"/>
  <c r="S30" i="1"/>
  <c r="R30" i="1"/>
  <c r="Q30" i="1"/>
  <c r="P30" i="1"/>
  <c r="O30" i="1"/>
  <c r="N30" i="1"/>
  <c r="M30" i="1"/>
  <c r="L30" i="1"/>
  <c r="K30" i="1"/>
  <c r="S29" i="1"/>
  <c r="R29" i="1"/>
  <c r="Q29" i="1"/>
  <c r="P29" i="1"/>
  <c r="O29" i="1"/>
  <c r="N29" i="1"/>
  <c r="M29" i="1"/>
  <c r="K29" i="1"/>
  <c r="L29" i="1" s="1"/>
  <c r="S28" i="1"/>
  <c r="R28" i="1"/>
  <c r="Q28" i="1"/>
  <c r="P28" i="1"/>
  <c r="O28" i="1"/>
  <c r="N28" i="1"/>
  <c r="M28" i="1"/>
  <c r="L28" i="1"/>
  <c r="K28" i="1"/>
  <c r="S27" i="1"/>
  <c r="R27" i="1"/>
  <c r="Q27" i="1"/>
  <c r="P27" i="1"/>
  <c r="O27" i="1"/>
  <c r="N27" i="1"/>
  <c r="M27" i="1"/>
  <c r="K27" i="1"/>
  <c r="L27" i="1" s="1"/>
  <c r="S26" i="1"/>
  <c r="R26" i="1"/>
  <c r="Q26" i="1"/>
  <c r="P26" i="1"/>
  <c r="O26" i="1"/>
  <c r="N26" i="1"/>
  <c r="M26" i="1"/>
  <c r="L26" i="1"/>
  <c r="K26" i="1"/>
  <c r="S25" i="1"/>
  <c r="R25" i="1"/>
  <c r="Q25" i="1"/>
  <c r="P25" i="1"/>
  <c r="O25" i="1"/>
  <c r="N25" i="1"/>
  <c r="M25" i="1"/>
  <c r="K25" i="1"/>
  <c r="L25" i="1" s="1"/>
  <c r="S24" i="1"/>
  <c r="R24" i="1"/>
  <c r="Q24" i="1"/>
  <c r="P24" i="1"/>
  <c r="O24" i="1"/>
  <c r="N24" i="1"/>
  <c r="M24" i="1"/>
  <c r="L24" i="1"/>
  <c r="K24" i="1"/>
  <c r="S23" i="1"/>
  <c r="R23" i="1"/>
  <c r="Q23" i="1"/>
  <c r="P23" i="1"/>
  <c r="O23" i="1"/>
  <c r="N23" i="1"/>
  <c r="M23" i="1"/>
  <c r="K23" i="1"/>
  <c r="L23" i="1" s="1"/>
  <c r="S22" i="1"/>
  <c r="R22" i="1"/>
  <c r="Q22" i="1"/>
  <c r="P22" i="1"/>
  <c r="O22" i="1"/>
  <c r="N22" i="1"/>
  <c r="M22" i="1"/>
  <c r="L22" i="1"/>
  <c r="K22" i="1"/>
  <c r="S21" i="1"/>
  <c r="R21" i="1"/>
  <c r="Q21" i="1"/>
  <c r="P21" i="1"/>
  <c r="O21" i="1"/>
  <c r="N21" i="1"/>
  <c r="M21" i="1"/>
  <c r="K21" i="1"/>
  <c r="L21" i="1" s="1"/>
  <c r="S20" i="1"/>
  <c r="R20" i="1"/>
  <c r="Q20" i="1"/>
  <c r="P20" i="1"/>
  <c r="O20" i="1"/>
  <c r="N20" i="1"/>
  <c r="M20" i="1"/>
  <c r="L20" i="1"/>
  <c r="K20" i="1"/>
  <c r="S19" i="1"/>
  <c r="R19" i="1"/>
  <c r="Q19" i="1"/>
  <c r="P19" i="1"/>
  <c r="O19" i="1"/>
  <c r="N19" i="1"/>
  <c r="M19" i="1"/>
  <c r="L19" i="1"/>
  <c r="K19" i="1"/>
  <c r="S18" i="1"/>
  <c r="R18" i="1"/>
  <c r="Q18" i="1"/>
  <c r="P18" i="1"/>
  <c r="O18" i="1"/>
  <c r="N18" i="1"/>
  <c r="M18" i="1"/>
  <c r="L18" i="1"/>
  <c r="K18" i="1"/>
  <c r="S17" i="1"/>
  <c r="R17" i="1"/>
  <c r="Q17" i="1"/>
  <c r="P17" i="1"/>
  <c r="O17" i="1"/>
  <c r="N17" i="1"/>
  <c r="M17" i="1"/>
  <c r="K17" i="1"/>
  <c r="L17" i="1" s="1"/>
  <c r="S16" i="1"/>
  <c r="R16" i="1"/>
  <c r="Q16" i="1"/>
  <c r="P16" i="1"/>
  <c r="O16" i="1"/>
  <c r="N16" i="1"/>
  <c r="M16" i="1"/>
  <c r="L16" i="1"/>
  <c r="K16" i="1"/>
  <c r="S15" i="1"/>
  <c r="R15" i="1"/>
  <c r="Q15" i="1"/>
  <c r="P15" i="1"/>
  <c r="O15" i="1"/>
  <c r="N15" i="1"/>
  <c r="M15" i="1"/>
  <c r="K15" i="1"/>
  <c r="L15" i="1" s="1"/>
  <c r="S14" i="1"/>
  <c r="R14" i="1"/>
  <c r="Q14" i="1"/>
  <c r="P14" i="1"/>
  <c r="O14" i="1"/>
  <c r="N14" i="1"/>
  <c r="M14" i="1"/>
  <c r="L14" i="1"/>
  <c r="K14" i="1"/>
  <c r="S13" i="1"/>
  <c r="R13" i="1"/>
  <c r="Q13" i="1"/>
  <c r="P13" i="1"/>
  <c r="O13" i="1"/>
  <c r="N13" i="1"/>
  <c r="M13" i="1"/>
  <c r="K13" i="1"/>
  <c r="L13" i="1" s="1"/>
  <c r="S12" i="1"/>
  <c r="R12" i="1"/>
  <c r="Q12" i="1"/>
  <c r="P12" i="1"/>
  <c r="O12" i="1"/>
  <c r="N12" i="1"/>
  <c r="M12" i="1"/>
  <c r="L12" i="1"/>
  <c r="K12" i="1"/>
  <c r="S11" i="1"/>
  <c r="R11" i="1"/>
  <c r="Q11" i="1"/>
  <c r="P11" i="1"/>
  <c r="O11" i="1"/>
  <c r="N11" i="1"/>
  <c r="M11" i="1"/>
  <c r="L11" i="1"/>
  <c r="K11" i="1"/>
  <c r="S10" i="1"/>
  <c r="R10" i="1"/>
  <c r="Q10" i="1"/>
  <c r="P10" i="1"/>
  <c r="O10" i="1"/>
  <c r="N10" i="1"/>
  <c r="M10" i="1"/>
  <c r="L10" i="1"/>
  <c r="K10" i="1"/>
  <c r="S9" i="1"/>
  <c r="R9" i="1"/>
  <c r="Q9" i="1"/>
  <c r="P9" i="1"/>
  <c r="O9" i="1"/>
  <c r="N9" i="1"/>
  <c r="M9" i="1"/>
  <c r="L9" i="1"/>
  <c r="K9" i="1"/>
  <c r="S8" i="1"/>
  <c r="R8" i="1"/>
  <c r="Q8" i="1"/>
  <c r="P8" i="1"/>
  <c r="O8" i="1"/>
  <c r="N8" i="1"/>
  <c r="M8" i="1"/>
  <c r="K8" i="1"/>
  <c r="L8" i="1" s="1"/>
  <c r="S7" i="1"/>
  <c r="R7" i="1"/>
  <c r="Q7" i="1"/>
  <c r="P7" i="1"/>
  <c r="O7" i="1"/>
  <c r="N7" i="1"/>
  <c r="M7" i="1"/>
  <c r="K7" i="1"/>
  <c r="L7" i="1" s="1"/>
  <c r="S6" i="1"/>
  <c r="R6" i="1"/>
  <c r="Q6" i="1"/>
  <c r="P6" i="1"/>
  <c r="O6" i="1"/>
  <c r="N6" i="1"/>
  <c r="M6" i="1"/>
  <c r="K6" i="1"/>
  <c r="L6" i="1" s="1"/>
  <c r="S5" i="1"/>
  <c r="R5" i="1"/>
  <c r="Q5" i="1"/>
  <c r="P5" i="1"/>
  <c r="AB124" i="1" s="1" a="1"/>
  <c r="O5" i="1"/>
  <c r="N5" i="1"/>
  <c r="M5" i="1"/>
  <c r="L5" i="1"/>
  <c r="K5" i="1"/>
  <c r="AB18" i="1"/>
  <c r="AD19" i="1"/>
  <c r="AI8" i="1"/>
  <c r="AC128" i="1" l="1"/>
  <c r="AC126" i="1"/>
  <c r="AB124" i="1"/>
  <c r="AC124" i="1" s="1"/>
  <c r="AC127" i="1"/>
  <c r="AC125" i="1"/>
  <c r="AB6" i="1" a="1"/>
  <c r="AC8" i="1" l="1"/>
  <c r="AC7" i="1"/>
  <c r="AB6" i="1"/>
  <c r="AD10" i="1"/>
  <c r="AD9" i="1"/>
  <c r="AC10" i="1"/>
  <c r="AC9" i="1"/>
  <c r="AD8" i="1"/>
  <c r="AD7" i="1"/>
  <c r="AC6" i="1" l="1"/>
  <c r="AC11" i="1" s="1"/>
  <c r="AE9" i="1" s="1"/>
  <c r="AD6" i="1"/>
  <c r="AE6" i="1" s="1"/>
  <c r="AE7" i="1" l="1"/>
  <c r="AE8" i="1"/>
  <c r="AE1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<sst xmlns="http://schemas.openxmlformats.org/spreadsheetml/2006/main" count="2319" uniqueCount="73">
  <si>
    <r>
      <rPr>
        <b/>
        <sz val="11"/>
        <color theme="1"/>
        <rFont val="Aptos Narrow"/>
        <family val="2"/>
        <scheme val="minor"/>
      </rPr>
      <t>dProduct</t>
    </r>
    <r>
      <rPr>
        <sz val="11"/>
        <color theme="1"/>
        <rFont val="Aptos Narrow"/>
        <family val="2"/>
        <scheme val="minor"/>
      </rPr>
      <t xml:space="preserve"> = Excel Table = dimension table</t>
    </r>
  </si>
  <si>
    <r>
      <rPr>
        <b/>
        <sz val="11"/>
        <color theme="1"/>
        <rFont val="Aptos Narrow"/>
        <family val="2"/>
        <scheme val="minor"/>
      </rPr>
      <t>fSales</t>
    </r>
    <r>
      <rPr>
        <sz val="11"/>
        <color theme="1"/>
        <rFont val="Aptos Narrow"/>
        <family val="2"/>
        <scheme val="minor"/>
      </rPr>
      <t xml:space="preserve"> = Excel Table = fact table</t>
    </r>
  </si>
  <si>
    <t>Product</t>
  </si>
  <si>
    <t xml:space="preserve"> Contribution Margin Ratio</t>
  </si>
  <si>
    <t>ProductID</t>
  </si>
  <si>
    <t>CratePrice</t>
  </si>
  <si>
    <t>CrateCost</t>
  </si>
  <si>
    <t>Date</t>
  </si>
  <si>
    <t>Units</t>
  </si>
  <si>
    <t>SalesRepID</t>
  </si>
  <si>
    <t>Total sales</t>
  </si>
  <si>
    <t>profit</t>
  </si>
  <si>
    <t>Contribution Margin Ratio</t>
  </si>
  <si>
    <t>sales reb</t>
  </si>
  <si>
    <t>Region</t>
  </si>
  <si>
    <t>product</t>
  </si>
  <si>
    <t xml:space="preserve">profability </t>
  </si>
  <si>
    <t>Price</t>
  </si>
  <si>
    <t>Cost</t>
  </si>
  <si>
    <t>100CR</t>
  </si>
  <si>
    <t>Apple</t>
  </si>
  <si>
    <t>255YN</t>
  </si>
  <si>
    <t>687TK</t>
  </si>
  <si>
    <t>total sales</t>
  </si>
  <si>
    <t>total sale</t>
  </si>
  <si>
    <t>%total sales</t>
  </si>
  <si>
    <t>175AP</t>
  </si>
  <si>
    <t>Orange</t>
  </si>
  <si>
    <t>BL579</t>
  </si>
  <si>
    <t>266SB</t>
  </si>
  <si>
    <t xml:space="preserve">Hole Profits </t>
  </si>
  <si>
    <t>Kiwi</t>
  </si>
  <si>
    <t>644SF</t>
  </si>
  <si>
    <t>Sum of profability</t>
  </si>
  <si>
    <t>QA430</t>
  </si>
  <si>
    <t>Banana</t>
  </si>
  <si>
    <t>Cherry</t>
  </si>
  <si>
    <t>513CM</t>
  </si>
  <si>
    <r>
      <rPr>
        <b/>
        <sz val="11"/>
        <color theme="1"/>
        <rFont val="Aptos Narrow"/>
        <family val="2"/>
        <scheme val="minor"/>
      </rPr>
      <t>dPSalesRep</t>
    </r>
    <r>
      <rPr>
        <sz val="11"/>
        <color theme="1"/>
        <rFont val="Aptos Narrow"/>
        <family val="2"/>
        <scheme val="minor"/>
      </rPr>
      <t>= Excel Table = dimension table</t>
    </r>
  </si>
  <si>
    <t>Row Labels</t>
  </si>
  <si>
    <t>Sum of Units</t>
  </si>
  <si>
    <t>Sum of Total sales</t>
  </si>
  <si>
    <t>Sum of profit</t>
  </si>
  <si>
    <t>SalesRep</t>
  </si>
  <si>
    <t>Sioux Best</t>
  </si>
  <si>
    <t>West</t>
  </si>
  <si>
    <t xml:space="preserve">Total sales </t>
  </si>
  <si>
    <t>Chantel Mims</t>
  </si>
  <si>
    <t>NW</t>
  </si>
  <si>
    <t>Shihara Fazzaa</t>
  </si>
  <si>
    <t>East</t>
  </si>
  <si>
    <t>Timmy Kips</t>
  </si>
  <si>
    <t>699SR</t>
  </si>
  <si>
    <t>Smitty Rad</t>
  </si>
  <si>
    <t>MidWest</t>
  </si>
  <si>
    <t>Grand Total</t>
  </si>
  <si>
    <t>Total sales per product</t>
  </si>
  <si>
    <t xml:space="preserve">Total sales  per sales rep </t>
  </si>
  <si>
    <t>Total sales per region</t>
  </si>
  <si>
    <t>Sum of margin</t>
  </si>
  <si>
    <t>Prodct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</si>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</sst>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0">
    <xf numFmtId="0" fontId="0" fillId="0" borderId="0" xfId="0"/>
    <xf numFmtId="0" fontId="1" fillId="0" borderId="0" xfId="0" applyFont="1"/>
    <xf numFmtId="14" fontId="0" fillId="0" borderId="0" xfId="0" applyNumberFormat="1"/>
    <xf numFmtId="9" fontId="0" fillId="0" borderId="0" xfId="0" applyNumberFormat="1"/>
    <xf numFmtId="164" fontId="0" fillId="0" borderId="0" xfId="0" applyNumberFormat="1"/>
    <xf numFmtId="0" fontId="0" fillId="0" borderId="0" xfId="0" applyAlignment="1">
      <alignment horizontal="left"/>
    </xf>
    <xf numFmtId="165"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left" indent="1"/>
    </xf>
    <xf numFmtId="0" fontId="0" fillId="0" borderId="0" xfId="0" applyAlignment="1">
      <alignment horizontal="left" indent="2"/>
    </xf>
    <xf numFmtId="0" fontId="0" fillId="0" borderId="0" xfId="0" pivotButton="1"/>
    <xf numFmtId="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[Data.xlsx]Data!PivotTable7</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a:t>
            </a:r>
            <a:r>
              <a:rPr lang="ar-EG"/>
              <a:t> </a:t>
            </a:r>
            <a:r>
              <a:rPr lang="en-US"/>
              <a:t>sales per time and per sales rep</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Data!$W$126</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Data!$V$127:$V$139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Data!$W$127:$W$139</c:f>
              <c:numCache>
                <c:formatCode>General</c:formatCode>
                <c:ptCount val="12"/>
                <c:pt idx="0">
                  <c:v>471419.99999999994</c:v>
                </c:pt>
                <c:pt idx="1">
                  <c:v>322351.80000000005</c:v>
                </c:pt>
                <c:pt idx="2">
                  <c:v>439938.00000000006</c:v>
                </c:pt>
                <c:pt idx="3">
                  <c:v>376163.39999999997</c:v>
                </c:pt>
                <c:pt idx="4">
                  <c:v>396327</c:v>
                </c:pt>
                <c:pt idx="5">
                  <c:v>365487</c:v>
                </c:pt>
                <c:pt idx="6">
                  <c:v>486724.79999999987</c:v>
                </c:pt>
                <c:pt idx="7">
                  <c:v>438166.2</c:v>
                </c:pt>
                <c:pt idx="8">
                  <c:v>489489.00000000006</c:v>
                </c:pt>
                <c:pt idx="9">
                  <c:v>476482.2</c:v>
                </c:pt>
                <c:pt idx="10">
                  <c:v>509379.59999999992</c:v>
                </c:pt>
                <c:pt idx="11">
                  <c:v>397249.19999999995</c:v>
                </c:pt>
              </c:numCache>
            </c:numRef>
          </c:val>
          <c:smooth val="0"/>
          <c:extLst>
            <c:ext xmlns:c16="http://schemas.microsoft.com/office/drawing/2014/chart" uri="{C3380CC4-5D6E-409C-BE32-E72D297353CC}">
              <c16:uniqueId val="{00000000-EA9C-49B0-9A29-71BF8BA87C3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42454927"/>
        <c:axId val="1842456367"/>
      </c:lineChart>
      <c:catAx>
        <c:axId val="184245492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42456367"/>
        <c:crosses val="autoZero"/>
        <c:auto val="1"/>
        <c:lblAlgn val="ctr"/>
        <c:lblOffset val="100"/>
        <c:noMultiLvlLbl val="0"/>
      </c:catAx>
      <c:valAx>
        <c:axId val="1842456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4245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[Data.xlsx]Data!PivotTable4</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Data!$W$162</c:f>
              <c:strCache>
                <c:ptCount val="1"/>
                <c:pt idx="0">
                  <c:v>Sum of Total sales</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cat>
            <c:multiLvlStrRef>
              <c:f>Data!$V$163:$V$198</c:f>
              <c:multiLvlStrCache>
                <c:ptCount val="25"/>
                <c:lvl>
                  <c:pt idx="0">
                    <c:v>Apple</c:v>
                  </c:pt>
                  <c:pt idx="1">
                    <c:v>Banana</c:v>
                  </c:pt>
                  <c:pt idx="2">
                    <c:v>Cherry</c:v>
                  </c:pt>
                  <c:pt idx="3">
                    <c:v>Kiwi</c:v>
                  </c:pt>
                  <c:pt idx="4">
                    <c:v>Orange</c:v>
                  </c:pt>
                  <c:pt idx="5">
                    <c:v>Apple</c:v>
                  </c:pt>
                  <c:pt idx="6">
                    <c:v>Banana</c:v>
                  </c:pt>
                  <c:pt idx="7">
                    <c:v>Cherry</c:v>
                  </c:pt>
                  <c:pt idx="8">
                    <c:v>Kiwi</c:v>
                  </c:pt>
                  <c:pt idx="9">
                    <c:v>Orange</c:v>
                  </c:pt>
                  <c:pt idx="10">
                    <c:v>Apple</c:v>
                  </c:pt>
                  <c:pt idx="11">
                    <c:v>Banana</c:v>
                  </c:pt>
                  <c:pt idx="12">
                    <c:v>Cherry</c:v>
                  </c:pt>
                  <c:pt idx="13">
                    <c:v>Kiwi</c:v>
                  </c:pt>
                  <c:pt idx="14">
                    <c:v>Orange</c:v>
                  </c:pt>
                  <c:pt idx="15">
                    <c:v>Apple</c:v>
                  </c:pt>
                  <c:pt idx="16">
                    <c:v>Banana</c:v>
                  </c:pt>
                  <c:pt idx="17">
                    <c:v>Cherry</c:v>
                  </c:pt>
                  <c:pt idx="18">
                    <c:v>Kiwi</c:v>
                  </c:pt>
                  <c:pt idx="19">
                    <c:v>Orange</c:v>
                  </c:pt>
                  <c:pt idx="20">
                    <c:v>Apple</c:v>
                  </c:pt>
                  <c:pt idx="21">
                    <c:v>Banana</c:v>
                  </c:pt>
                  <c:pt idx="22">
                    <c:v>Cherry</c:v>
                  </c:pt>
                  <c:pt idx="23">
                    <c:v>Kiwi</c:v>
                  </c:pt>
                  <c:pt idx="24">
                    <c:v>Orange</c:v>
                  </c:pt>
                </c:lvl>
                <c:lvl>
                  <c:pt idx="0">
                    <c:v>NW</c:v>
                  </c:pt>
                  <c:pt idx="5">
                    <c:v>East</c:v>
                  </c:pt>
                  <c:pt idx="10">
                    <c:v>West</c:v>
                  </c:pt>
                  <c:pt idx="15">
                    <c:v>MidWest</c:v>
                  </c:pt>
                  <c:pt idx="20">
                    <c:v>East</c:v>
                  </c:pt>
                </c:lvl>
                <c:lvl>
                  <c:pt idx="0">
                    <c:v>Chantel Mims</c:v>
                  </c:pt>
                  <c:pt idx="5">
                    <c:v>Shihara Fazzaa</c:v>
                  </c:pt>
                  <c:pt idx="10">
                    <c:v>Sioux Best</c:v>
                  </c:pt>
                  <c:pt idx="15">
                    <c:v>Smitty Rad</c:v>
                  </c:pt>
                  <c:pt idx="20">
                    <c:v>Timmy Kips</c:v>
                  </c:pt>
                </c:lvl>
              </c:multiLvlStrCache>
            </c:multiLvlStrRef>
          </c:cat>
          <c:val>
            <c:numRef>
              <c:f>Data!$W$163:$W$198</c:f>
              <c:numCache>
                <c:formatCode>General</c:formatCode>
                <c:ptCount val="25"/>
                <c:pt idx="0">
                  <c:v>227640</c:v>
                </c:pt>
                <c:pt idx="1">
                  <c:v>149310</c:v>
                </c:pt>
                <c:pt idx="2">
                  <c:v>340859.99999999988</c:v>
                </c:pt>
                <c:pt idx="3">
                  <c:v>147420</c:v>
                </c:pt>
                <c:pt idx="4">
                  <c:v>161364</c:v>
                </c:pt>
                <c:pt idx="5">
                  <c:v>358680</c:v>
                </c:pt>
                <c:pt idx="6">
                  <c:v>76230</c:v>
                </c:pt>
                <c:pt idx="7">
                  <c:v>258529.2</c:v>
                </c:pt>
                <c:pt idx="8">
                  <c:v>192780</c:v>
                </c:pt>
                <c:pt idx="9">
                  <c:v>233121</c:v>
                </c:pt>
                <c:pt idx="10">
                  <c:v>176820</c:v>
                </c:pt>
                <c:pt idx="11">
                  <c:v>119070</c:v>
                </c:pt>
                <c:pt idx="12">
                  <c:v>326701.1999999999</c:v>
                </c:pt>
                <c:pt idx="13">
                  <c:v>134190</c:v>
                </c:pt>
                <c:pt idx="14">
                  <c:v>173145</c:v>
                </c:pt>
                <c:pt idx="15">
                  <c:v>280980</c:v>
                </c:pt>
                <c:pt idx="16">
                  <c:v>94710</c:v>
                </c:pt>
                <c:pt idx="17">
                  <c:v>367604.40000000008</c:v>
                </c:pt>
                <c:pt idx="18">
                  <c:v>132570</c:v>
                </c:pt>
                <c:pt idx="19">
                  <c:v>141372</c:v>
                </c:pt>
                <c:pt idx="20">
                  <c:v>216300</c:v>
                </c:pt>
                <c:pt idx="21">
                  <c:v>109620</c:v>
                </c:pt>
                <c:pt idx="22">
                  <c:v>341384.39999999991</c:v>
                </c:pt>
                <c:pt idx="23">
                  <c:v>204930</c:v>
                </c:pt>
                <c:pt idx="24">
                  <c:v>203847</c:v>
                </c:pt>
              </c:numCache>
            </c:numRef>
          </c:val>
          <c:extLst>
            <c:ext xmlns:c16="http://schemas.microsoft.com/office/drawing/2014/chart" uri="{C3380CC4-5D6E-409C-BE32-E72D297353CC}">
              <c16:uniqueId val="{00000000-BA51-407D-8BE7-042BB0B42026}"/>
            </c:ext>
          </c:extLst>
        </c:ser>
        <c:ser>
          <c:idx val="1"/>
          <c:order val="1"/>
          <c:tx>
            <c:strRef>
              <c:f>Data!$X$162</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Data!$V$163:$V$198</c:f>
              <c:multiLvlStrCache>
                <c:ptCount val="25"/>
                <c:lvl>
                  <c:pt idx="0">
                    <c:v>Apple</c:v>
                  </c:pt>
                  <c:pt idx="1">
                    <c:v>Banana</c:v>
                  </c:pt>
                  <c:pt idx="2">
                    <c:v>Cherry</c:v>
                  </c:pt>
                  <c:pt idx="3">
                    <c:v>Kiwi</c:v>
                  </c:pt>
                  <c:pt idx="4">
                    <c:v>Orange</c:v>
                  </c:pt>
                  <c:pt idx="5">
                    <c:v>Apple</c:v>
                  </c:pt>
                  <c:pt idx="6">
                    <c:v>Banana</c:v>
                  </c:pt>
                  <c:pt idx="7">
                    <c:v>Cherry</c:v>
                  </c:pt>
                  <c:pt idx="8">
                    <c:v>Kiwi</c:v>
                  </c:pt>
                  <c:pt idx="9">
                    <c:v>Orange</c:v>
                  </c:pt>
                  <c:pt idx="10">
                    <c:v>Apple</c:v>
                  </c:pt>
                  <c:pt idx="11">
                    <c:v>Banana</c:v>
                  </c:pt>
                  <c:pt idx="12">
                    <c:v>Cherry</c:v>
                  </c:pt>
                  <c:pt idx="13">
                    <c:v>Kiwi</c:v>
                  </c:pt>
                  <c:pt idx="14">
                    <c:v>Orange</c:v>
                  </c:pt>
                  <c:pt idx="15">
                    <c:v>Apple</c:v>
                  </c:pt>
                  <c:pt idx="16">
                    <c:v>Banana</c:v>
                  </c:pt>
                  <c:pt idx="17">
                    <c:v>Cherry</c:v>
                  </c:pt>
                  <c:pt idx="18">
                    <c:v>Kiwi</c:v>
                  </c:pt>
                  <c:pt idx="19">
                    <c:v>Orange</c:v>
                  </c:pt>
                  <c:pt idx="20">
                    <c:v>Apple</c:v>
                  </c:pt>
                  <c:pt idx="21">
                    <c:v>Banana</c:v>
                  </c:pt>
                  <c:pt idx="22">
                    <c:v>Cherry</c:v>
                  </c:pt>
                  <c:pt idx="23">
                    <c:v>Kiwi</c:v>
                  </c:pt>
                  <c:pt idx="24">
                    <c:v>Orange</c:v>
                  </c:pt>
                </c:lvl>
                <c:lvl>
                  <c:pt idx="0">
                    <c:v>NW</c:v>
                  </c:pt>
                  <c:pt idx="5">
                    <c:v>East</c:v>
                  </c:pt>
                  <c:pt idx="10">
                    <c:v>West</c:v>
                  </c:pt>
                  <c:pt idx="15">
                    <c:v>MidWest</c:v>
                  </c:pt>
                  <c:pt idx="20">
                    <c:v>East</c:v>
                  </c:pt>
                </c:lvl>
                <c:lvl>
                  <c:pt idx="0">
                    <c:v>Chantel Mims</c:v>
                  </c:pt>
                  <c:pt idx="5">
                    <c:v>Shihara Fazzaa</c:v>
                  </c:pt>
                  <c:pt idx="10">
                    <c:v>Sioux Best</c:v>
                  </c:pt>
                  <c:pt idx="15">
                    <c:v>Smitty Rad</c:v>
                  </c:pt>
                  <c:pt idx="20">
                    <c:v>Timmy Kips</c:v>
                  </c:pt>
                </c:lvl>
              </c:multiLvlStrCache>
            </c:multiLvlStrRef>
          </c:cat>
          <c:val>
            <c:numRef>
              <c:f>Data!$X$163:$X$198</c:f>
              <c:numCache>
                <c:formatCode>General</c:formatCode>
                <c:ptCount val="25"/>
                <c:pt idx="0">
                  <c:v>127478.39999999999</c:v>
                </c:pt>
                <c:pt idx="1">
                  <c:v>49272.299999999996</c:v>
                </c:pt>
                <c:pt idx="2">
                  <c:v>143161.20000000007</c:v>
                </c:pt>
                <c:pt idx="3">
                  <c:v>64864.799999999996</c:v>
                </c:pt>
                <c:pt idx="4">
                  <c:v>67772.87999999999</c:v>
                </c:pt>
                <c:pt idx="5">
                  <c:v>200860.80000000002</c:v>
                </c:pt>
                <c:pt idx="6">
                  <c:v>25155.899999999994</c:v>
                </c:pt>
                <c:pt idx="7">
                  <c:v>108582.26400000001</c:v>
                </c:pt>
                <c:pt idx="8">
                  <c:v>84823.200000000012</c:v>
                </c:pt>
                <c:pt idx="9">
                  <c:v>97910.82</c:v>
                </c:pt>
                <c:pt idx="10">
                  <c:v>99019.200000000026</c:v>
                </c:pt>
                <c:pt idx="11">
                  <c:v>39293.1</c:v>
                </c:pt>
                <c:pt idx="12">
                  <c:v>137214.50400000002</c:v>
                </c:pt>
                <c:pt idx="13">
                  <c:v>59043.599999999991</c:v>
                </c:pt>
                <c:pt idx="14">
                  <c:v>72720.900000000009</c:v>
                </c:pt>
                <c:pt idx="15">
                  <c:v>157348.80000000002</c:v>
                </c:pt>
                <c:pt idx="16">
                  <c:v>31254.299999999996</c:v>
                </c:pt>
                <c:pt idx="17">
                  <c:v>154393.84800000009</c:v>
                </c:pt>
                <c:pt idx="18">
                  <c:v>58330.799999999981</c:v>
                </c:pt>
                <c:pt idx="19">
                  <c:v>59376.240000000005</c:v>
                </c:pt>
                <c:pt idx="20">
                  <c:v>121127.99999999997</c:v>
                </c:pt>
                <c:pt idx="21">
                  <c:v>36174.599999999991</c:v>
                </c:pt>
                <c:pt idx="22">
                  <c:v>143381.44800000003</c:v>
                </c:pt>
                <c:pt idx="23">
                  <c:v>90169.199999999953</c:v>
                </c:pt>
                <c:pt idx="24">
                  <c:v>85615.739999999991</c:v>
                </c:pt>
              </c:numCache>
            </c:numRef>
          </c:val>
          <c:extLst>
            <c:ext xmlns:c16="http://schemas.microsoft.com/office/drawing/2014/chart" uri="{C3380CC4-5D6E-409C-BE32-E72D297353CC}">
              <c16:uniqueId val="{00000001-BA51-407D-8BE7-042BB0B42026}"/>
            </c:ext>
          </c:extLst>
        </c:ser>
        <c:dLbls>
          <c:showLegendKey val="0"/>
          <c:showVal val="0"/>
          <c:showCatName val="0"/>
          <c:showSerName val="0"/>
          <c:showPercent val="0"/>
          <c:showBubbleSize val="0"/>
        </c:dLbls>
        <c:gapWidth val="100"/>
        <c:overlap val="-24"/>
        <c:axId val="473456832"/>
        <c:axId val="473467392"/>
      </c:barChart>
      <c:catAx>
        <c:axId val="4734568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467392"/>
        <c:crosses val="autoZero"/>
        <c:auto val="1"/>
        <c:lblAlgn val="ctr"/>
        <c:lblOffset val="100"/>
        <c:noMultiLvlLbl val="0"/>
      </c:catAx>
      <c:valAx>
        <c:axId val="473467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45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[Data.xlsx]Data!PivotTable12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Data!$AG$49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ED-4D1E-B793-09A2B2E01F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ED-4D1E-B793-09A2B2E01F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ED-4D1E-B793-09A2B2E01F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ED-4D1E-B793-09A2B2E01FC0}"/>
              </c:ext>
            </c:extLst>
          </c:dPt>
          <c:cat>
            <c:strRef>
              <c:f>Data!$AF$50:$AF$54</c:f>
              <c:strCache>
                <c:ptCount val="4"/>
                <c:pt idx="0">
                  <c:v>East</c:v>
                </c:pt>
                <c:pt idx="1">
                  <c:v>MidWest</c:v>
                </c:pt>
                <c:pt idx="2">
                  <c:v>NW</c:v>
                </c:pt>
                <c:pt idx="3">
                  <c:v>West</c:v>
                </c:pt>
              </c:strCache>
            </c:strRef>
          </c:cat>
          <c:val>
            <c:numRef>
              <c:f>Data!$AG$50:$AG$54</c:f>
              <c:numCache>
                <c:formatCode>General</c:formatCode>
                <c:ptCount val="4"/>
                <c:pt idx="0">
                  <c:v>2195421.6000000006</c:v>
                </c:pt>
                <c:pt idx="1">
                  <c:v>1017236.4000000003</c:v>
                </c:pt>
                <c:pt idx="2">
                  <c:v>1026594.0000000001</c:v>
                </c:pt>
                <c:pt idx="3">
                  <c:v>929926.20000000054</c:v>
                </c:pt>
              </c:numCache>
            </c:numRef>
          </c:val>
          <c:extLst>
            <c:ext xmlns:c16="http://schemas.microsoft.com/office/drawing/2014/chart" uri="{C3380CC4-5D6E-409C-BE32-E72D297353CC}">
              <c16:uniqueId val="{00000008-47ED-4D1E-B793-09A2B2E01F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[Data.xlsx]Data!PivotTable11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Data!$AF$37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8B-4A96-B88C-37825BA3F6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8B-4A96-B88C-37825BA3F6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8B-4A96-B88C-37825BA3F6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8B-4A96-B88C-37825BA3F6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8B-4A96-B88C-37825BA3F6ED}"/>
              </c:ext>
            </c:extLst>
          </c:dPt>
          <c:cat>
            <c:strRef>
              <c:f>Data!$AE$38:$AE$43</c:f>
              <c:strCache>
                <c:ptCount val="5"/>
                <c:pt idx="0">
                  <c:v>Chantel Mims</c:v>
                </c:pt>
                <c:pt idx="1">
                  <c:v>Shihara Fazzaa</c:v>
                </c:pt>
                <c:pt idx="2">
                  <c:v>Sioux Best</c:v>
                </c:pt>
                <c:pt idx="3">
                  <c:v>Smitty Rad</c:v>
                </c:pt>
                <c:pt idx="4">
                  <c:v>Timmy Kips</c:v>
                </c:pt>
              </c:strCache>
            </c:strRef>
          </c:cat>
          <c:val>
            <c:numRef>
              <c:f>Data!$AF$38:$AF$43</c:f>
              <c:numCache>
                <c:formatCode>General</c:formatCode>
                <c:ptCount val="5"/>
                <c:pt idx="0">
                  <c:v>1026594.0000000001</c:v>
                </c:pt>
                <c:pt idx="1">
                  <c:v>1119340.2000000002</c:v>
                </c:pt>
                <c:pt idx="2">
                  <c:v>929926.20000000054</c:v>
                </c:pt>
                <c:pt idx="3">
                  <c:v>1017236.4000000003</c:v>
                </c:pt>
                <c:pt idx="4">
                  <c:v>1076081.3999999999</c:v>
                </c:pt>
              </c:numCache>
            </c:numRef>
          </c:val>
          <c:extLst>
            <c:ext xmlns:c16="http://schemas.microsoft.com/office/drawing/2014/chart" uri="{C3380CC4-5D6E-409C-BE32-E72D297353CC}">
              <c16:uniqueId val="{0000000A-E08B-4A96-B88C-37825BA3F6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[Data.xlsx]Data!PivotTable10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Data!$AF$24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95-48C7-8BA1-201598AF0E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95-48C7-8BA1-201598AF0E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95-48C7-8BA1-201598AF0E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95-48C7-8BA1-201598AF0E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195-48C7-8BA1-201598AF0E25}"/>
              </c:ext>
            </c:extLst>
          </c:dPt>
          <c:cat>
            <c:strRef>
              <c:f>Data!$AE$25:$AE$30</c:f>
              <c:strCache>
                <c:ptCount val="5"/>
                <c:pt idx="0">
                  <c:v>Apple</c:v>
                </c:pt>
                <c:pt idx="1">
                  <c:v>Banana</c:v>
                </c:pt>
                <c:pt idx="2">
                  <c:v>Cherry</c:v>
                </c:pt>
                <c:pt idx="3">
                  <c:v>Kiwi</c:v>
                </c:pt>
                <c:pt idx="4">
                  <c:v>Orange</c:v>
                </c:pt>
              </c:strCache>
            </c:strRef>
          </c:cat>
          <c:val>
            <c:numRef>
              <c:f>Data!$AF$25:$AF$30</c:f>
              <c:numCache>
                <c:formatCode>General</c:formatCode>
                <c:ptCount val="5"/>
                <c:pt idx="0">
                  <c:v>1260420</c:v>
                </c:pt>
                <c:pt idx="1">
                  <c:v>548940</c:v>
                </c:pt>
                <c:pt idx="2">
                  <c:v>1635079.2000000009</c:v>
                </c:pt>
                <c:pt idx="3">
                  <c:v>811890</c:v>
                </c:pt>
                <c:pt idx="4">
                  <c:v>912849</c:v>
                </c:pt>
              </c:numCache>
            </c:numRef>
          </c:val>
          <c:extLst>
            <c:ext xmlns:c16="http://schemas.microsoft.com/office/drawing/2014/chart" uri="{C3380CC4-5D6E-409C-BE32-E72D297353CC}">
              <c16:uniqueId val="{0000000A-9195-48C7-8BA1-201598AF0E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[Data.xlsx]Data!PivotTable13</c:name>
    <c:fmtId val="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Data!$AH$14</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Data!$AG$15:$AG$20</c:f>
              <c:strCache>
                <c:ptCount val="5"/>
                <c:pt idx="0">
                  <c:v>Apple</c:v>
                </c:pt>
                <c:pt idx="1">
                  <c:v>Kiwi</c:v>
                </c:pt>
                <c:pt idx="2">
                  <c:v>Orange</c:v>
                </c:pt>
                <c:pt idx="3">
                  <c:v>Cherry</c:v>
                </c:pt>
                <c:pt idx="4">
                  <c:v>Banana</c:v>
                </c:pt>
              </c:strCache>
            </c:strRef>
          </c:cat>
          <c:val>
            <c:numRef>
              <c:f>Data!$AH$15:$AH$20</c:f>
              <c:numCache>
                <c:formatCode>General</c:formatCode>
                <c:ptCount val="5"/>
                <c:pt idx="0">
                  <c:v>0.55999999999999983</c:v>
                </c:pt>
                <c:pt idx="1">
                  <c:v>0.43999999999999995</c:v>
                </c:pt>
                <c:pt idx="2">
                  <c:v>0.41999999999999987</c:v>
                </c:pt>
                <c:pt idx="3">
                  <c:v>0.41999999999999976</c:v>
                </c:pt>
                <c:pt idx="4">
                  <c:v>0.32999999999999996</c:v>
                </c:pt>
              </c:numCache>
            </c:numRef>
          </c:val>
          <c:extLst>
            <c:ext xmlns:c16="http://schemas.microsoft.com/office/drawing/2014/chart" uri="{C3380CC4-5D6E-409C-BE32-E72D297353CC}">
              <c16:uniqueId val="{00000000-0458-492E-A50D-6AF373A5E67C}"/>
            </c:ext>
          </c:extLst>
        </c:ser>
        <c:dLbls>
          <c:showLegendKey val="0"/>
          <c:showVal val="0"/>
          <c:showCatName val="0"/>
          <c:showSerName val="0"/>
          <c:showPercent val="0"/>
          <c:showBubbleSize val="0"/>
        </c:dLbls>
        <c:gapWidth val="269"/>
        <c:overlap val="-20"/>
        <c:axId val="519425504"/>
        <c:axId val="519436064"/>
      </c:barChart>
      <c:catAx>
        <c:axId val="519425504"/>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19436064"/>
        <c:crosses val="autoZero"/>
        <c:auto val="1"/>
        <c:lblAlgn val="ctr"/>
        <c:lblOffset val="100"/>
        <c:noMultiLvlLbl val="0"/>
      </c:catAx>
      <c:valAx>
        <c:axId val="519436064"/>
        <c:scaling>
          <c:orientation val="minMax"/>
        </c:scaling>
        <c:delete val="1"/>
        <c:axPos val="l"/>
        <c:numFmt formatCode="General" sourceLinked="1"/>
        <c:majorTickMark val="none"/>
        <c:minorTickMark val="none"/>
        <c:tickLblPos val="nextTo"/>
        <c:crossAx val="51942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23</xdr:col>
      <xdr:colOff>487455</xdr:colOff>
      <xdr:row>138</xdr:row>
      <xdr:rowOff>169209</xdr:rowOff>
    </xdr:from>
    <xdr:to>
      <xdr:col>32</xdr:col>
      <xdr:colOff>862852</xdr:colOff>
      <xdr:row>153</xdr:row>
      <xdr:rowOff>54909</xdr:rowOff>
    </xdr:to>
    <xdr:graphicFrame macro="">
      <xdr:nvGraphicFramePr>
        <xdr:cNvPr id="2" name="Chart 1">
          <a:extLst>
            <a:ext uri="{FF2B5EF4-FFF2-40B4-BE49-F238E27FC236}">
              <a16:creationId xmlns:a16="http://schemas.microsoft.com/office/drawing/2014/main" id="{910E27AF-D571-4E15-A59D-00DB0ECCC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495860</xdr:colOff>
      <xdr:row>116</xdr:row>
      <xdr:rowOff>130549</xdr:rowOff>
    </xdr:from>
    <xdr:to>
      <xdr:col>25</xdr:col>
      <xdr:colOff>1473013</xdr:colOff>
      <xdr:row>121</xdr:row>
      <xdr:rowOff>136071</xdr:rowOff>
    </xdr:to>
    <mc:AlternateContent xmlns:mc="http://schemas.openxmlformats.org/markup-compatibility/2006">
      <mc:Choice xmlns:a14="http://schemas.microsoft.com/office/drawing/2010/main" Requires="a14">
        <xdr:graphicFrame macro="">
          <xdr:nvGraphicFramePr>
            <xdr:cNvPr id="3" name="Years (Date)">
              <a:extLst>
                <a:ext uri="{FF2B5EF4-FFF2-40B4-BE49-F238E27FC236}">
                  <a16:creationId xmlns:a16="http://schemas.microsoft.com/office/drawing/2014/main" id="{8DF287EB-427D-497F-9B95-B76CBE8320E1}"/>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21355610" y="22228549"/>
              <a:ext cx="1820796" cy="958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324731</xdr:colOff>
      <xdr:row>161</xdr:row>
      <xdr:rowOff>6724</xdr:rowOff>
    </xdr:from>
    <xdr:to>
      <xdr:col>26</xdr:col>
      <xdr:colOff>24415</xdr:colOff>
      <xdr:row>170</xdr:row>
      <xdr:rowOff>81643</xdr:rowOff>
    </xdr:to>
    <mc:AlternateContent xmlns:mc="http://schemas.openxmlformats.org/markup-compatibility/2006">
      <mc:Choice xmlns:a14="http://schemas.microsoft.com/office/drawing/2010/main" Requires="a14">
        <xdr:graphicFrame macro="">
          <xdr:nvGraphicFramePr>
            <xdr:cNvPr id="4" name="sales reb">
              <a:extLst>
                <a:ext uri="{FF2B5EF4-FFF2-40B4-BE49-F238E27FC236}">
                  <a16:creationId xmlns:a16="http://schemas.microsoft.com/office/drawing/2014/main" id="{B7842CF5-8015-414E-9A61-9AC498B3A6FC}"/>
                </a:ext>
              </a:extLst>
            </xdr:cNvPr>
            <xdr:cNvGraphicFramePr/>
          </xdr:nvGraphicFramePr>
          <xdr:xfrm>
            <a:off x="0" y="0"/>
            <a:ext cx="0" cy="0"/>
          </xdr:xfrm>
          <a:graphic>
            <a:graphicData uri="http://schemas.microsoft.com/office/drawing/2010/slicer">
              <sle:slicer xmlns:sle="http://schemas.microsoft.com/office/drawing/2010/slicer" name="sales reb"/>
            </a:graphicData>
          </a:graphic>
        </xdr:graphicFrame>
      </mc:Choice>
      <mc:Fallback>
        <xdr:sp macro="" textlink="">
          <xdr:nvSpPr>
            <xdr:cNvPr id="0" name=""/>
            <xdr:cNvSpPr>
              <a:spLocks noTextEdit="1"/>
            </xdr:cNvSpPr>
          </xdr:nvSpPr>
          <xdr:spPr>
            <a:xfrm>
              <a:off x="22028124" y="30677224"/>
              <a:ext cx="1836005" cy="1789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257735</xdr:colOff>
      <xdr:row>176</xdr:row>
      <xdr:rowOff>135590</xdr:rowOff>
    </xdr:from>
    <xdr:to>
      <xdr:col>32</xdr:col>
      <xdr:colOff>739587</xdr:colOff>
      <xdr:row>191</xdr:row>
      <xdr:rowOff>21290</xdr:rowOff>
    </xdr:to>
    <xdr:graphicFrame macro="">
      <xdr:nvGraphicFramePr>
        <xdr:cNvPr id="5" name="Chart 4">
          <a:extLst>
            <a:ext uri="{FF2B5EF4-FFF2-40B4-BE49-F238E27FC236}">
              <a16:creationId xmlns:a16="http://schemas.microsoft.com/office/drawing/2014/main" id="{0563E8CF-212D-4F99-83C4-DB999DB35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1047750</xdr:colOff>
      <xdr:row>42</xdr:row>
      <xdr:rowOff>179614</xdr:rowOff>
    </xdr:from>
    <xdr:to>
      <xdr:col>29</xdr:col>
      <xdr:colOff>204107</xdr:colOff>
      <xdr:row>57</xdr:row>
      <xdr:rowOff>65314</xdr:rowOff>
    </xdr:to>
    <xdr:graphicFrame macro="">
      <xdr:nvGraphicFramePr>
        <xdr:cNvPr id="6" name="Chart 5">
          <a:extLst>
            <a:ext uri="{FF2B5EF4-FFF2-40B4-BE49-F238E27FC236}">
              <a16:creationId xmlns:a16="http://schemas.microsoft.com/office/drawing/2014/main" id="{D5572035-9531-4991-AAB4-838E93373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544286</xdr:colOff>
      <xdr:row>43</xdr:row>
      <xdr:rowOff>97971</xdr:rowOff>
    </xdr:from>
    <xdr:to>
      <xdr:col>34</xdr:col>
      <xdr:colOff>435429</xdr:colOff>
      <xdr:row>57</xdr:row>
      <xdr:rowOff>174171</xdr:rowOff>
    </xdr:to>
    <xdr:graphicFrame macro="">
      <xdr:nvGraphicFramePr>
        <xdr:cNvPr id="7" name="Chart 6">
          <a:extLst>
            <a:ext uri="{FF2B5EF4-FFF2-40B4-BE49-F238E27FC236}">
              <a16:creationId xmlns:a16="http://schemas.microsoft.com/office/drawing/2014/main" id="{28B2344D-2465-4E84-B387-677C6085E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176895</xdr:colOff>
      <xdr:row>32</xdr:row>
      <xdr:rowOff>29935</xdr:rowOff>
    </xdr:from>
    <xdr:to>
      <xdr:col>29</xdr:col>
      <xdr:colOff>272145</xdr:colOff>
      <xdr:row>46</xdr:row>
      <xdr:rowOff>106135</xdr:rowOff>
    </xdr:to>
    <xdr:graphicFrame macro="">
      <xdr:nvGraphicFramePr>
        <xdr:cNvPr id="8" name="Chart 7">
          <a:extLst>
            <a:ext uri="{FF2B5EF4-FFF2-40B4-BE49-F238E27FC236}">
              <a16:creationId xmlns:a16="http://schemas.microsoft.com/office/drawing/2014/main" id="{49256DB3-9F89-4251-94F0-01178165C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496660</xdr:colOff>
      <xdr:row>4</xdr:row>
      <xdr:rowOff>97972</xdr:rowOff>
    </xdr:from>
    <xdr:to>
      <xdr:col>35</xdr:col>
      <xdr:colOff>1272268</xdr:colOff>
      <xdr:row>18</xdr:row>
      <xdr:rowOff>174172</xdr:rowOff>
    </xdr:to>
    <xdr:graphicFrame macro="">
      <xdr:nvGraphicFramePr>
        <xdr:cNvPr id="9" name="Chart 8">
          <a:extLst>
            <a:ext uri="{FF2B5EF4-FFF2-40B4-BE49-F238E27FC236}">
              <a16:creationId xmlns:a16="http://schemas.microsoft.com/office/drawing/2014/main" id="{671AAB42-B6D2-4F99-B65C-045297F38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878566D5A47C49BD/Documents/02-DAMEMPT-Start%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1" refreshedDate="46146.927560185184" createdVersion="8" refreshedVersion="8" minRefreshableVersion="3" recordCount="1055" xr:uid="{664335A0-A972-49D3-959A-5B2AAEED18B6}">
  <cacheSource type="worksheet">
    <worksheetSource name="fSales" r:id="rId2"/>
  </cacheSource>
  <cacheFields count="22">
    <cacheField name="Date" numFmtId="14">
      <sharedItems containsSemiMixedTypes="0" containsNonDate="0" containsDate="1" containsString="0" minDate="2024-01-02T00:00:00" maxDate="2026-01-01T00:00:00" count="545">
        <d v="2024-01-02T00:00:00"/>
        <d v="2024-01-03T00:00:00"/>
        <d v="2024-01-06T00:00:00"/>
        <d v="2024-01-07T00:00:00"/>
        <d v="2024-01-08T00:00:00"/>
        <d v="2024-01-09T00:00:00"/>
        <d v="2024-01-10T00:00:00"/>
        <d v="2024-01-12T00:00:00"/>
        <d v="2024-01-13T00:00:00"/>
        <d v="2024-01-14T00:00:00"/>
        <d v="2024-01-15T00:00:00"/>
        <d v="2024-01-16T00:00:00"/>
        <d v="2024-01-17T00:00:00"/>
        <d v="2024-01-19T00:00:00"/>
        <d v="2024-01-21T00:00:00"/>
        <d v="2024-01-24T00:00:00"/>
        <d v="2024-01-27T00:00:00"/>
        <d v="2024-01-28T00:00:00"/>
        <d v="2024-01-29T00:00:00"/>
        <d v="2024-01-30T00:00:00"/>
        <d v="2024-01-31T00:00:00"/>
        <d v="2024-02-02T00:00:00"/>
        <d v="2024-02-03T00:00:00"/>
        <d v="2024-02-04T00:00:00"/>
        <d v="2024-02-06T00:00:00"/>
        <d v="2024-02-07T00:00:00"/>
        <d v="2024-02-09T00:00:00"/>
        <d v="2024-02-11T00:00:00"/>
        <d v="2024-02-12T00:00:00"/>
        <d v="2024-02-13T00:00:00"/>
        <d v="2024-02-14T00:00:00"/>
        <d v="2024-02-15T00:00:00"/>
        <d v="2024-02-17T00:00:00"/>
        <d v="2024-02-19T00:00:00"/>
        <d v="2024-02-20T00:00:00"/>
        <d v="2024-02-22T00:00:00"/>
        <d v="2024-02-23T00:00:00"/>
        <d v="2024-02-25T00:00:00"/>
        <d v="2024-02-26T00:00:00"/>
        <d v="2024-02-27T00:00:00"/>
        <d v="2024-02-29T00:00:00"/>
        <d v="2024-03-01T00:00:00"/>
        <d v="2024-03-02T00:00:00"/>
        <d v="2024-03-03T00:00:00"/>
        <d v="2024-03-06T00:00:00"/>
        <d v="2024-03-07T00:00:00"/>
        <d v="2024-03-09T00:00:00"/>
        <d v="2024-03-10T00:00:00"/>
        <d v="2024-03-11T00:00:00"/>
        <d v="2024-03-14T00:00:00"/>
        <d v="2024-03-15T00:00:00"/>
        <d v="2024-03-16T00:00:00"/>
        <d v="2024-03-17T00:00:00"/>
        <d v="2024-03-18T00:00:00"/>
        <d v="2024-03-19T00:00:00"/>
        <d v="2024-03-20T00:00:00"/>
        <d v="2024-03-21T00:00:00"/>
        <d v="2024-03-22T00:00:00"/>
        <d v="2024-03-23T00:00:00"/>
        <d v="2024-03-25T00:00:00"/>
        <d v="2024-03-26T00:00:00"/>
        <d v="2024-03-28T00:00:00"/>
        <d v="2024-03-29T00:00:00"/>
        <d v="2024-03-30T00:00:00"/>
        <d v="2024-03-31T00:00:00"/>
        <d v="2024-04-01T00:00:00"/>
        <d v="2024-04-02T00:00:00"/>
        <d v="2024-04-04T00:00:00"/>
        <d v="2024-04-05T00:00:00"/>
        <d v="2024-04-06T00:00:00"/>
        <d v="2024-04-07T00:00:00"/>
        <d v="2024-04-08T00:00:00"/>
        <d v="2024-04-10T00:00:00"/>
        <d v="2024-04-12T00:00:00"/>
        <d v="2024-04-13T00:00:00"/>
        <d v="2024-04-14T00:00:00"/>
        <d v="2024-04-16T00:00:00"/>
        <d v="2024-04-20T00:00:00"/>
        <d v="2024-04-21T00:00:00"/>
        <d v="2024-04-22T00:00:00"/>
        <d v="2024-04-23T00:00:00"/>
        <d v="2024-04-24T00:00:00"/>
        <d v="2024-04-26T00:00:00"/>
        <d v="2024-04-27T00:00:00"/>
        <d v="2024-04-29T00:00:00"/>
        <d v="2024-04-30T00:00:00"/>
        <d v="2024-05-01T00:00:00"/>
        <d v="2024-05-02T00:00:00"/>
        <d v="2024-05-03T00:00:00"/>
        <d v="2024-05-04T00:00:00"/>
        <d v="2024-05-05T00:00:00"/>
        <d v="2024-05-06T00:00:00"/>
        <d v="2024-05-07T00:00:00"/>
        <d v="2024-05-08T00:00:00"/>
        <d v="2024-05-09T00:00:00"/>
        <d v="2024-05-10T00:00:00"/>
        <d v="2024-05-12T00:00:00"/>
        <d v="2024-05-13T00:00:00"/>
        <d v="2024-05-14T00:00:00"/>
        <d v="2024-05-15T00:00:00"/>
        <d v="2024-05-16T00:00:00"/>
        <d v="2024-05-17T00:00:00"/>
        <d v="2024-05-18T00:00:00"/>
        <d v="2024-05-21T00:00:00"/>
        <d v="2024-05-25T00:00:00"/>
        <d v="2024-05-26T00:00:00"/>
        <d v="2024-05-28T00:00:00"/>
        <d v="2024-05-29T00:00:00"/>
        <d v="2024-05-30T00:00:00"/>
        <d v="2024-05-31T00:00:00"/>
        <d v="2024-06-01T00:00:00"/>
        <d v="2024-06-02T00:00:00"/>
        <d v="2024-06-03T00:00:00"/>
        <d v="2024-06-05T00:00:00"/>
        <d v="2024-06-06T00:00:00"/>
        <d v="2024-06-07T00:00:00"/>
        <d v="2024-06-09T00:00:00"/>
        <d v="2024-06-10T00:00:00"/>
        <d v="2024-06-11T00:00:00"/>
        <d v="2024-06-12T00:00:00"/>
        <d v="2024-06-13T00:00:00"/>
        <d v="2024-06-16T00:00:00"/>
        <d v="2024-06-17T00:00:00"/>
        <d v="2024-06-19T00:00:00"/>
        <d v="2024-06-20T00:00:00"/>
        <d v="2024-06-21T00:00:00"/>
        <d v="2024-06-22T00:00:00"/>
        <d v="2024-06-23T00:00:00"/>
        <d v="2024-06-24T00:00:00"/>
        <d v="2024-06-25T00:00:00"/>
        <d v="2024-06-26T00:00:00"/>
        <d v="2024-06-27T00:00:00"/>
        <d v="2024-06-28T00:00:00"/>
        <d v="2024-06-30T00:00:00"/>
        <d v="2024-07-01T00:00:00"/>
        <d v="2024-07-02T00:00:00"/>
        <d v="2024-07-03T00:00:00"/>
        <d v="2024-07-04T00:00:00"/>
        <d v="2024-07-05T00:00:00"/>
        <d v="2024-07-06T00:00:00"/>
        <d v="2024-07-07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7T00:00:00"/>
        <d v="2024-07-28T00:00:00"/>
        <d v="2024-07-30T00:00:00"/>
        <d v="2024-07-31T00:00:00"/>
        <d v="2024-08-01T00:00:00"/>
        <d v="2024-08-02T00:00:00"/>
        <d v="2024-08-03T00:00:00"/>
        <d v="2024-08-06T00:00:00"/>
        <d v="2024-08-07T00:00:00"/>
        <d v="2024-08-08T00:00:00"/>
        <d v="2024-08-09T00:00:00"/>
        <d v="2024-08-10T00:00:00"/>
        <d v="2024-08-11T00:00:00"/>
        <d v="2024-08-12T00:00:00"/>
        <d v="2024-08-13T00:00:00"/>
        <d v="2024-08-14T00:00:00"/>
        <d v="2024-08-15T00:00:00"/>
        <d v="2024-08-19T00:00:00"/>
        <d v="2024-08-20T00:00:00"/>
        <d v="2024-08-22T00:00:00"/>
        <d v="2024-08-23T00:00:00"/>
        <d v="2024-08-24T00:00:00"/>
        <d v="2024-08-25T00:00:00"/>
        <d v="2024-08-26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30T00:00:00"/>
        <d v="2024-10-01T00:00:00"/>
        <d v="2024-10-02T00:00:00"/>
        <d v="2024-10-03T00:00:00"/>
        <d v="2024-10-04T00:00:00"/>
        <d v="2024-10-05T00:00:00"/>
        <d v="2024-10-06T00:00:00"/>
        <d v="2024-10-07T00:00:00"/>
        <d v="2024-10-08T00:00:00"/>
        <d v="2024-10-09T00:00:00"/>
        <d v="2024-10-12T00:00:00"/>
        <d v="2024-10-13T00:00:00"/>
        <d v="2024-10-14T00:00:00"/>
        <d v="2024-10-15T00:00:00"/>
        <d v="2024-10-16T00:00:00"/>
        <d v="2024-10-17T00:00:00"/>
        <d v="2024-10-19T00:00:00"/>
        <d v="2024-10-22T00:00:00"/>
        <d v="2024-10-23T00:00:00"/>
        <d v="2024-10-27T00:00:00"/>
        <d v="2024-10-28T00:00:00"/>
        <d v="2024-10-29T00:00:00"/>
        <d v="2024-10-30T00:00:00"/>
        <d v="2024-10-31T00:00:00"/>
        <d v="2024-11-01T00:00:00"/>
        <d v="2024-11-02T00:00:00"/>
        <d v="2024-11-03T00:00:00"/>
        <d v="2024-11-04T00:00:00"/>
        <d v="2024-11-06T00:00:00"/>
        <d v="2024-11-07T00:00:00"/>
        <d v="2024-11-08T00:00:00"/>
        <d v="2024-11-09T00:00:00"/>
        <d v="2024-11-10T00:00:00"/>
        <d v="2024-11-11T00:00:00"/>
        <d v="2024-11-13T00:00:00"/>
        <d v="2024-11-14T00:00:00"/>
        <d v="2024-11-15T00:00:00"/>
        <d v="2024-11-16T00:00:00"/>
        <d v="2024-11-19T00:00:00"/>
        <d v="2024-11-21T00:00:00"/>
        <d v="2024-11-22T00:00:00"/>
        <d v="2024-11-23T00:00:00"/>
        <d v="2024-11-24T00:00:00"/>
        <d v="2024-11-25T00:00:00"/>
        <d v="2024-11-27T00:00:00"/>
        <d v="2024-11-29T00:00:00"/>
        <d v="2024-11-30T00:00:00"/>
        <d v="2024-12-01T00:00:00"/>
        <d v="2024-12-02T00:00:00"/>
        <d v="2024-12-05T00:00:00"/>
        <d v="2024-12-06T00:00:00"/>
        <d v="2024-12-07T00:00:00"/>
        <d v="2024-12-12T00:00:00"/>
        <d v="2024-12-13T00:00:00"/>
        <d v="2024-12-14T00:00:00"/>
        <d v="2024-12-15T00:00:00"/>
        <d v="2024-12-16T00:00:00"/>
        <d v="2024-12-17T00:00:00"/>
        <d v="2024-12-18T00:00:00"/>
        <d v="2024-12-19T00:00:00"/>
        <d v="2024-12-20T00:00:00"/>
        <d v="2024-12-21T00:00:00"/>
        <d v="2024-12-22T00:00:00"/>
        <d v="2024-12-24T00:00:00"/>
        <d v="2024-12-26T00:00:00"/>
        <d v="2024-12-29T00:00:00"/>
        <d v="2024-12-30T00:00:00"/>
        <d v="2025-01-02T00:00:00"/>
        <d v="2025-01-03T00:00:00"/>
        <d v="2025-01-04T00:00:00"/>
        <d v="2025-01-05T00:00:00"/>
        <d v="2025-01-06T00:00:00"/>
        <d v="2025-01-07T00:00:00"/>
        <d v="2025-01-08T00:00:00"/>
        <d v="2025-01-09T00:00:00"/>
        <d v="2025-01-10T00:00:00"/>
        <d v="2025-01-11T00:00:00"/>
        <d v="2025-01-14T00:00:00"/>
        <d v="2025-01-15T00:00:00"/>
        <d v="2025-01-17T00:00:00"/>
        <d v="2025-01-19T00:00:00"/>
        <d v="2025-01-20T00:00:00"/>
        <d v="2025-01-21T00:00:00"/>
        <d v="2025-01-22T00:00:00"/>
        <d v="2025-01-24T00:00:00"/>
        <d v="2025-01-25T00:00:00"/>
        <d v="2025-01-27T00:00:00"/>
        <d v="2025-01-28T00:00:00"/>
        <d v="2025-01-29T00:00:00"/>
        <d v="2025-01-30T00:00:00"/>
        <d v="2025-02-01T00:00:00"/>
        <d v="2025-02-03T00:00:00"/>
        <d v="2025-02-04T00:00:00"/>
        <d v="2025-02-05T00:00:00"/>
        <d v="2025-02-06T00:00:00"/>
        <d v="2025-02-07T00:00:00"/>
        <d v="2025-02-11T00:00:00"/>
        <d v="2025-02-12T00:00:00"/>
        <d v="2025-02-15T00:00:00"/>
        <d v="2025-02-17T00:00:00"/>
        <d v="2025-02-18T00:00:00"/>
        <d v="2025-02-19T00:00:00"/>
        <d v="2025-02-21T00:00:00"/>
        <d v="2025-02-22T00:00:00"/>
        <d v="2025-02-24T00:00:00"/>
        <d v="2025-02-25T00:00:00"/>
        <d v="2025-02-26T00:00:00"/>
        <d v="2025-02-28T00:00:00"/>
        <d v="2025-03-02T00:00:00"/>
        <d v="2025-03-03T00:00:00"/>
        <d v="2025-03-04T00:00:00"/>
        <d v="2025-03-06T00:00:00"/>
        <d v="2025-03-08T00:00:00"/>
        <d v="2025-03-09T00:00:00"/>
        <d v="2025-03-10T00:00:00"/>
        <d v="2025-03-11T00:00:00"/>
        <d v="2025-03-12T00:00:00"/>
        <d v="2025-03-15T00:00:00"/>
        <d v="2025-03-16T00:00:00"/>
        <d v="2025-03-17T00:00:00"/>
        <d v="2025-03-18T00:00:00"/>
        <d v="2025-03-19T00:00:00"/>
        <d v="2025-03-22T00:00:00"/>
        <d v="2025-03-23T00:00:00"/>
        <d v="2025-03-24T00:00:00"/>
        <d v="2025-03-26T00:00:00"/>
        <d v="2025-03-28T00:00:00"/>
        <d v="2025-03-30T00:00:00"/>
        <d v="2025-03-31T00:00:00"/>
        <d v="2025-04-01T00:00:00"/>
        <d v="2025-04-02T00:00:00"/>
        <d v="2025-04-03T00:00:00"/>
        <d v="2025-04-05T00:00:00"/>
        <d v="2025-04-07T00:00:00"/>
        <d v="2025-04-10T00:00:00"/>
        <d v="2025-04-11T00:00:00"/>
        <d v="2025-04-12T00:00:00"/>
        <d v="2025-04-13T00:00:00"/>
        <d v="2025-04-14T00:00:00"/>
        <d v="2025-04-16T00:00:00"/>
        <d v="2025-04-18T00:00:00"/>
        <d v="2025-04-20T00:00:00"/>
        <d v="2025-04-21T00:00:00"/>
        <d v="2025-04-22T00:00:00"/>
        <d v="2025-04-24T00:00:00"/>
        <d v="2025-04-25T00:00:00"/>
        <d v="2025-04-26T00:00:00"/>
        <d v="2025-04-27T00:00:00"/>
        <d v="2025-04-29T00:00:00"/>
        <d v="2025-04-30T00:00:00"/>
        <d v="2025-05-03T00:00:00"/>
        <d v="2025-05-04T00:00:00"/>
        <d v="2025-05-06T00:00:00"/>
        <d v="2025-05-07T00:00:00"/>
        <d v="2025-05-08T00:00:00"/>
        <d v="2025-05-11T00:00:00"/>
        <d v="2025-05-14T00:00:00"/>
        <d v="2025-05-15T00:00:00"/>
        <d v="2025-05-16T00:00:00"/>
        <d v="2025-05-17T00:00:00"/>
        <d v="2025-05-18T00:00:00"/>
        <d v="2025-05-19T00:00:00"/>
        <d v="2025-05-20T00:00:00"/>
        <d v="2025-05-23T00:00:00"/>
        <d v="2025-05-24T00:00:00"/>
        <d v="2025-05-25T00:00:00"/>
        <d v="2025-05-26T00:00:00"/>
        <d v="2025-05-27T00:00:00"/>
        <d v="2025-05-29T00:00:00"/>
        <d v="2025-05-30T00:00:00"/>
        <d v="2025-05-31T00:00:00"/>
        <d v="2025-06-01T00:00:00"/>
        <d v="2025-06-02T00:00:00"/>
        <d v="2025-06-03T00:00:00"/>
        <d v="2025-06-07T00:00:00"/>
        <d v="2025-06-09T00:00:00"/>
        <d v="2025-06-12T00:00:00"/>
        <d v="2025-06-13T00:00:00"/>
        <d v="2025-06-14T00:00:00"/>
        <d v="2025-06-15T00:00:00"/>
        <d v="2025-06-19T00:00:00"/>
        <d v="2025-06-21T00:00:00"/>
        <d v="2025-06-22T00:00:00"/>
        <d v="2025-06-23T00:00:00"/>
        <d v="2025-06-24T00:00:00"/>
        <d v="2025-06-25T00:00:00"/>
        <d v="2025-06-26T00:00:00"/>
        <d v="2025-06-27T00:00:00"/>
        <d v="2025-06-28T00:00:00"/>
        <d v="2025-06-29T00:00:00"/>
        <d v="2025-07-01T00:00:00"/>
        <d v="2025-07-02T00:00:00"/>
        <d v="2025-07-03T00:00:00"/>
        <d v="2025-07-04T00:00:00"/>
        <d v="2025-07-05T00:00:00"/>
        <d v="2025-07-06T00:00:00"/>
        <d v="2025-07-07T00:00:00"/>
        <d v="2025-07-09T00:00:00"/>
        <d v="2025-07-10T00:00:00"/>
        <d v="2025-07-11T00:00:00"/>
        <d v="2025-07-12T00:00:00"/>
        <d v="2025-07-13T00:00:00"/>
        <d v="2025-07-14T00:00:00"/>
        <d v="2025-07-15T00:00:00"/>
        <d v="2025-07-16T00:00:00"/>
        <d v="2025-07-17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4T00:00:00"/>
        <d v="2025-08-05T00:00:00"/>
        <d v="2025-08-07T00:00:00"/>
        <d v="2025-08-08T00:00:00"/>
        <d v="2025-08-09T00:00:00"/>
        <d v="2025-08-10T00:00:00"/>
        <d v="2025-08-12T00:00:00"/>
        <d v="2025-08-14T00:00:00"/>
        <d v="2025-08-15T00:00:00"/>
        <d v="2025-08-16T00:00:00"/>
        <d v="2025-08-17T00:00:00"/>
        <d v="2025-08-18T00:00:00"/>
        <d v="2025-08-20T00:00:00"/>
        <d v="2025-08-22T00:00:00"/>
        <d v="2025-08-23T00:00:00"/>
        <d v="2025-08-25T00:00:00"/>
        <d v="2025-08-26T00:00:00"/>
        <d v="2025-08-27T00:00:00"/>
        <d v="2025-08-29T00:00:00"/>
        <d v="2025-08-30T00:00:00"/>
        <d v="2025-08-31T00:00:00"/>
        <d v="2025-09-01T00:00:00"/>
        <d v="2025-09-10T00:00:00"/>
        <d v="2025-09-12T00:00:00"/>
        <d v="2025-09-14T00:00:00"/>
        <d v="2025-09-15T00:00:00"/>
        <d v="2025-09-17T00:00:00"/>
        <d v="2025-09-18T00:00:00"/>
        <d v="2025-09-19T00:00:00"/>
        <d v="2025-09-20T00:00:00"/>
        <d v="2025-09-21T00:00:00"/>
        <d v="2025-09-23T00:00:00"/>
        <d v="2025-09-24T00:00:00"/>
        <d v="2025-09-25T00:00:00"/>
        <d v="2025-09-26T00:00:00"/>
        <d v="2025-09-27T00:00:00"/>
        <d v="2025-09-28T00:00:00"/>
        <d v="2025-09-29T00:00:00"/>
        <d v="2025-10-01T00:00:00"/>
        <d v="2025-10-04T00:00:00"/>
        <d v="2025-10-06T00:00:00"/>
        <d v="2025-10-07T00:00:00"/>
        <d v="2025-10-08T00:00:00"/>
        <d v="2025-10-09T00:00:00"/>
        <d v="2025-10-11T00:00:00"/>
        <d v="2025-10-13T00:00:00"/>
        <d v="2025-10-16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4T00:00:00"/>
        <d v="2025-11-05T00:00:00"/>
        <d v="2025-11-06T00:00:00"/>
        <d v="2025-11-07T00:00:00"/>
        <d v="2025-11-08T00:00:00"/>
        <d v="2025-11-09T00:00:00"/>
        <d v="2025-11-10T00:00:00"/>
        <d v="2025-11-11T00:00:00"/>
        <d v="2025-11-12T00:00:00"/>
        <d v="2025-11-13T00:00:00"/>
        <d v="2025-11-15T00:00:00"/>
        <d v="2025-11-16T00:00:00"/>
        <d v="2025-11-17T00:00:00"/>
        <d v="2025-11-18T00:00:00"/>
        <d v="2025-11-19T00:00:00"/>
        <d v="2025-11-20T00:00:00"/>
        <d v="2025-11-22T00:00:00"/>
        <d v="2025-11-23T00:00:00"/>
        <d v="2025-11-25T00:00:00"/>
        <d v="2025-11-27T00:00:00"/>
        <d v="2025-11-28T00:00:00"/>
        <d v="2025-11-29T00:00:00"/>
        <d v="2025-11-30T00:00:00"/>
        <d v="2025-12-01T00:00:00"/>
        <d v="2025-12-02T00:00:00"/>
        <d v="2025-12-03T00:00:00"/>
        <d v="2025-12-04T00:00:00"/>
        <d v="2025-12-06T00:00:00"/>
        <d v="2025-12-09T00:00:00"/>
        <d v="2025-12-10T00:00:00"/>
        <d v="2025-12-11T00:00:00"/>
        <d v="2025-12-12T00:00:00"/>
        <d v="2025-12-13T00:00:00"/>
        <d v="2025-12-14T00:00:00"/>
        <d v="2025-12-16T00:00:00"/>
        <d v="2025-12-17T00:00:00"/>
        <d v="2025-12-18T00:00:00"/>
        <d v="2025-12-19T00:00:00"/>
        <d v="2025-12-20T00:00:00"/>
        <d v="2025-12-21T00:00:00"/>
        <d v="2025-12-22T00:00:00"/>
        <d v="2025-12-23T00:00:00"/>
        <d v="2025-12-24T00:00:00"/>
        <d v="2025-12-25T00:00:00"/>
        <d v="2025-12-26T00:00:00"/>
        <d v="2025-12-27T00:00:00"/>
        <d v="2025-12-28T00:00:00"/>
        <d v="2025-12-30T00:00:00"/>
        <d v="2025-12-31T00:00:00"/>
      </sharedItems>
      <fieldGroup par="18"/>
    </cacheField>
    <cacheField name="Units" numFmtId="0">
      <sharedItems containsSemiMixedTypes="0" containsString="0" containsNumber="1" containsInteger="1" minValue="12" maxValue="300"/>
    </cacheField>
    <cacheField name="ProductID" numFmtId="0">
      <sharedItems/>
    </cacheField>
    <cacheField name="SalesRepID" numFmtId="0">
      <sharedItems count="5">
        <s v="687TK"/>
        <s v="266SB"/>
        <s v="644SF"/>
        <s v="513CM"/>
        <s v="699SR"/>
      </sharedItems>
    </cacheField>
    <cacheField name="Total sales" numFmtId="0">
      <sharedItems containsSemiMixedTypes="0" containsString="0" containsNumber="1" minValue="270" maxValue="13110" count="107">
        <n v="3510"/>
        <n v="8914.8000000000011"/>
        <n v="1620"/>
        <n v="1260"/>
        <n v="1573.2"/>
        <n v="2097.6000000000004"/>
        <n v="2499"/>
        <n v="7341.6"/>
        <n v="5355"/>
        <n v="6210"/>
        <n v="1470"/>
        <n v="4860"/>
        <n v="3780"/>
        <n v="6292.8"/>
        <n v="2310"/>
        <n v="714"/>
        <n v="3360"/>
        <n v="11012.400000000001"/>
        <n v="7854"/>
        <n v="2142"/>
        <n v="1785"/>
        <n v="4050"/>
        <n v="1428"/>
        <n v="420"/>
        <n v="2430"/>
        <n v="4195.2000000000007"/>
        <n v="5670"/>
        <n v="7980"/>
        <n v="3570"/>
        <n v="2856"/>
        <n v="6069"/>
        <n v="5768.4000000000005"/>
        <n v="8568"/>
        <n v="3240"/>
        <n v="8820"/>
        <n v="2100"/>
        <n v="810"/>
        <n v="1071"/>
        <n v="9439.2000000000007"/>
        <n v="6300"/>
        <n v="7560"/>
        <n v="9240"/>
        <n v="5712"/>
        <n v="2940"/>
        <n v="3146.4"/>
        <n v="1680"/>
        <n v="1350"/>
        <n v="1050"/>
        <n v="5880"/>
        <n v="12585.6"/>
        <n v="7866.0000000000009"/>
        <n v="2520"/>
        <n v="2622"/>
        <n v="840"/>
        <n v="5460"/>
        <n v="5250"/>
        <n v="10500"/>
        <n v="4998"/>
        <n v="2700"/>
        <n v="540"/>
        <n v="9963.6"/>
        <n v="4719.6000000000004"/>
        <n v="6720"/>
        <n v="10080"/>
        <n v="1048.8000000000002"/>
        <n v="6480"/>
        <n v="2970"/>
        <n v="7497"/>
        <n v="4830"/>
        <n v="5940"/>
        <n v="8400"/>
        <n v="3990"/>
        <n v="1080"/>
        <n v="6817.2000000000007"/>
        <n v="8390.4000000000015"/>
        <n v="13110"/>
        <n v="4641"/>
        <n v="3670.8"/>
        <n v="7140"/>
        <n v="4200"/>
        <n v="630"/>
        <n v="270"/>
        <n v="4620"/>
        <n v="2160"/>
        <n v="8211"/>
        <n v="1890"/>
        <n v="4320"/>
        <n v="9660"/>
        <n v="5244"/>
        <n v="4590"/>
        <n v="8925"/>
        <n v="5040"/>
        <n v="5130"/>
        <n v="10488"/>
        <n v="11536.800000000001"/>
        <n v="3213"/>
        <n v="5400"/>
        <n v="4284"/>
        <n v="6426"/>
        <n v="6750"/>
        <n v="6783"/>
        <n v="3150"/>
        <n v="3927"/>
        <n v="12061.2"/>
        <n v="4410"/>
        <n v="524.40000000000009"/>
        <n v="2730"/>
      </sharedItems>
    </cacheField>
    <cacheField name="profit" numFmtId="0">
      <sharedItems containsSemiMixedTypes="0" containsString="0" containsNumber="1" minValue="118.79999999999998" maxValue="5880"/>
    </cacheField>
    <cacheField name="Contribution Margin Ratio" numFmtId="0">
      <sharedItems containsSemiMixedTypes="0" containsString="0" containsNumber="1" minValue="0.3299999999999999" maxValue="0.56000000000000005"/>
    </cacheField>
    <cacheField name="sales reb" numFmtId="0">
      <sharedItems count="5">
        <s v="Timmy Kips"/>
        <s v="Sioux Best"/>
        <s v="Shihara Fazzaa"/>
        <s v="Chantel Mims"/>
        <s v="Smitty Rad"/>
      </sharedItems>
    </cacheField>
    <cacheField name="Region" numFmtId="0">
      <sharedItems count="4">
        <s v="East"/>
        <s v="West"/>
        <s v="NW"/>
        <s v="MidWest"/>
      </sharedItems>
    </cacheField>
    <cacheField name="product" numFmtId="0">
      <sharedItems count="5">
        <s v="Kiwi"/>
        <s v="Cherry"/>
        <s v="Banana"/>
        <s v="Orange"/>
        <s v="Apple"/>
      </sharedItems>
    </cacheField>
    <cacheField name="profability " numFmtId="0">
      <sharedItems containsSemiMixedTypes="0" containsString="0" containsNumber="1" minValue="5.7749999999999986" maxValue="19.600000000000001"/>
    </cacheField>
    <cacheField name="Price" numFmtId="0">
      <sharedItems containsSemiMixedTypes="0" containsString="0" containsNumber="1" minValue="17.5" maxValue="43.7"/>
    </cacheField>
    <cacheField name="Cost" numFmtId="0">
      <sharedItems containsSemiMixedTypes="0" containsString="0" containsNumber="1" minValue="11.725000000000001" maxValue="25.346"/>
    </cacheField>
    <cacheField name="Field1" numFmtId="0" formula="#NAME?" databaseField="0"/>
    <cacheField name="Field2" numFmtId="0" formula=" _xlfn.UNIQUE(#NAME?)" databaseField="0"/>
    <cacheField name="margin" numFmtId="0" formula="profit/'Total sales'" databaseField="0"/>
    <cacheField name="Months (Date)" numFmtId="0" databaseField="0">
      <fieldGroup base="0">
        <rangePr groupBy="months" startDate="2024-01-02T00:00:00" endDate="2026-01-01T00:00:00"/>
        <groupItems count="14">
          <s v="&lt;1/2/2024"/>
          <s v="Jan"/>
          <s v="Feb"/>
          <s v="Mar"/>
          <s v="Apr"/>
          <s v="May"/>
          <s v="Jun"/>
          <s v="Jul"/>
          <s v="Aug"/>
          <s v="Sep"/>
          <s v="Oct"/>
          <s v="Nov"/>
          <s v="Dec"/>
          <s v="&gt;1/1/2026"/>
        </groupItems>
      </fieldGroup>
    </cacheField>
    <cacheField name="Quarters (Date)" numFmtId="0" databaseField="0">
      <fieldGroup base="0">
        <rangePr groupBy="quarters" startDate="2024-01-02T00:00:00" endDate="2026-01-01T00:00:00"/>
        <groupItems count="6">
          <s v="&lt;1/2/2024"/>
          <s v="Qtr1"/>
          <s v="Qtr2"/>
          <s v="Qtr3"/>
          <s v="Qtr4"/>
          <s v="&gt;1/1/2026"/>
        </groupItems>
      </fieldGroup>
    </cacheField>
    <cacheField name="Years (Date)" numFmtId="0" databaseField="0">
      <fieldGroup base="0">
        <rangePr groupBy="years" startDate="2024-01-02T00:00:00" endDate="2026-01-01T00:00:00"/>
        <groupItems count="5">
          <s v="&lt;1/2/2024"/>
          <s v="2024"/>
          <s v="2025"/>
          <s v="2026"/>
          <s v="&gt;1/1/2026"/>
        </groupItems>
      </fieldGroup>
    </cacheField>
    <cacheField name="Contribution Margin Ratio " numFmtId="0" formula=" (Price -Cost )/Price" databaseField="0"/>
    <cacheField name="profability" numFmtId="0" formula="profit/'Total sales'" databaseField="0"/>
    <cacheField name="Profitbility%" numFmtId="0" formula="profit/'Total sales'" databaseField="0"/>
  </cacheFields>
  <extLst>
    <ext xmlns:x14="http://schemas.microsoft.com/office/spreadsheetml/2009/9/main" uri="{725AE2AE-9491-48be-B2B4-4EB974FC3084}">
      <x14:pivotCacheDefinition pivotCacheId="190046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5">
  <r>
    <x v="0"/>
    <n v="156"/>
    <s v="255YN"/>
    <x v="0"/>
    <x v="0"/>
    <n v="1544.3999999999999"/>
    <n v="0.43999999999999995"/>
    <x v="0"/>
    <x v="0"/>
    <x v="0"/>
    <n v="9.8999999999999986"/>
    <n v="22.5"/>
    <n v="12.600000000000001"/>
  </r>
  <r>
    <x v="0"/>
    <n v="204"/>
    <s v="BL579"/>
    <x v="1"/>
    <x v="1"/>
    <n v="3744.2160000000013"/>
    <n v="0.42000000000000004"/>
    <x v="1"/>
    <x v="1"/>
    <x v="1"/>
    <n v="18.354000000000003"/>
    <n v="43.7"/>
    <n v="25.346"/>
  </r>
  <r>
    <x v="1"/>
    <n v="72"/>
    <s v="255YN"/>
    <x v="2"/>
    <x v="2"/>
    <n v="712.8"/>
    <n v="0.43999999999999995"/>
    <x v="2"/>
    <x v="0"/>
    <x v="0"/>
    <n v="9.8999999999999986"/>
    <n v="22.5"/>
    <n v="12.600000000000001"/>
  </r>
  <r>
    <x v="1"/>
    <n v="72"/>
    <s v="QA430"/>
    <x v="2"/>
    <x v="3"/>
    <n v="415.79999999999995"/>
    <n v="0.3299999999999999"/>
    <x v="2"/>
    <x v="0"/>
    <x v="2"/>
    <n v="5.7749999999999986"/>
    <n v="17.5"/>
    <n v="11.725000000000001"/>
  </r>
  <r>
    <x v="1"/>
    <n v="36"/>
    <s v="BL579"/>
    <x v="3"/>
    <x v="4"/>
    <n v="660.74400000000003"/>
    <n v="0.42000000000000004"/>
    <x v="3"/>
    <x v="2"/>
    <x v="1"/>
    <n v="18.354000000000003"/>
    <n v="43.7"/>
    <n v="25.346"/>
  </r>
  <r>
    <x v="2"/>
    <n v="48"/>
    <s v="BL579"/>
    <x v="1"/>
    <x v="5"/>
    <n v="880.99200000000042"/>
    <n v="0.42000000000000004"/>
    <x v="1"/>
    <x v="1"/>
    <x v="1"/>
    <n v="18.354000000000003"/>
    <n v="43.7"/>
    <n v="25.346"/>
  </r>
  <r>
    <x v="3"/>
    <n v="84"/>
    <s v="175AP"/>
    <x v="3"/>
    <x v="6"/>
    <n v="1049.5800000000002"/>
    <n v="0.42000000000000004"/>
    <x v="3"/>
    <x v="2"/>
    <x v="3"/>
    <n v="12.495000000000001"/>
    <n v="29.75"/>
    <n v="17.254999999999999"/>
  </r>
  <r>
    <x v="3"/>
    <n v="168"/>
    <s v="BL579"/>
    <x v="1"/>
    <x v="7"/>
    <n v="3083.4720000000007"/>
    <n v="0.42000000000000004"/>
    <x v="1"/>
    <x v="1"/>
    <x v="1"/>
    <n v="18.354000000000003"/>
    <n v="43.7"/>
    <n v="25.346"/>
  </r>
  <r>
    <x v="3"/>
    <n v="180"/>
    <s v="175AP"/>
    <x v="0"/>
    <x v="8"/>
    <n v="2249.1000000000004"/>
    <n v="0.42000000000000004"/>
    <x v="0"/>
    <x v="0"/>
    <x v="3"/>
    <n v="12.495000000000001"/>
    <n v="29.75"/>
    <n v="17.254999999999999"/>
  </r>
  <r>
    <x v="4"/>
    <n v="276"/>
    <s v="255YN"/>
    <x v="3"/>
    <x v="9"/>
    <n v="2732.3999999999996"/>
    <n v="0.43999999999999995"/>
    <x v="3"/>
    <x v="2"/>
    <x v="0"/>
    <n v="9.8999999999999986"/>
    <n v="22.5"/>
    <n v="12.600000000000001"/>
  </r>
  <r>
    <x v="5"/>
    <n v="84"/>
    <s v="QA430"/>
    <x v="2"/>
    <x v="10"/>
    <n v="485.09999999999991"/>
    <n v="0.3299999999999999"/>
    <x v="2"/>
    <x v="0"/>
    <x v="2"/>
    <n v="5.7749999999999986"/>
    <n v="17.5"/>
    <n v="11.725000000000001"/>
  </r>
  <r>
    <x v="5"/>
    <n v="216"/>
    <s v="255YN"/>
    <x v="0"/>
    <x v="11"/>
    <n v="2138.3999999999996"/>
    <n v="0.43999999999999995"/>
    <x v="0"/>
    <x v="0"/>
    <x v="0"/>
    <n v="9.8999999999999986"/>
    <n v="22.5"/>
    <n v="12.600000000000001"/>
  </r>
  <r>
    <x v="5"/>
    <n v="36"/>
    <s v="100CR"/>
    <x v="4"/>
    <x v="3"/>
    <n v="705.6"/>
    <n v="0.56000000000000005"/>
    <x v="4"/>
    <x v="3"/>
    <x v="4"/>
    <n v="19.600000000000001"/>
    <n v="35"/>
    <n v="15.4"/>
  </r>
  <r>
    <x v="6"/>
    <n v="216"/>
    <s v="QA430"/>
    <x v="3"/>
    <x v="12"/>
    <n v="1247.3999999999996"/>
    <n v="0.3299999999999999"/>
    <x v="3"/>
    <x v="2"/>
    <x v="2"/>
    <n v="5.7749999999999986"/>
    <n v="17.5"/>
    <n v="11.725000000000001"/>
  </r>
  <r>
    <x v="6"/>
    <n v="144"/>
    <s v="BL579"/>
    <x v="4"/>
    <x v="13"/>
    <n v="2642.9760000000001"/>
    <n v="0.42000000000000004"/>
    <x v="4"/>
    <x v="3"/>
    <x v="1"/>
    <n v="18.354000000000003"/>
    <n v="43.7"/>
    <n v="25.346"/>
  </r>
  <r>
    <x v="6"/>
    <n v="132"/>
    <s v="QA430"/>
    <x v="3"/>
    <x v="14"/>
    <n v="762.29999999999973"/>
    <n v="0.3299999999999999"/>
    <x v="3"/>
    <x v="2"/>
    <x v="2"/>
    <n v="5.7749999999999986"/>
    <n v="17.5"/>
    <n v="11.725000000000001"/>
  </r>
  <r>
    <x v="7"/>
    <n v="24"/>
    <s v="175AP"/>
    <x v="0"/>
    <x v="15"/>
    <n v="299.88"/>
    <n v="0.42000000000000004"/>
    <x v="0"/>
    <x v="0"/>
    <x v="3"/>
    <n v="12.495000000000001"/>
    <n v="29.75"/>
    <n v="17.254999999999999"/>
  </r>
  <r>
    <x v="8"/>
    <n v="168"/>
    <s v="BL579"/>
    <x v="1"/>
    <x v="7"/>
    <n v="3083.4720000000007"/>
    <n v="0.42000000000000004"/>
    <x v="1"/>
    <x v="1"/>
    <x v="1"/>
    <n v="18.354000000000003"/>
    <n v="43.7"/>
    <n v="25.346"/>
  </r>
  <r>
    <x v="9"/>
    <n v="96"/>
    <s v="100CR"/>
    <x v="3"/>
    <x v="16"/>
    <n v="1881.6"/>
    <n v="0.56000000000000005"/>
    <x v="3"/>
    <x v="2"/>
    <x v="4"/>
    <n v="19.600000000000001"/>
    <n v="35"/>
    <n v="15.4"/>
  </r>
  <r>
    <x v="10"/>
    <n v="168"/>
    <s v="BL579"/>
    <x v="3"/>
    <x v="7"/>
    <n v="3083.4720000000007"/>
    <n v="0.42000000000000004"/>
    <x v="3"/>
    <x v="2"/>
    <x v="1"/>
    <n v="18.354000000000003"/>
    <n v="43.7"/>
    <n v="25.346"/>
  </r>
  <r>
    <x v="10"/>
    <n v="252"/>
    <s v="BL579"/>
    <x v="4"/>
    <x v="17"/>
    <n v="4625.2080000000014"/>
    <n v="0.42000000000000004"/>
    <x v="4"/>
    <x v="3"/>
    <x v="1"/>
    <n v="18.354000000000003"/>
    <n v="43.7"/>
    <n v="25.346"/>
  </r>
  <r>
    <x v="11"/>
    <n v="264"/>
    <s v="175AP"/>
    <x v="2"/>
    <x v="18"/>
    <n v="3298.6800000000003"/>
    <n v="0.42000000000000004"/>
    <x v="2"/>
    <x v="0"/>
    <x v="3"/>
    <n v="12.495000000000001"/>
    <n v="29.75"/>
    <n v="17.254999999999999"/>
  </r>
  <r>
    <x v="11"/>
    <n v="72"/>
    <s v="175AP"/>
    <x v="4"/>
    <x v="19"/>
    <n v="899.6400000000001"/>
    <n v="0.42000000000000004"/>
    <x v="4"/>
    <x v="3"/>
    <x v="3"/>
    <n v="12.495000000000001"/>
    <n v="29.75"/>
    <n v="17.254999999999999"/>
  </r>
  <r>
    <x v="11"/>
    <n v="192"/>
    <s v="QA430"/>
    <x v="1"/>
    <x v="16"/>
    <n v="1108.7999999999997"/>
    <n v="0.3299999999999999"/>
    <x v="1"/>
    <x v="1"/>
    <x v="2"/>
    <n v="5.7749999999999986"/>
    <n v="17.5"/>
    <n v="11.725000000000001"/>
  </r>
  <r>
    <x v="12"/>
    <n v="144"/>
    <s v="BL579"/>
    <x v="4"/>
    <x v="13"/>
    <n v="2642.9760000000001"/>
    <n v="0.42000000000000004"/>
    <x v="4"/>
    <x v="3"/>
    <x v="1"/>
    <n v="18.354000000000003"/>
    <n v="43.7"/>
    <n v="25.346"/>
  </r>
  <r>
    <x v="12"/>
    <n v="60"/>
    <s v="175AP"/>
    <x v="2"/>
    <x v="20"/>
    <n v="749.7"/>
    <n v="0.42000000000000004"/>
    <x v="2"/>
    <x v="0"/>
    <x v="3"/>
    <n v="12.495000000000001"/>
    <n v="29.75"/>
    <n v="17.254999999999999"/>
  </r>
  <r>
    <x v="12"/>
    <n v="180"/>
    <s v="255YN"/>
    <x v="0"/>
    <x v="21"/>
    <n v="1781.9999999999995"/>
    <n v="0.43999999999999995"/>
    <x v="0"/>
    <x v="0"/>
    <x v="0"/>
    <n v="9.8999999999999986"/>
    <n v="22.5"/>
    <n v="12.600000000000001"/>
  </r>
  <r>
    <x v="12"/>
    <n v="48"/>
    <s v="175AP"/>
    <x v="2"/>
    <x v="22"/>
    <n v="599.76"/>
    <n v="0.42000000000000004"/>
    <x v="2"/>
    <x v="0"/>
    <x v="3"/>
    <n v="12.495000000000001"/>
    <n v="29.75"/>
    <n v="17.254999999999999"/>
  </r>
  <r>
    <x v="13"/>
    <n v="84"/>
    <s v="QA430"/>
    <x v="3"/>
    <x v="10"/>
    <n v="485.09999999999991"/>
    <n v="0.3299999999999999"/>
    <x v="3"/>
    <x v="2"/>
    <x v="2"/>
    <n v="5.7749999999999986"/>
    <n v="17.5"/>
    <n v="11.725000000000001"/>
  </r>
  <r>
    <x v="13"/>
    <n v="24"/>
    <s v="QA430"/>
    <x v="2"/>
    <x v="23"/>
    <n v="138.59999999999997"/>
    <n v="0.3299999999999999"/>
    <x v="2"/>
    <x v="0"/>
    <x v="2"/>
    <n v="5.7749999999999986"/>
    <n v="17.5"/>
    <n v="11.725000000000001"/>
  </r>
  <r>
    <x v="14"/>
    <n v="108"/>
    <s v="255YN"/>
    <x v="1"/>
    <x v="24"/>
    <n v="1069.1999999999998"/>
    <n v="0.43999999999999995"/>
    <x v="1"/>
    <x v="1"/>
    <x v="0"/>
    <n v="9.8999999999999986"/>
    <n v="22.5"/>
    <n v="12.600000000000001"/>
  </r>
  <r>
    <x v="15"/>
    <n v="216"/>
    <s v="QA430"/>
    <x v="2"/>
    <x v="12"/>
    <n v="1247.3999999999996"/>
    <n v="0.3299999999999999"/>
    <x v="2"/>
    <x v="0"/>
    <x v="2"/>
    <n v="5.7749999999999986"/>
    <n v="17.5"/>
    <n v="11.725000000000001"/>
  </r>
  <r>
    <x v="15"/>
    <n v="96"/>
    <s v="BL579"/>
    <x v="4"/>
    <x v="25"/>
    <n v="1761.9840000000008"/>
    <n v="0.42000000000000004"/>
    <x v="4"/>
    <x v="3"/>
    <x v="1"/>
    <n v="18.354000000000003"/>
    <n v="43.7"/>
    <n v="25.346"/>
  </r>
  <r>
    <x v="15"/>
    <n v="252"/>
    <s v="255YN"/>
    <x v="2"/>
    <x v="26"/>
    <n v="2494.7999999999997"/>
    <n v="0.43999999999999995"/>
    <x v="2"/>
    <x v="0"/>
    <x v="0"/>
    <n v="9.8999999999999986"/>
    <n v="22.5"/>
    <n v="12.600000000000001"/>
  </r>
  <r>
    <x v="16"/>
    <n v="228"/>
    <s v="100CR"/>
    <x v="4"/>
    <x v="27"/>
    <n v="4468.7999999999993"/>
    <n v="0.56000000000000005"/>
    <x v="4"/>
    <x v="3"/>
    <x v="4"/>
    <n v="19.600000000000001"/>
    <n v="35"/>
    <n v="15.4"/>
  </r>
  <r>
    <x v="16"/>
    <n v="204"/>
    <s v="QA430"/>
    <x v="0"/>
    <x v="28"/>
    <n v="1178.0999999999999"/>
    <n v="0.3299999999999999"/>
    <x v="0"/>
    <x v="0"/>
    <x v="2"/>
    <n v="5.7749999999999986"/>
    <n v="17.5"/>
    <n v="11.725000000000001"/>
  </r>
  <r>
    <x v="16"/>
    <n v="96"/>
    <s v="175AP"/>
    <x v="2"/>
    <x v="29"/>
    <n v="1199.52"/>
    <n v="0.42000000000000004"/>
    <x v="2"/>
    <x v="0"/>
    <x v="3"/>
    <n v="12.495000000000001"/>
    <n v="29.75"/>
    <n v="17.254999999999999"/>
  </r>
  <r>
    <x v="17"/>
    <n v="204"/>
    <s v="175AP"/>
    <x v="2"/>
    <x v="30"/>
    <n v="2548.98"/>
    <n v="0.42000000000000004"/>
    <x v="2"/>
    <x v="0"/>
    <x v="3"/>
    <n v="12.495000000000001"/>
    <n v="29.75"/>
    <n v="17.254999999999999"/>
  </r>
  <r>
    <x v="18"/>
    <n v="132"/>
    <s v="BL579"/>
    <x v="4"/>
    <x v="31"/>
    <n v="2422.7280000000005"/>
    <n v="0.42000000000000004"/>
    <x v="4"/>
    <x v="3"/>
    <x v="1"/>
    <n v="18.354000000000003"/>
    <n v="43.7"/>
    <n v="25.346"/>
  </r>
  <r>
    <x v="19"/>
    <n v="288"/>
    <s v="175AP"/>
    <x v="0"/>
    <x v="32"/>
    <n v="3598.5600000000004"/>
    <n v="0.42000000000000004"/>
    <x v="0"/>
    <x v="0"/>
    <x v="3"/>
    <n v="12.495000000000001"/>
    <n v="29.75"/>
    <n v="17.254999999999999"/>
  </r>
  <r>
    <x v="20"/>
    <n v="216"/>
    <s v="255YN"/>
    <x v="4"/>
    <x v="11"/>
    <n v="2138.3999999999996"/>
    <n v="0.43999999999999995"/>
    <x v="4"/>
    <x v="3"/>
    <x v="0"/>
    <n v="9.8999999999999986"/>
    <n v="22.5"/>
    <n v="12.600000000000001"/>
  </r>
  <r>
    <x v="20"/>
    <n v="144"/>
    <s v="255YN"/>
    <x v="0"/>
    <x v="33"/>
    <n v="1425.6"/>
    <n v="0.43999999999999995"/>
    <x v="0"/>
    <x v="0"/>
    <x v="0"/>
    <n v="9.8999999999999986"/>
    <n v="22.5"/>
    <n v="12.600000000000001"/>
  </r>
  <r>
    <x v="21"/>
    <n v="252"/>
    <s v="100CR"/>
    <x v="0"/>
    <x v="34"/>
    <n v="4939.2"/>
    <n v="0.56000000000000005"/>
    <x v="0"/>
    <x v="0"/>
    <x v="4"/>
    <n v="19.600000000000001"/>
    <n v="35"/>
    <n v="15.4"/>
  </r>
  <r>
    <x v="22"/>
    <n v="120"/>
    <s v="QA430"/>
    <x v="1"/>
    <x v="35"/>
    <n v="692.99999999999977"/>
    <n v="0.3299999999999999"/>
    <x v="1"/>
    <x v="1"/>
    <x v="2"/>
    <n v="5.7749999999999986"/>
    <n v="17.5"/>
    <n v="11.725000000000001"/>
  </r>
  <r>
    <x v="22"/>
    <n v="180"/>
    <s v="255YN"/>
    <x v="3"/>
    <x v="21"/>
    <n v="1781.9999999999995"/>
    <n v="0.43999999999999995"/>
    <x v="3"/>
    <x v="2"/>
    <x v="0"/>
    <n v="9.8999999999999986"/>
    <n v="22.5"/>
    <n v="12.600000000000001"/>
  </r>
  <r>
    <x v="23"/>
    <n v="36"/>
    <s v="255YN"/>
    <x v="3"/>
    <x v="36"/>
    <n v="356.4"/>
    <n v="0.43999999999999995"/>
    <x v="3"/>
    <x v="2"/>
    <x v="0"/>
    <n v="9.8999999999999986"/>
    <n v="22.5"/>
    <n v="12.600000000000001"/>
  </r>
  <r>
    <x v="24"/>
    <n v="36"/>
    <s v="175AP"/>
    <x v="0"/>
    <x v="37"/>
    <n v="449.82000000000005"/>
    <n v="0.42000000000000004"/>
    <x v="0"/>
    <x v="0"/>
    <x v="3"/>
    <n v="12.495000000000001"/>
    <n v="29.75"/>
    <n v="17.254999999999999"/>
  </r>
  <r>
    <x v="25"/>
    <n v="216"/>
    <s v="BL579"/>
    <x v="1"/>
    <x v="38"/>
    <n v="3964.4640000000009"/>
    <n v="0.42000000000000004"/>
    <x v="1"/>
    <x v="1"/>
    <x v="1"/>
    <n v="18.354000000000003"/>
    <n v="43.7"/>
    <n v="25.346"/>
  </r>
  <r>
    <x v="26"/>
    <n v="180"/>
    <s v="100CR"/>
    <x v="2"/>
    <x v="39"/>
    <n v="3528"/>
    <n v="0.56000000000000005"/>
    <x v="2"/>
    <x v="0"/>
    <x v="4"/>
    <n v="19.600000000000001"/>
    <n v="35"/>
    <n v="15.4"/>
  </r>
  <r>
    <x v="27"/>
    <n v="72"/>
    <s v="QA430"/>
    <x v="1"/>
    <x v="3"/>
    <n v="415.79999999999995"/>
    <n v="0.3299999999999999"/>
    <x v="1"/>
    <x v="1"/>
    <x v="2"/>
    <n v="5.7749999999999986"/>
    <n v="17.5"/>
    <n v="11.725000000000001"/>
  </r>
  <r>
    <x v="27"/>
    <n v="60"/>
    <s v="100CR"/>
    <x v="1"/>
    <x v="35"/>
    <n v="1176"/>
    <n v="0.56000000000000005"/>
    <x v="1"/>
    <x v="1"/>
    <x v="4"/>
    <n v="19.600000000000001"/>
    <n v="35"/>
    <n v="15.4"/>
  </r>
  <r>
    <x v="27"/>
    <n v="216"/>
    <s v="100CR"/>
    <x v="0"/>
    <x v="40"/>
    <n v="4233.6000000000004"/>
    <n v="0.56000000000000005"/>
    <x v="0"/>
    <x v="0"/>
    <x v="4"/>
    <n v="19.600000000000001"/>
    <n v="35"/>
    <n v="15.4"/>
  </r>
  <r>
    <x v="28"/>
    <n v="264"/>
    <s v="100CR"/>
    <x v="2"/>
    <x v="41"/>
    <n v="5174.3999999999996"/>
    <n v="0.56000000000000005"/>
    <x v="2"/>
    <x v="0"/>
    <x v="4"/>
    <n v="19.600000000000001"/>
    <n v="35"/>
    <n v="15.4"/>
  </r>
  <r>
    <x v="29"/>
    <n v="216"/>
    <s v="QA430"/>
    <x v="1"/>
    <x v="12"/>
    <n v="1247.3999999999996"/>
    <n v="0.3299999999999999"/>
    <x v="1"/>
    <x v="1"/>
    <x v="2"/>
    <n v="5.7749999999999986"/>
    <n v="17.5"/>
    <n v="11.725000000000001"/>
  </r>
  <r>
    <x v="29"/>
    <n v="96"/>
    <s v="BL579"/>
    <x v="1"/>
    <x v="25"/>
    <n v="1761.9840000000008"/>
    <n v="0.42000000000000004"/>
    <x v="1"/>
    <x v="1"/>
    <x v="1"/>
    <n v="18.354000000000003"/>
    <n v="43.7"/>
    <n v="25.346"/>
  </r>
  <r>
    <x v="29"/>
    <n v="192"/>
    <s v="175AP"/>
    <x v="3"/>
    <x v="42"/>
    <n v="2399.04"/>
    <n v="0.42000000000000004"/>
    <x v="3"/>
    <x v="2"/>
    <x v="3"/>
    <n v="12.495000000000001"/>
    <n v="29.75"/>
    <n v="17.254999999999999"/>
  </r>
  <r>
    <x v="29"/>
    <n v="216"/>
    <s v="BL579"/>
    <x v="4"/>
    <x v="38"/>
    <n v="3964.4640000000009"/>
    <n v="0.42000000000000004"/>
    <x v="4"/>
    <x v="3"/>
    <x v="1"/>
    <n v="18.354000000000003"/>
    <n v="43.7"/>
    <n v="25.346"/>
  </r>
  <r>
    <x v="29"/>
    <n v="216"/>
    <s v="QA430"/>
    <x v="3"/>
    <x v="12"/>
    <n v="1247.3999999999996"/>
    <n v="0.3299999999999999"/>
    <x v="3"/>
    <x v="2"/>
    <x v="2"/>
    <n v="5.7749999999999986"/>
    <n v="17.5"/>
    <n v="11.725000000000001"/>
  </r>
  <r>
    <x v="30"/>
    <n v="84"/>
    <s v="100CR"/>
    <x v="4"/>
    <x v="43"/>
    <n v="1646.3999999999999"/>
    <n v="0.56000000000000005"/>
    <x v="4"/>
    <x v="3"/>
    <x v="4"/>
    <n v="19.600000000000001"/>
    <n v="35"/>
    <n v="15.4"/>
  </r>
  <r>
    <x v="30"/>
    <n v="72"/>
    <s v="BL579"/>
    <x v="2"/>
    <x v="44"/>
    <n v="1321.4880000000001"/>
    <n v="0.42000000000000004"/>
    <x v="2"/>
    <x v="0"/>
    <x v="1"/>
    <n v="18.354000000000003"/>
    <n v="43.7"/>
    <n v="25.346"/>
  </r>
  <r>
    <x v="30"/>
    <n v="48"/>
    <s v="100CR"/>
    <x v="2"/>
    <x v="45"/>
    <n v="940.8"/>
    <n v="0.56000000000000005"/>
    <x v="2"/>
    <x v="0"/>
    <x v="4"/>
    <n v="19.600000000000001"/>
    <n v="35"/>
    <n v="15.4"/>
  </r>
  <r>
    <x v="30"/>
    <n v="252"/>
    <s v="255YN"/>
    <x v="0"/>
    <x v="26"/>
    <n v="2494.7999999999997"/>
    <n v="0.43999999999999995"/>
    <x v="0"/>
    <x v="0"/>
    <x v="0"/>
    <n v="9.8999999999999986"/>
    <n v="22.5"/>
    <n v="12.600000000000001"/>
  </r>
  <r>
    <x v="30"/>
    <n v="60"/>
    <s v="255YN"/>
    <x v="3"/>
    <x v="46"/>
    <n v="593.99999999999989"/>
    <n v="0.43999999999999995"/>
    <x v="3"/>
    <x v="2"/>
    <x v="0"/>
    <n v="9.8999999999999986"/>
    <n v="22.5"/>
    <n v="12.600000000000001"/>
  </r>
  <r>
    <x v="31"/>
    <n v="60"/>
    <s v="QA430"/>
    <x v="1"/>
    <x v="47"/>
    <n v="346.49999999999989"/>
    <n v="0.3299999999999999"/>
    <x v="1"/>
    <x v="1"/>
    <x v="2"/>
    <n v="5.7749999999999986"/>
    <n v="17.5"/>
    <n v="11.725000000000001"/>
  </r>
  <r>
    <x v="31"/>
    <n v="168"/>
    <s v="100CR"/>
    <x v="1"/>
    <x v="48"/>
    <n v="3292.7999999999997"/>
    <n v="0.56000000000000005"/>
    <x v="1"/>
    <x v="1"/>
    <x v="4"/>
    <n v="19.600000000000001"/>
    <n v="35"/>
    <n v="15.4"/>
  </r>
  <r>
    <x v="32"/>
    <n v="288"/>
    <s v="BL579"/>
    <x v="4"/>
    <x v="49"/>
    <n v="5285.9520000000002"/>
    <n v="0.42000000000000004"/>
    <x v="4"/>
    <x v="3"/>
    <x v="1"/>
    <n v="18.354000000000003"/>
    <n v="43.7"/>
    <n v="25.346"/>
  </r>
  <r>
    <x v="32"/>
    <n v="252"/>
    <s v="BL579"/>
    <x v="0"/>
    <x v="17"/>
    <n v="4625.2080000000014"/>
    <n v="0.42000000000000004"/>
    <x v="0"/>
    <x v="0"/>
    <x v="1"/>
    <n v="18.354000000000003"/>
    <n v="43.7"/>
    <n v="25.346"/>
  </r>
  <r>
    <x v="33"/>
    <n v="180"/>
    <s v="BL579"/>
    <x v="1"/>
    <x v="50"/>
    <n v="3303.7200000000012"/>
    <n v="0.42000000000000004"/>
    <x v="1"/>
    <x v="1"/>
    <x v="1"/>
    <n v="18.354000000000003"/>
    <n v="43.7"/>
    <n v="25.346"/>
  </r>
  <r>
    <x v="33"/>
    <n v="144"/>
    <s v="QA430"/>
    <x v="0"/>
    <x v="51"/>
    <n v="831.59999999999991"/>
    <n v="0.3299999999999999"/>
    <x v="0"/>
    <x v="0"/>
    <x v="2"/>
    <n v="5.7749999999999986"/>
    <n v="17.5"/>
    <n v="11.725000000000001"/>
  </r>
  <r>
    <x v="34"/>
    <n v="60"/>
    <s v="BL579"/>
    <x v="2"/>
    <x v="52"/>
    <n v="1101.24"/>
    <n v="0.42000000000000004"/>
    <x v="2"/>
    <x v="0"/>
    <x v="1"/>
    <n v="18.354000000000003"/>
    <n v="43.7"/>
    <n v="25.346"/>
  </r>
  <r>
    <x v="34"/>
    <n v="24"/>
    <s v="100CR"/>
    <x v="0"/>
    <x v="53"/>
    <n v="470.4"/>
    <n v="0.56000000000000005"/>
    <x v="0"/>
    <x v="0"/>
    <x v="4"/>
    <n v="19.600000000000001"/>
    <n v="35"/>
    <n v="15.4"/>
  </r>
  <r>
    <x v="35"/>
    <n v="180"/>
    <s v="255YN"/>
    <x v="0"/>
    <x v="21"/>
    <n v="1781.9999999999995"/>
    <n v="0.43999999999999995"/>
    <x v="0"/>
    <x v="0"/>
    <x v="0"/>
    <n v="9.8999999999999986"/>
    <n v="22.5"/>
    <n v="12.600000000000001"/>
  </r>
  <r>
    <x v="36"/>
    <n v="48"/>
    <s v="BL579"/>
    <x v="0"/>
    <x v="5"/>
    <n v="880.99200000000042"/>
    <n v="0.42000000000000004"/>
    <x v="0"/>
    <x v="0"/>
    <x v="1"/>
    <n v="18.354000000000003"/>
    <n v="43.7"/>
    <n v="25.346"/>
  </r>
  <r>
    <x v="36"/>
    <n v="72"/>
    <s v="QA430"/>
    <x v="0"/>
    <x v="3"/>
    <n v="415.79999999999995"/>
    <n v="0.3299999999999999"/>
    <x v="0"/>
    <x v="0"/>
    <x v="2"/>
    <n v="5.7749999999999986"/>
    <n v="17.5"/>
    <n v="11.725000000000001"/>
  </r>
  <r>
    <x v="37"/>
    <n v="204"/>
    <s v="BL579"/>
    <x v="4"/>
    <x v="1"/>
    <n v="3744.2160000000013"/>
    <n v="0.42000000000000004"/>
    <x v="4"/>
    <x v="3"/>
    <x v="1"/>
    <n v="18.354000000000003"/>
    <n v="43.7"/>
    <n v="25.346"/>
  </r>
  <r>
    <x v="37"/>
    <n v="168"/>
    <s v="QA430"/>
    <x v="2"/>
    <x v="43"/>
    <n v="970.19999999999982"/>
    <n v="0.3299999999999999"/>
    <x v="2"/>
    <x v="0"/>
    <x v="2"/>
    <n v="5.7749999999999986"/>
    <n v="17.5"/>
    <n v="11.725000000000001"/>
  </r>
  <r>
    <x v="38"/>
    <n v="96"/>
    <s v="BL579"/>
    <x v="1"/>
    <x v="25"/>
    <n v="1761.9840000000008"/>
    <n v="0.42000000000000004"/>
    <x v="1"/>
    <x v="1"/>
    <x v="1"/>
    <n v="18.354000000000003"/>
    <n v="43.7"/>
    <n v="25.346"/>
  </r>
  <r>
    <x v="38"/>
    <n v="144"/>
    <s v="255YN"/>
    <x v="2"/>
    <x v="33"/>
    <n v="1425.6"/>
    <n v="0.43999999999999995"/>
    <x v="2"/>
    <x v="0"/>
    <x v="0"/>
    <n v="9.8999999999999986"/>
    <n v="22.5"/>
    <n v="12.600000000000001"/>
  </r>
  <r>
    <x v="38"/>
    <n v="156"/>
    <s v="100CR"/>
    <x v="2"/>
    <x v="54"/>
    <n v="3057.6"/>
    <n v="0.56000000000000005"/>
    <x v="2"/>
    <x v="0"/>
    <x v="4"/>
    <n v="19.600000000000001"/>
    <n v="35"/>
    <n v="15.4"/>
  </r>
  <r>
    <x v="39"/>
    <n v="300"/>
    <s v="QA430"/>
    <x v="0"/>
    <x v="55"/>
    <n v="1732.4999999999995"/>
    <n v="0.3299999999999999"/>
    <x v="0"/>
    <x v="0"/>
    <x v="2"/>
    <n v="5.7749999999999986"/>
    <n v="17.5"/>
    <n v="11.725000000000001"/>
  </r>
  <r>
    <x v="40"/>
    <n v="84"/>
    <s v="175AP"/>
    <x v="0"/>
    <x v="6"/>
    <n v="1049.5800000000002"/>
    <n v="0.42000000000000004"/>
    <x v="0"/>
    <x v="0"/>
    <x v="3"/>
    <n v="12.495000000000001"/>
    <n v="29.75"/>
    <n v="17.254999999999999"/>
  </r>
  <r>
    <x v="41"/>
    <n v="300"/>
    <s v="100CR"/>
    <x v="2"/>
    <x v="56"/>
    <n v="5880"/>
    <n v="0.56000000000000005"/>
    <x v="2"/>
    <x v="0"/>
    <x v="4"/>
    <n v="19.600000000000001"/>
    <n v="35"/>
    <n v="15.4"/>
  </r>
  <r>
    <x v="41"/>
    <n v="168"/>
    <s v="175AP"/>
    <x v="2"/>
    <x v="57"/>
    <n v="2099.1600000000003"/>
    <n v="0.42000000000000004"/>
    <x v="2"/>
    <x v="0"/>
    <x v="3"/>
    <n v="12.495000000000001"/>
    <n v="29.75"/>
    <n v="17.254999999999999"/>
  </r>
  <r>
    <x v="41"/>
    <n v="180"/>
    <s v="BL579"/>
    <x v="4"/>
    <x v="50"/>
    <n v="3303.7200000000012"/>
    <n v="0.42000000000000004"/>
    <x v="4"/>
    <x v="3"/>
    <x v="1"/>
    <n v="18.354000000000003"/>
    <n v="43.7"/>
    <n v="25.346"/>
  </r>
  <r>
    <x v="42"/>
    <n v="276"/>
    <s v="255YN"/>
    <x v="2"/>
    <x v="9"/>
    <n v="2732.3999999999996"/>
    <n v="0.43999999999999995"/>
    <x v="2"/>
    <x v="0"/>
    <x v="0"/>
    <n v="9.8999999999999986"/>
    <n v="22.5"/>
    <n v="12.600000000000001"/>
  </r>
  <r>
    <x v="42"/>
    <n v="120"/>
    <s v="255YN"/>
    <x v="0"/>
    <x v="58"/>
    <n v="1187.9999999999998"/>
    <n v="0.43999999999999995"/>
    <x v="0"/>
    <x v="0"/>
    <x v="0"/>
    <n v="9.8999999999999986"/>
    <n v="22.5"/>
    <n v="12.600000000000001"/>
  </r>
  <r>
    <x v="43"/>
    <n v="96"/>
    <s v="100CR"/>
    <x v="4"/>
    <x v="16"/>
    <n v="1881.6"/>
    <n v="0.56000000000000005"/>
    <x v="4"/>
    <x v="3"/>
    <x v="4"/>
    <n v="19.600000000000001"/>
    <n v="35"/>
    <n v="15.4"/>
  </r>
  <r>
    <x v="43"/>
    <n v="216"/>
    <s v="255YN"/>
    <x v="2"/>
    <x v="11"/>
    <n v="2138.3999999999996"/>
    <n v="0.43999999999999995"/>
    <x v="2"/>
    <x v="0"/>
    <x v="0"/>
    <n v="9.8999999999999986"/>
    <n v="22.5"/>
    <n v="12.600000000000001"/>
  </r>
  <r>
    <x v="44"/>
    <n v="48"/>
    <s v="QA430"/>
    <x v="4"/>
    <x v="53"/>
    <n v="277.19999999999993"/>
    <n v="0.3299999999999999"/>
    <x v="4"/>
    <x v="3"/>
    <x v="2"/>
    <n v="5.7749999999999986"/>
    <n v="17.5"/>
    <n v="11.725000000000001"/>
  </r>
  <r>
    <x v="44"/>
    <n v="24"/>
    <s v="255YN"/>
    <x v="4"/>
    <x v="59"/>
    <n v="237.59999999999997"/>
    <n v="0.43999999999999995"/>
    <x v="4"/>
    <x v="3"/>
    <x v="0"/>
    <n v="9.8999999999999986"/>
    <n v="22.5"/>
    <n v="12.600000000000001"/>
  </r>
  <r>
    <x v="44"/>
    <n v="228"/>
    <s v="BL579"/>
    <x v="2"/>
    <x v="60"/>
    <n v="4184.7120000000004"/>
    <n v="0.42000000000000004"/>
    <x v="2"/>
    <x v="0"/>
    <x v="1"/>
    <n v="18.354000000000003"/>
    <n v="43.7"/>
    <n v="25.346"/>
  </r>
  <r>
    <x v="44"/>
    <n v="120"/>
    <s v="255YN"/>
    <x v="1"/>
    <x v="58"/>
    <n v="1187.9999999999998"/>
    <n v="0.43999999999999995"/>
    <x v="1"/>
    <x v="1"/>
    <x v="0"/>
    <n v="9.8999999999999986"/>
    <n v="22.5"/>
    <n v="12.600000000000001"/>
  </r>
  <r>
    <x v="45"/>
    <n v="180"/>
    <s v="255YN"/>
    <x v="2"/>
    <x v="21"/>
    <n v="1781.9999999999995"/>
    <n v="0.43999999999999995"/>
    <x v="2"/>
    <x v="0"/>
    <x v="0"/>
    <n v="9.8999999999999986"/>
    <n v="22.5"/>
    <n v="12.600000000000001"/>
  </r>
  <r>
    <x v="45"/>
    <n v="108"/>
    <s v="BL579"/>
    <x v="1"/>
    <x v="61"/>
    <n v="1982.2320000000004"/>
    <n v="0.42000000000000004"/>
    <x v="1"/>
    <x v="1"/>
    <x v="1"/>
    <n v="18.354000000000003"/>
    <n v="43.7"/>
    <n v="25.346"/>
  </r>
  <r>
    <x v="46"/>
    <n v="288"/>
    <s v="BL579"/>
    <x v="1"/>
    <x v="49"/>
    <n v="5285.9520000000002"/>
    <n v="0.42000000000000004"/>
    <x v="1"/>
    <x v="1"/>
    <x v="1"/>
    <n v="18.354000000000003"/>
    <n v="43.7"/>
    <n v="25.346"/>
  </r>
  <r>
    <x v="46"/>
    <n v="24"/>
    <s v="100CR"/>
    <x v="2"/>
    <x v="53"/>
    <n v="470.4"/>
    <n v="0.56000000000000005"/>
    <x v="2"/>
    <x v="0"/>
    <x v="4"/>
    <n v="19.600000000000001"/>
    <n v="35"/>
    <n v="15.4"/>
  </r>
  <r>
    <x v="46"/>
    <n v="168"/>
    <s v="100CR"/>
    <x v="4"/>
    <x v="48"/>
    <n v="3292.7999999999997"/>
    <n v="0.56000000000000005"/>
    <x v="4"/>
    <x v="3"/>
    <x v="4"/>
    <n v="19.600000000000001"/>
    <n v="35"/>
    <n v="15.4"/>
  </r>
  <r>
    <x v="46"/>
    <n v="192"/>
    <s v="100CR"/>
    <x v="2"/>
    <x v="62"/>
    <n v="3763.2"/>
    <n v="0.56000000000000005"/>
    <x v="2"/>
    <x v="0"/>
    <x v="4"/>
    <n v="19.600000000000001"/>
    <n v="35"/>
    <n v="15.4"/>
  </r>
  <r>
    <x v="46"/>
    <n v="288"/>
    <s v="100CR"/>
    <x v="1"/>
    <x v="63"/>
    <n v="5644.8"/>
    <n v="0.56000000000000005"/>
    <x v="1"/>
    <x v="1"/>
    <x v="4"/>
    <n v="19.600000000000001"/>
    <n v="35"/>
    <n v="15.4"/>
  </r>
  <r>
    <x v="47"/>
    <n v="72"/>
    <s v="175AP"/>
    <x v="4"/>
    <x v="19"/>
    <n v="899.6400000000001"/>
    <n v="0.42000000000000004"/>
    <x v="4"/>
    <x v="3"/>
    <x v="3"/>
    <n v="12.495000000000001"/>
    <n v="29.75"/>
    <n v="17.254999999999999"/>
  </r>
  <r>
    <x v="48"/>
    <n v="24"/>
    <s v="BL579"/>
    <x v="4"/>
    <x v="64"/>
    <n v="440.49600000000021"/>
    <n v="0.42000000000000004"/>
    <x v="4"/>
    <x v="3"/>
    <x v="1"/>
    <n v="18.354000000000003"/>
    <n v="43.7"/>
    <n v="25.346"/>
  </r>
  <r>
    <x v="49"/>
    <n v="48"/>
    <s v="175AP"/>
    <x v="0"/>
    <x v="22"/>
    <n v="599.76"/>
    <n v="0.42000000000000004"/>
    <x v="0"/>
    <x v="0"/>
    <x v="3"/>
    <n v="12.495000000000001"/>
    <n v="29.75"/>
    <n v="17.254999999999999"/>
  </r>
  <r>
    <x v="50"/>
    <n v="288"/>
    <s v="255YN"/>
    <x v="0"/>
    <x v="65"/>
    <n v="2851.2"/>
    <n v="0.43999999999999995"/>
    <x v="0"/>
    <x v="0"/>
    <x v="0"/>
    <n v="9.8999999999999986"/>
    <n v="22.5"/>
    <n v="12.600000000000001"/>
  </r>
  <r>
    <x v="50"/>
    <n v="204"/>
    <s v="BL579"/>
    <x v="4"/>
    <x v="1"/>
    <n v="3744.2160000000013"/>
    <n v="0.42000000000000004"/>
    <x v="4"/>
    <x v="3"/>
    <x v="1"/>
    <n v="18.354000000000003"/>
    <n v="43.7"/>
    <n v="25.346"/>
  </r>
  <r>
    <x v="51"/>
    <n v="132"/>
    <s v="255YN"/>
    <x v="2"/>
    <x v="66"/>
    <n v="1306.7999999999997"/>
    <n v="0.43999999999999995"/>
    <x v="2"/>
    <x v="0"/>
    <x v="0"/>
    <n v="9.8999999999999986"/>
    <n v="22.5"/>
    <n v="12.600000000000001"/>
  </r>
  <r>
    <x v="51"/>
    <n v="72"/>
    <s v="QA430"/>
    <x v="1"/>
    <x v="3"/>
    <n v="415.79999999999995"/>
    <n v="0.3299999999999999"/>
    <x v="1"/>
    <x v="1"/>
    <x v="2"/>
    <n v="5.7749999999999986"/>
    <n v="17.5"/>
    <n v="11.725000000000001"/>
  </r>
  <r>
    <x v="51"/>
    <n v="24"/>
    <s v="QA430"/>
    <x v="2"/>
    <x v="23"/>
    <n v="138.59999999999997"/>
    <n v="0.3299999999999999"/>
    <x v="2"/>
    <x v="0"/>
    <x v="2"/>
    <n v="5.7749999999999986"/>
    <n v="17.5"/>
    <n v="11.725000000000001"/>
  </r>
  <r>
    <x v="52"/>
    <n v="156"/>
    <s v="100CR"/>
    <x v="1"/>
    <x v="54"/>
    <n v="3057.6"/>
    <n v="0.56000000000000005"/>
    <x v="1"/>
    <x v="1"/>
    <x v="4"/>
    <n v="19.600000000000001"/>
    <n v="35"/>
    <n v="15.4"/>
  </r>
  <r>
    <x v="52"/>
    <n v="252"/>
    <s v="175AP"/>
    <x v="0"/>
    <x v="67"/>
    <n v="3148.7400000000007"/>
    <n v="0.42000000000000004"/>
    <x v="0"/>
    <x v="0"/>
    <x v="3"/>
    <n v="12.495000000000001"/>
    <n v="29.75"/>
    <n v="17.254999999999999"/>
  </r>
  <r>
    <x v="53"/>
    <n v="24"/>
    <s v="BL579"/>
    <x v="4"/>
    <x v="64"/>
    <n v="440.49600000000021"/>
    <n v="0.42000000000000004"/>
    <x v="4"/>
    <x v="3"/>
    <x v="1"/>
    <n v="18.354000000000003"/>
    <n v="43.7"/>
    <n v="25.346"/>
  </r>
  <r>
    <x v="54"/>
    <n v="84"/>
    <s v="QA430"/>
    <x v="0"/>
    <x v="10"/>
    <n v="485.09999999999991"/>
    <n v="0.3299999999999999"/>
    <x v="0"/>
    <x v="0"/>
    <x v="2"/>
    <n v="5.7749999999999986"/>
    <n v="17.5"/>
    <n v="11.725000000000001"/>
  </r>
  <r>
    <x v="55"/>
    <n v="276"/>
    <s v="QA430"/>
    <x v="1"/>
    <x v="68"/>
    <n v="1593.8999999999996"/>
    <n v="0.3299999999999999"/>
    <x v="1"/>
    <x v="1"/>
    <x v="2"/>
    <n v="5.7749999999999986"/>
    <n v="17.5"/>
    <n v="11.725000000000001"/>
  </r>
  <r>
    <x v="55"/>
    <n v="120"/>
    <s v="255YN"/>
    <x v="4"/>
    <x v="58"/>
    <n v="1187.9999999999998"/>
    <n v="0.43999999999999995"/>
    <x v="4"/>
    <x v="3"/>
    <x v="0"/>
    <n v="9.8999999999999986"/>
    <n v="22.5"/>
    <n v="12.600000000000001"/>
  </r>
  <r>
    <x v="55"/>
    <n v="108"/>
    <s v="100CR"/>
    <x v="2"/>
    <x v="12"/>
    <n v="2116.8000000000002"/>
    <n v="0.56000000000000005"/>
    <x v="2"/>
    <x v="0"/>
    <x v="4"/>
    <n v="19.600000000000001"/>
    <n v="35"/>
    <n v="15.4"/>
  </r>
  <r>
    <x v="55"/>
    <n v="264"/>
    <s v="255YN"/>
    <x v="1"/>
    <x v="69"/>
    <n v="2613.5999999999995"/>
    <n v="0.43999999999999995"/>
    <x v="1"/>
    <x v="1"/>
    <x v="0"/>
    <n v="9.8999999999999986"/>
    <n v="22.5"/>
    <n v="12.600000000000001"/>
  </r>
  <r>
    <x v="55"/>
    <n v="204"/>
    <s v="175AP"/>
    <x v="1"/>
    <x v="30"/>
    <n v="2548.98"/>
    <n v="0.42000000000000004"/>
    <x v="1"/>
    <x v="1"/>
    <x v="3"/>
    <n v="12.495000000000001"/>
    <n v="29.75"/>
    <n v="17.254999999999999"/>
  </r>
  <r>
    <x v="56"/>
    <n v="72"/>
    <s v="175AP"/>
    <x v="4"/>
    <x v="19"/>
    <n v="899.6400000000001"/>
    <n v="0.42000000000000004"/>
    <x v="4"/>
    <x v="3"/>
    <x v="3"/>
    <n v="12.495000000000001"/>
    <n v="29.75"/>
    <n v="17.254999999999999"/>
  </r>
  <r>
    <x v="57"/>
    <n v="276"/>
    <s v="QA430"/>
    <x v="3"/>
    <x v="68"/>
    <n v="1593.8999999999996"/>
    <n v="0.3299999999999999"/>
    <x v="3"/>
    <x v="2"/>
    <x v="2"/>
    <n v="5.7749999999999986"/>
    <n v="17.5"/>
    <n v="11.725000000000001"/>
  </r>
  <r>
    <x v="57"/>
    <n v="24"/>
    <s v="255YN"/>
    <x v="2"/>
    <x v="59"/>
    <n v="237.59999999999997"/>
    <n v="0.43999999999999995"/>
    <x v="2"/>
    <x v="0"/>
    <x v="0"/>
    <n v="9.8999999999999986"/>
    <n v="22.5"/>
    <n v="12.600000000000001"/>
  </r>
  <r>
    <x v="57"/>
    <n v="240"/>
    <s v="100CR"/>
    <x v="2"/>
    <x v="70"/>
    <n v="4704"/>
    <n v="0.56000000000000005"/>
    <x v="2"/>
    <x v="0"/>
    <x v="4"/>
    <n v="19.600000000000001"/>
    <n v="35"/>
    <n v="15.4"/>
  </r>
  <r>
    <x v="57"/>
    <n v="228"/>
    <s v="QA430"/>
    <x v="1"/>
    <x v="71"/>
    <n v="1316.6999999999998"/>
    <n v="0.3299999999999999"/>
    <x v="1"/>
    <x v="1"/>
    <x v="2"/>
    <n v="5.7749999999999986"/>
    <n v="17.5"/>
    <n v="11.725000000000001"/>
  </r>
  <r>
    <x v="58"/>
    <n v="48"/>
    <s v="255YN"/>
    <x v="1"/>
    <x v="72"/>
    <n v="475.19999999999993"/>
    <n v="0.43999999999999995"/>
    <x v="1"/>
    <x v="1"/>
    <x v="0"/>
    <n v="9.8999999999999986"/>
    <n v="22.5"/>
    <n v="12.600000000000001"/>
  </r>
  <r>
    <x v="59"/>
    <n v="156"/>
    <s v="BL579"/>
    <x v="3"/>
    <x v="73"/>
    <n v="2863.2240000000006"/>
    <n v="0.42000000000000004"/>
    <x v="3"/>
    <x v="2"/>
    <x v="1"/>
    <n v="18.354000000000003"/>
    <n v="43.7"/>
    <n v="25.346"/>
  </r>
  <r>
    <x v="59"/>
    <n v="48"/>
    <s v="100CR"/>
    <x v="3"/>
    <x v="45"/>
    <n v="940.8"/>
    <n v="0.56000000000000005"/>
    <x v="3"/>
    <x v="2"/>
    <x v="4"/>
    <n v="19.600000000000001"/>
    <n v="35"/>
    <n v="15.4"/>
  </r>
  <r>
    <x v="59"/>
    <n v="48"/>
    <s v="100CR"/>
    <x v="0"/>
    <x v="45"/>
    <n v="940.8"/>
    <n v="0.56000000000000005"/>
    <x v="0"/>
    <x v="0"/>
    <x v="4"/>
    <n v="19.600000000000001"/>
    <n v="35"/>
    <n v="15.4"/>
  </r>
  <r>
    <x v="60"/>
    <n v="240"/>
    <s v="100CR"/>
    <x v="3"/>
    <x v="70"/>
    <n v="4704"/>
    <n v="0.56000000000000005"/>
    <x v="3"/>
    <x v="2"/>
    <x v="4"/>
    <n v="19.600000000000001"/>
    <n v="35"/>
    <n v="15.4"/>
  </r>
  <r>
    <x v="60"/>
    <n v="192"/>
    <s v="BL579"/>
    <x v="0"/>
    <x v="74"/>
    <n v="3523.9680000000017"/>
    <n v="0.42000000000000004"/>
    <x v="0"/>
    <x v="0"/>
    <x v="1"/>
    <n v="18.354000000000003"/>
    <n v="43.7"/>
    <n v="25.346"/>
  </r>
  <r>
    <x v="61"/>
    <n v="300"/>
    <s v="BL579"/>
    <x v="4"/>
    <x v="75"/>
    <n v="5506.2"/>
    <n v="0.42000000000000004"/>
    <x v="4"/>
    <x v="3"/>
    <x v="1"/>
    <n v="18.354000000000003"/>
    <n v="43.7"/>
    <n v="25.346"/>
  </r>
  <r>
    <x v="61"/>
    <n v="180"/>
    <s v="255YN"/>
    <x v="3"/>
    <x v="21"/>
    <n v="1781.9999999999995"/>
    <n v="0.43999999999999995"/>
    <x v="3"/>
    <x v="2"/>
    <x v="0"/>
    <n v="9.8999999999999986"/>
    <n v="22.5"/>
    <n v="12.600000000000001"/>
  </r>
  <r>
    <x v="62"/>
    <n v="156"/>
    <s v="175AP"/>
    <x v="4"/>
    <x v="76"/>
    <n v="1949.2200000000003"/>
    <n v="0.42000000000000004"/>
    <x v="4"/>
    <x v="3"/>
    <x v="3"/>
    <n v="12.495000000000001"/>
    <n v="29.75"/>
    <n v="17.254999999999999"/>
  </r>
  <r>
    <x v="62"/>
    <n v="84"/>
    <s v="BL579"/>
    <x v="2"/>
    <x v="77"/>
    <n v="1541.7360000000003"/>
    <n v="0.42000000000000004"/>
    <x v="2"/>
    <x v="0"/>
    <x v="1"/>
    <n v="18.354000000000003"/>
    <n v="43.7"/>
    <n v="25.346"/>
  </r>
  <r>
    <x v="63"/>
    <n v="132"/>
    <s v="255YN"/>
    <x v="4"/>
    <x v="66"/>
    <n v="1306.7999999999997"/>
    <n v="0.43999999999999995"/>
    <x v="4"/>
    <x v="3"/>
    <x v="0"/>
    <n v="9.8999999999999986"/>
    <n v="22.5"/>
    <n v="12.600000000000001"/>
  </r>
  <r>
    <x v="63"/>
    <n v="156"/>
    <s v="BL579"/>
    <x v="1"/>
    <x v="73"/>
    <n v="2863.2240000000006"/>
    <n v="0.42000000000000004"/>
    <x v="1"/>
    <x v="1"/>
    <x v="1"/>
    <n v="18.354000000000003"/>
    <n v="43.7"/>
    <n v="25.346"/>
  </r>
  <r>
    <x v="63"/>
    <n v="204"/>
    <s v="100CR"/>
    <x v="4"/>
    <x v="78"/>
    <n v="3998.4"/>
    <n v="0.56000000000000005"/>
    <x v="4"/>
    <x v="3"/>
    <x v="4"/>
    <n v="19.600000000000001"/>
    <n v="35"/>
    <n v="15.4"/>
  </r>
  <r>
    <x v="64"/>
    <n v="168"/>
    <s v="255YN"/>
    <x v="3"/>
    <x v="12"/>
    <n v="1663.1999999999998"/>
    <n v="0.43999999999999995"/>
    <x v="3"/>
    <x v="2"/>
    <x v="0"/>
    <n v="9.8999999999999986"/>
    <n v="22.5"/>
    <n v="12.600000000000001"/>
  </r>
  <r>
    <x v="65"/>
    <n v="84"/>
    <s v="QA430"/>
    <x v="2"/>
    <x v="10"/>
    <n v="485.09999999999991"/>
    <n v="0.3299999999999999"/>
    <x v="2"/>
    <x v="0"/>
    <x v="2"/>
    <n v="5.7749999999999986"/>
    <n v="17.5"/>
    <n v="11.725000000000001"/>
  </r>
  <r>
    <x v="65"/>
    <n v="204"/>
    <s v="100CR"/>
    <x v="4"/>
    <x v="78"/>
    <n v="3998.4"/>
    <n v="0.56000000000000005"/>
    <x v="4"/>
    <x v="3"/>
    <x v="4"/>
    <n v="19.600000000000001"/>
    <n v="35"/>
    <n v="15.4"/>
  </r>
  <r>
    <x v="65"/>
    <n v="60"/>
    <s v="BL579"/>
    <x v="1"/>
    <x v="52"/>
    <n v="1101.24"/>
    <n v="0.42000000000000004"/>
    <x v="1"/>
    <x v="1"/>
    <x v="1"/>
    <n v="18.354000000000003"/>
    <n v="43.7"/>
    <n v="25.346"/>
  </r>
  <r>
    <x v="66"/>
    <n v="132"/>
    <s v="QA430"/>
    <x v="0"/>
    <x v="14"/>
    <n v="762.29999999999973"/>
    <n v="0.3299999999999999"/>
    <x v="0"/>
    <x v="0"/>
    <x v="2"/>
    <n v="5.7749999999999986"/>
    <n v="17.5"/>
    <n v="11.725000000000001"/>
  </r>
  <r>
    <x v="67"/>
    <n v="132"/>
    <s v="255YN"/>
    <x v="1"/>
    <x v="66"/>
    <n v="1306.7999999999997"/>
    <n v="0.43999999999999995"/>
    <x v="1"/>
    <x v="1"/>
    <x v="0"/>
    <n v="9.8999999999999986"/>
    <n v="22.5"/>
    <n v="12.600000000000001"/>
  </r>
  <r>
    <x v="67"/>
    <n v="252"/>
    <s v="175AP"/>
    <x v="1"/>
    <x v="67"/>
    <n v="3148.7400000000007"/>
    <n v="0.42000000000000004"/>
    <x v="1"/>
    <x v="1"/>
    <x v="3"/>
    <n v="12.495000000000001"/>
    <n v="29.75"/>
    <n v="17.254999999999999"/>
  </r>
  <r>
    <x v="68"/>
    <n v="60"/>
    <s v="QA430"/>
    <x v="4"/>
    <x v="47"/>
    <n v="346.49999999999989"/>
    <n v="0.3299999999999999"/>
    <x v="4"/>
    <x v="3"/>
    <x v="2"/>
    <n v="5.7749999999999986"/>
    <n v="17.5"/>
    <n v="11.725000000000001"/>
  </r>
  <r>
    <x v="68"/>
    <n v="144"/>
    <s v="QA430"/>
    <x v="3"/>
    <x v="51"/>
    <n v="831.59999999999991"/>
    <n v="0.3299999999999999"/>
    <x v="3"/>
    <x v="2"/>
    <x v="2"/>
    <n v="5.7749999999999986"/>
    <n v="17.5"/>
    <n v="11.725000000000001"/>
  </r>
  <r>
    <x v="69"/>
    <n v="228"/>
    <s v="100CR"/>
    <x v="0"/>
    <x v="27"/>
    <n v="4468.7999999999993"/>
    <n v="0.56000000000000005"/>
    <x v="0"/>
    <x v="0"/>
    <x v="4"/>
    <n v="19.600000000000001"/>
    <n v="35"/>
    <n v="15.4"/>
  </r>
  <r>
    <x v="69"/>
    <n v="240"/>
    <s v="175AP"/>
    <x v="3"/>
    <x v="78"/>
    <n v="2998.8"/>
    <n v="0.42000000000000004"/>
    <x v="3"/>
    <x v="2"/>
    <x v="3"/>
    <n v="12.495000000000001"/>
    <n v="29.75"/>
    <n v="17.254999999999999"/>
  </r>
  <r>
    <x v="70"/>
    <n v="204"/>
    <s v="QA430"/>
    <x v="0"/>
    <x v="28"/>
    <n v="1178.0999999999999"/>
    <n v="0.3299999999999999"/>
    <x v="0"/>
    <x v="0"/>
    <x v="2"/>
    <n v="5.7749999999999986"/>
    <n v="17.5"/>
    <n v="11.725000000000001"/>
  </r>
  <r>
    <x v="71"/>
    <n v="300"/>
    <s v="QA430"/>
    <x v="3"/>
    <x v="55"/>
    <n v="1732.4999999999995"/>
    <n v="0.3299999999999999"/>
    <x v="3"/>
    <x v="2"/>
    <x v="2"/>
    <n v="5.7749999999999986"/>
    <n v="17.5"/>
    <n v="11.725000000000001"/>
  </r>
  <r>
    <x v="71"/>
    <n v="252"/>
    <s v="BL579"/>
    <x v="0"/>
    <x v="17"/>
    <n v="4625.2080000000014"/>
    <n v="0.42000000000000004"/>
    <x v="0"/>
    <x v="0"/>
    <x v="1"/>
    <n v="18.354000000000003"/>
    <n v="43.7"/>
    <n v="25.346"/>
  </r>
  <r>
    <x v="72"/>
    <n v="84"/>
    <s v="100CR"/>
    <x v="2"/>
    <x v="43"/>
    <n v="1646.3999999999999"/>
    <n v="0.56000000000000005"/>
    <x v="2"/>
    <x v="0"/>
    <x v="4"/>
    <n v="19.600000000000001"/>
    <n v="35"/>
    <n v="15.4"/>
  </r>
  <r>
    <x v="72"/>
    <n v="24"/>
    <s v="100CR"/>
    <x v="0"/>
    <x v="53"/>
    <n v="470.4"/>
    <n v="0.56000000000000005"/>
    <x v="0"/>
    <x v="0"/>
    <x v="4"/>
    <n v="19.600000000000001"/>
    <n v="35"/>
    <n v="15.4"/>
  </r>
  <r>
    <x v="73"/>
    <n v="264"/>
    <s v="255YN"/>
    <x v="4"/>
    <x v="69"/>
    <n v="2613.5999999999995"/>
    <n v="0.43999999999999995"/>
    <x v="4"/>
    <x v="3"/>
    <x v="0"/>
    <n v="9.8999999999999986"/>
    <n v="22.5"/>
    <n v="12.600000000000001"/>
  </r>
  <r>
    <x v="73"/>
    <n v="192"/>
    <s v="175AP"/>
    <x v="3"/>
    <x v="42"/>
    <n v="2399.04"/>
    <n v="0.42000000000000004"/>
    <x v="3"/>
    <x v="2"/>
    <x v="3"/>
    <n v="12.495000000000001"/>
    <n v="29.75"/>
    <n v="17.254999999999999"/>
  </r>
  <r>
    <x v="73"/>
    <n v="48"/>
    <s v="100CR"/>
    <x v="4"/>
    <x v="45"/>
    <n v="940.8"/>
    <n v="0.56000000000000005"/>
    <x v="4"/>
    <x v="3"/>
    <x v="4"/>
    <n v="19.600000000000001"/>
    <n v="35"/>
    <n v="15.4"/>
  </r>
  <r>
    <x v="74"/>
    <n v="144"/>
    <s v="255YN"/>
    <x v="2"/>
    <x v="33"/>
    <n v="1425.6"/>
    <n v="0.43999999999999995"/>
    <x v="2"/>
    <x v="0"/>
    <x v="0"/>
    <n v="9.8999999999999986"/>
    <n v="22.5"/>
    <n v="12.600000000000001"/>
  </r>
  <r>
    <x v="75"/>
    <n v="252"/>
    <s v="100CR"/>
    <x v="0"/>
    <x v="34"/>
    <n v="4939.2"/>
    <n v="0.56000000000000005"/>
    <x v="0"/>
    <x v="0"/>
    <x v="4"/>
    <n v="19.600000000000001"/>
    <n v="35"/>
    <n v="15.4"/>
  </r>
  <r>
    <x v="75"/>
    <n v="36"/>
    <s v="255YN"/>
    <x v="2"/>
    <x v="36"/>
    <n v="356.4"/>
    <n v="0.43999999999999995"/>
    <x v="2"/>
    <x v="0"/>
    <x v="0"/>
    <n v="9.8999999999999986"/>
    <n v="22.5"/>
    <n v="12.600000000000001"/>
  </r>
  <r>
    <x v="76"/>
    <n v="240"/>
    <s v="QA430"/>
    <x v="3"/>
    <x v="79"/>
    <n v="1385.9999999999995"/>
    <n v="0.3299999999999999"/>
    <x v="3"/>
    <x v="2"/>
    <x v="2"/>
    <n v="5.7749999999999986"/>
    <n v="17.5"/>
    <n v="11.725000000000001"/>
  </r>
  <r>
    <x v="77"/>
    <n v="228"/>
    <s v="QA430"/>
    <x v="4"/>
    <x v="71"/>
    <n v="1316.6999999999998"/>
    <n v="0.3299999999999999"/>
    <x v="4"/>
    <x v="3"/>
    <x v="2"/>
    <n v="5.7749999999999986"/>
    <n v="17.5"/>
    <n v="11.725000000000001"/>
  </r>
  <r>
    <x v="77"/>
    <n v="36"/>
    <s v="QA430"/>
    <x v="2"/>
    <x v="80"/>
    <n v="207.89999999999998"/>
    <n v="0.3299999999999999"/>
    <x v="2"/>
    <x v="0"/>
    <x v="2"/>
    <n v="5.7749999999999986"/>
    <n v="17.5"/>
    <n v="11.725000000000001"/>
  </r>
  <r>
    <x v="77"/>
    <n v="12"/>
    <s v="255YN"/>
    <x v="4"/>
    <x v="81"/>
    <n v="118.79999999999998"/>
    <n v="0.43999999999999995"/>
    <x v="4"/>
    <x v="3"/>
    <x v="0"/>
    <n v="9.8999999999999986"/>
    <n v="22.5"/>
    <n v="12.600000000000001"/>
  </r>
  <r>
    <x v="78"/>
    <n v="132"/>
    <s v="100CR"/>
    <x v="4"/>
    <x v="82"/>
    <n v="2587.1999999999998"/>
    <n v="0.56000000000000005"/>
    <x v="4"/>
    <x v="3"/>
    <x v="4"/>
    <n v="19.600000000000001"/>
    <n v="35"/>
    <n v="15.4"/>
  </r>
  <r>
    <x v="78"/>
    <n v="192"/>
    <s v="175AP"/>
    <x v="2"/>
    <x v="42"/>
    <n v="2399.04"/>
    <n v="0.42000000000000004"/>
    <x v="2"/>
    <x v="0"/>
    <x v="3"/>
    <n v="12.495000000000001"/>
    <n v="29.75"/>
    <n v="17.254999999999999"/>
  </r>
  <r>
    <x v="79"/>
    <n v="156"/>
    <s v="255YN"/>
    <x v="1"/>
    <x v="0"/>
    <n v="1544.3999999999999"/>
    <n v="0.43999999999999995"/>
    <x v="1"/>
    <x v="1"/>
    <x v="0"/>
    <n v="9.8999999999999986"/>
    <n v="22.5"/>
    <n v="12.600000000000001"/>
  </r>
  <r>
    <x v="80"/>
    <n v="288"/>
    <s v="BL579"/>
    <x v="3"/>
    <x v="49"/>
    <n v="5285.9520000000002"/>
    <n v="0.42000000000000004"/>
    <x v="3"/>
    <x v="2"/>
    <x v="1"/>
    <n v="18.354000000000003"/>
    <n v="43.7"/>
    <n v="25.346"/>
  </r>
  <r>
    <x v="81"/>
    <n v="288"/>
    <s v="255YN"/>
    <x v="2"/>
    <x v="65"/>
    <n v="2851.2"/>
    <n v="0.43999999999999995"/>
    <x v="2"/>
    <x v="0"/>
    <x v="0"/>
    <n v="9.8999999999999986"/>
    <n v="22.5"/>
    <n v="12.600000000000001"/>
  </r>
  <r>
    <x v="81"/>
    <n v="204"/>
    <s v="BL579"/>
    <x v="1"/>
    <x v="1"/>
    <n v="3744.2160000000013"/>
    <n v="0.42000000000000004"/>
    <x v="1"/>
    <x v="1"/>
    <x v="1"/>
    <n v="18.354000000000003"/>
    <n v="43.7"/>
    <n v="25.346"/>
  </r>
  <r>
    <x v="82"/>
    <n v="72"/>
    <s v="QA430"/>
    <x v="3"/>
    <x v="3"/>
    <n v="415.79999999999995"/>
    <n v="0.3299999999999999"/>
    <x v="3"/>
    <x v="2"/>
    <x v="2"/>
    <n v="5.7749999999999986"/>
    <n v="17.5"/>
    <n v="11.725000000000001"/>
  </r>
  <r>
    <x v="82"/>
    <n v="240"/>
    <s v="175AP"/>
    <x v="3"/>
    <x v="78"/>
    <n v="2998.8"/>
    <n v="0.42000000000000004"/>
    <x v="3"/>
    <x v="2"/>
    <x v="3"/>
    <n v="12.495000000000001"/>
    <n v="29.75"/>
    <n v="17.254999999999999"/>
  </r>
  <r>
    <x v="83"/>
    <n v="168"/>
    <s v="100CR"/>
    <x v="1"/>
    <x v="48"/>
    <n v="3292.7999999999997"/>
    <n v="0.56000000000000005"/>
    <x v="1"/>
    <x v="1"/>
    <x v="4"/>
    <n v="19.600000000000001"/>
    <n v="35"/>
    <n v="15.4"/>
  </r>
  <r>
    <x v="83"/>
    <n v="24"/>
    <s v="255YN"/>
    <x v="4"/>
    <x v="59"/>
    <n v="237.59999999999997"/>
    <n v="0.43999999999999995"/>
    <x v="4"/>
    <x v="3"/>
    <x v="0"/>
    <n v="9.8999999999999986"/>
    <n v="22.5"/>
    <n v="12.600000000000001"/>
  </r>
  <r>
    <x v="83"/>
    <n v="48"/>
    <s v="175AP"/>
    <x v="1"/>
    <x v="22"/>
    <n v="599.76"/>
    <n v="0.42000000000000004"/>
    <x v="1"/>
    <x v="1"/>
    <x v="3"/>
    <n v="12.495000000000001"/>
    <n v="29.75"/>
    <n v="17.254999999999999"/>
  </r>
  <r>
    <x v="84"/>
    <n v="216"/>
    <s v="100CR"/>
    <x v="2"/>
    <x v="40"/>
    <n v="4233.6000000000004"/>
    <n v="0.56000000000000005"/>
    <x v="2"/>
    <x v="0"/>
    <x v="4"/>
    <n v="19.600000000000001"/>
    <n v="35"/>
    <n v="15.4"/>
  </r>
  <r>
    <x v="85"/>
    <n v="252"/>
    <s v="255YN"/>
    <x v="1"/>
    <x v="26"/>
    <n v="2494.7999999999997"/>
    <n v="0.43999999999999995"/>
    <x v="1"/>
    <x v="1"/>
    <x v="0"/>
    <n v="9.8999999999999986"/>
    <n v="22.5"/>
    <n v="12.600000000000001"/>
  </r>
  <r>
    <x v="86"/>
    <n v="252"/>
    <s v="100CR"/>
    <x v="2"/>
    <x v="34"/>
    <n v="4939.2"/>
    <n v="0.56000000000000005"/>
    <x v="2"/>
    <x v="0"/>
    <x v="4"/>
    <n v="19.600000000000001"/>
    <n v="35"/>
    <n v="15.4"/>
  </r>
  <r>
    <x v="87"/>
    <n v="72"/>
    <s v="175AP"/>
    <x v="2"/>
    <x v="19"/>
    <n v="899.6400000000001"/>
    <n v="0.42000000000000004"/>
    <x v="2"/>
    <x v="0"/>
    <x v="3"/>
    <n v="12.495000000000001"/>
    <n v="29.75"/>
    <n v="17.254999999999999"/>
  </r>
  <r>
    <x v="87"/>
    <n v="96"/>
    <s v="BL579"/>
    <x v="2"/>
    <x v="25"/>
    <n v="1761.9840000000008"/>
    <n v="0.42000000000000004"/>
    <x v="2"/>
    <x v="0"/>
    <x v="1"/>
    <n v="18.354000000000003"/>
    <n v="43.7"/>
    <n v="25.346"/>
  </r>
  <r>
    <x v="88"/>
    <n v="216"/>
    <s v="BL579"/>
    <x v="1"/>
    <x v="38"/>
    <n v="3964.4640000000009"/>
    <n v="0.42000000000000004"/>
    <x v="1"/>
    <x v="1"/>
    <x v="1"/>
    <n v="18.354000000000003"/>
    <n v="43.7"/>
    <n v="25.346"/>
  </r>
  <r>
    <x v="89"/>
    <n v="120"/>
    <s v="QA430"/>
    <x v="0"/>
    <x v="35"/>
    <n v="692.99999999999977"/>
    <n v="0.3299999999999999"/>
    <x v="0"/>
    <x v="0"/>
    <x v="2"/>
    <n v="5.7749999999999986"/>
    <n v="17.5"/>
    <n v="11.725000000000001"/>
  </r>
  <r>
    <x v="89"/>
    <n v="156"/>
    <s v="175AP"/>
    <x v="2"/>
    <x v="76"/>
    <n v="1949.2200000000003"/>
    <n v="0.42000000000000004"/>
    <x v="2"/>
    <x v="0"/>
    <x v="3"/>
    <n v="12.495000000000001"/>
    <n v="29.75"/>
    <n v="17.254999999999999"/>
  </r>
  <r>
    <x v="89"/>
    <n v="168"/>
    <s v="BL579"/>
    <x v="1"/>
    <x v="7"/>
    <n v="3083.4720000000007"/>
    <n v="0.42000000000000004"/>
    <x v="1"/>
    <x v="1"/>
    <x v="1"/>
    <n v="18.354000000000003"/>
    <n v="43.7"/>
    <n v="25.346"/>
  </r>
  <r>
    <x v="90"/>
    <n v="144"/>
    <s v="255YN"/>
    <x v="3"/>
    <x v="33"/>
    <n v="1425.6"/>
    <n v="0.43999999999999995"/>
    <x v="3"/>
    <x v="2"/>
    <x v="0"/>
    <n v="9.8999999999999986"/>
    <n v="22.5"/>
    <n v="12.600000000000001"/>
  </r>
  <r>
    <x v="91"/>
    <n v="276"/>
    <s v="QA430"/>
    <x v="1"/>
    <x v="68"/>
    <n v="1593.8999999999996"/>
    <n v="0.3299999999999999"/>
    <x v="1"/>
    <x v="1"/>
    <x v="2"/>
    <n v="5.7749999999999986"/>
    <n v="17.5"/>
    <n v="11.725000000000001"/>
  </r>
  <r>
    <x v="92"/>
    <n v="156"/>
    <s v="255YN"/>
    <x v="2"/>
    <x v="0"/>
    <n v="1544.3999999999999"/>
    <n v="0.43999999999999995"/>
    <x v="2"/>
    <x v="0"/>
    <x v="0"/>
    <n v="9.8999999999999986"/>
    <n v="22.5"/>
    <n v="12.600000000000001"/>
  </r>
  <r>
    <x v="93"/>
    <n v="96"/>
    <s v="255YN"/>
    <x v="0"/>
    <x v="83"/>
    <n v="950.39999999999986"/>
    <n v="0.43999999999999995"/>
    <x v="0"/>
    <x v="0"/>
    <x v="0"/>
    <n v="9.8999999999999986"/>
    <n v="22.5"/>
    <n v="12.600000000000001"/>
  </r>
  <r>
    <x v="93"/>
    <n v="276"/>
    <s v="175AP"/>
    <x v="2"/>
    <x v="84"/>
    <n v="3448.62"/>
    <n v="0.42000000000000004"/>
    <x v="2"/>
    <x v="0"/>
    <x v="3"/>
    <n v="12.495000000000001"/>
    <n v="29.75"/>
    <n v="17.254999999999999"/>
  </r>
  <r>
    <x v="94"/>
    <n v="276"/>
    <s v="255YN"/>
    <x v="3"/>
    <x v="9"/>
    <n v="2732.3999999999996"/>
    <n v="0.43999999999999995"/>
    <x v="3"/>
    <x v="2"/>
    <x v="0"/>
    <n v="9.8999999999999986"/>
    <n v="22.5"/>
    <n v="12.600000000000001"/>
  </r>
  <r>
    <x v="95"/>
    <n v="84"/>
    <s v="175AP"/>
    <x v="1"/>
    <x v="6"/>
    <n v="1049.5800000000002"/>
    <n v="0.42000000000000004"/>
    <x v="1"/>
    <x v="1"/>
    <x v="3"/>
    <n v="12.495000000000001"/>
    <n v="29.75"/>
    <n v="17.254999999999999"/>
  </r>
  <r>
    <x v="95"/>
    <n v="108"/>
    <s v="QA430"/>
    <x v="2"/>
    <x v="85"/>
    <n v="623.69999999999982"/>
    <n v="0.3299999999999999"/>
    <x v="2"/>
    <x v="0"/>
    <x v="2"/>
    <n v="5.7749999999999986"/>
    <n v="17.5"/>
    <n v="11.725000000000001"/>
  </r>
  <r>
    <x v="96"/>
    <n v="192"/>
    <s v="100CR"/>
    <x v="4"/>
    <x v="62"/>
    <n v="3763.2"/>
    <n v="0.56000000000000005"/>
    <x v="4"/>
    <x v="3"/>
    <x v="4"/>
    <n v="19.600000000000001"/>
    <n v="35"/>
    <n v="15.4"/>
  </r>
  <r>
    <x v="97"/>
    <n v="180"/>
    <s v="100CR"/>
    <x v="3"/>
    <x v="39"/>
    <n v="3528"/>
    <n v="0.56000000000000005"/>
    <x v="3"/>
    <x v="2"/>
    <x v="4"/>
    <n v="19.600000000000001"/>
    <n v="35"/>
    <n v="15.4"/>
  </r>
  <r>
    <x v="97"/>
    <n v="192"/>
    <s v="255YN"/>
    <x v="2"/>
    <x v="86"/>
    <n v="1900.7999999999997"/>
    <n v="0.43999999999999995"/>
    <x v="2"/>
    <x v="0"/>
    <x v="0"/>
    <n v="9.8999999999999986"/>
    <n v="22.5"/>
    <n v="12.600000000000001"/>
  </r>
  <r>
    <x v="98"/>
    <n v="72"/>
    <s v="100CR"/>
    <x v="1"/>
    <x v="51"/>
    <n v="1411.2"/>
    <n v="0.56000000000000005"/>
    <x v="1"/>
    <x v="1"/>
    <x v="4"/>
    <n v="19.600000000000001"/>
    <n v="35"/>
    <n v="15.4"/>
  </r>
  <r>
    <x v="98"/>
    <n v="216"/>
    <s v="BL579"/>
    <x v="3"/>
    <x v="38"/>
    <n v="3964.4640000000009"/>
    <n v="0.42000000000000004"/>
    <x v="3"/>
    <x v="2"/>
    <x v="1"/>
    <n v="18.354000000000003"/>
    <n v="43.7"/>
    <n v="25.346"/>
  </r>
  <r>
    <x v="98"/>
    <n v="288"/>
    <s v="175AP"/>
    <x v="3"/>
    <x v="32"/>
    <n v="3598.5600000000004"/>
    <n v="0.42000000000000004"/>
    <x v="3"/>
    <x v="2"/>
    <x v="3"/>
    <n v="12.495000000000001"/>
    <n v="29.75"/>
    <n v="17.254999999999999"/>
  </r>
  <r>
    <x v="98"/>
    <n v="252"/>
    <s v="255YN"/>
    <x v="4"/>
    <x v="26"/>
    <n v="2494.7999999999997"/>
    <n v="0.43999999999999995"/>
    <x v="4"/>
    <x v="3"/>
    <x v="0"/>
    <n v="9.8999999999999986"/>
    <n v="22.5"/>
    <n v="12.600000000000001"/>
  </r>
  <r>
    <x v="98"/>
    <n v="276"/>
    <s v="100CR"/>
    <x v="3"/>
    <x v="87"/>
    <n v="5409.5999999999995"/>
    <n v="0.56000000000000005"/>
    <x v="3"/>
    <x v="2"/>
    <x v="4"/>
    <n v="19.600000000000001"/>
    <n v="35"/>
    <n v="15.4"/>
  </r>
  <r>
    <x v="99"/>
    <n v="216"/>
    <s v="BL579"/>
    <x v="4"/>
    <x v="38"/>
    <n v="3964.4640000000009"/>
    <n v="0.42000000000000004"/>
    <x v="4"/>
    <x v="3"/>
    <x v="1"/>
    <n v="18.354000000000003"/>
    <n v="43.7"/>
    <n v="25.346"/>
  </r>
  <r>
    <x v="100"/>
    <n v="24"/>
    <s v="175AP"/>
    <x v="1"/>
    <x v="15"/>
    <n v="299.88"/>
    <n v="0.42000000000000004"/>
    <x v="1"/>
    <x v="1"/>
    <x v="3"/>
    <n v="12.495000000000001"/>
    <n v="29.75"/>
    <n v="17.254999999999999"/>
  </r>
  <r>
    <x v="101"/>
    <n v="120"/>
    <s v="175AP"/>
    <x v="2"/>
    <x v="28"/>
    <n v="1499.4"/>
    <n v="0.42000000000000004"/>
    <x v="2"/>
    <x v="0"/>
    <x v="3"/>
    <n v="12.495000000000001"/>
    <n v="29.75"/>
    <n v="17.254999999999999"/>
  </r>
  <r>
    <x v="102"/>
    <n v="120"/>
    <s v="BL579"/>
    <x v="2"/>
    <x v="88"/>
    <n v="2202.48"/>
    <n v="0.42000000000000004"/>
    <x v="2"/>
    <x v="0"/>
    <x v="1"/>
    <n v="18.354000000000003"/>
    <n v="43.7"/>
    <n v="25.346"/>
  </r>
  <r>
    <x v="103"/>
    <n v="132"/>
    <s v="BL579"/>
    <x v="4"/>
    <x v="31"/>
    <n v="2422.7280000000005"/>
    <n v="0.42000000000000004"/>
    <x v="4"/>
    <x v="3"/>
    <x v="1"/>
    <n v="18.354000000000003"/>
    <n v="43.7"/>
    <n v="25.346"/>
  </r>
  <r>
    <x v="104"/>
    <n v="156"/>
    <s v="BL579"/>
    <x v="0"/>
    <x v="73"/>
    <n v="2863.2240000000006"/>
    <n v="0.42000000000000004"/>
    <x v="0"/>
    <x v="0"/>
    <x v="1"/>
    <n v="18.354000000000003"/>
    <n v="43.7"/>
    <n v="25.346"/>
  </r>
  <r>
    <x v="104"/>
    <n v="144"/>
    <s v="255YN"/>
    <x v="2"/>
    <x v="33"/>
    <n v="1425.6"/>
    <n v="0.43999999999999995"/>
    <x v="2"/>
    <x v="0"/>
    <x v="0"/>
    <n v="9.8999999999999986"/>
    <n v="22.5"/>
    <n v="12.600000000000001"/>
  </r>
  <r>
    <x v="105"/>
    <n v="156"/>
    <s v="255YN"/>
    <x v="4"/>
    <x v="0"/>
    <n v="1544.3999999999999"/>
    <n v="0.43999999999999995"/>
    <x v="4"/>
    <x v="3"/>
    <x v="0"/>
    <n v="9.8999999999999986"/>
    <n v="22.5"/>
    <n v="12.600000000000001"/>
  </r>
  <r>
    <x v="106"/>
    <n v="204"/>
    <s v="255YN"/>
    <x v="4"/>
    <x v="89"/>
    <n v="2019.6"/>
    <n v="0.43999999999999995"/>
    <x v="4"/>
    <x v="3"/>
    <x v="0"/>
    <n v="9.8999999999999986"/>
    <n v="22.5"/>
    <n v="12.600000000000001"/>
  </r>
  <r>
    <x v="106"/>
    <n v="288"/>
    <s v="255YN"/>
    <x v="2"/>
    <x v="65"/>
    <n v="2851.2"/>
    <n v="0.43999999999999995"/>
    <x v="2"/>
    <x v="0"/>
    <x v="0"/>
    <n v="9.8999999999999986"/>
    <n v="22.5"/>
    <n v="12.600000000000001"/>
  </r>
  <r>
    <x v="106"/>
    <n v="48"/>
    <s v="BL579"/>
    <x v="1"/>
    <x v="5"/>
    <n v="880.99200000000042"/>
    <n v="0.42000000000000004"/>
    <x v="1"/>
    <x v="1"/>
    <x v="1"/>
    <n v="18.354000000000003"/>
    <n v="43.7"/>
    <n v="25.346"/>
  </r>
  <r>
    <x v="106"/>
    <n v="120"/>
    <s v="100CR"/>
    <x v="4"/>
    <x v="79"/>
    <n v="2352"/>
    <n v="0.56000000000000005"/>
    <x v="4"/>
    <x v="3"/>
    <x v="4"/>
    <n v="19.600000000000001"/>
    <n v="35"/>
    <n v="15.4"/>
  </r>
  <r>
    <x v="107"/>
    <n v="132"/>
    <s v="QA430"/>
    <x v="0"/>
    <x v="14"/>
    <n v="762.29999999999973"/>
    <n v="0.3299999999999999"/>
    <x v="0"/>
    <x v="0"/>
    <x v="2"/>
    <n v="5.7749999999999986"/>
    <n v="17.5"/>
    <n v="11.725000000000001"/>
  </r>
  <r>
    <x v="107"/>
    <n v="264"/>
    <s v="255YN"/>
    <x v="3"/>
    <x v="69"/>
    <n v="2613.5999999999995"/>
    <n v="0.43999999999999995"/>
    <x v="3"/>
    <x v="2"/>
    <x v="0"/>
    <n v="9.8999999999999986"/>
    <n v="22.5"/>
    <n v="12.600000000000001"/>
  </r>
  <r>
    <x v="108"/>
    <n v="288"/>
    <s v="BL579"/>
    <x v="0"/>
    <x v="49"/>
    <n v="5285.9520000000002"/>
    <n v="0.42000000000000004"/>
    <x v="0"/>
    <x v="0"/>
    <x v="1"/>
    <n v="18.354000000000003"/>
    <n v="43.7"/>
    <n v="25.346"/>
  </r>
  <r>
    <x v="109"/>
    <n v="288"/>
    <s v="BL579"/>
    <x v="3"/>
    <x v="49"/>
    <n v="5285.9520000000002"/>
    <n v="0.42000000000000004"/>
    <x v="3"/>
    <x v="2"/>
    <x v="1"/>
    <n v="18.354000000000003"/>
    <n v="43.7"/>
    <n v="25.346"/>
  </r>
  <r>
    <x v="110"/>
    <n v="216"/>
    <s v="100CR"/>
    <x v="4"/>
    <x v="40"/>
    <n v="4233.6000000000004"/>
    <n v="0.56000000000000005"/>
    <x v="4"/>
    <x v="3"/>
    <x v="4"/>
    <n v="19.600000000000001"/>
    <n v="35"/>
    <n v="15.4"/>
  </r>
  <r>
    <x v="110"/>
    <n v="300"/>
    <s v="175AP"/>
    <x v="3"/>
    <x v="90"/>
    <n v="3748.5"/>
    <n v="0.42000000000000004"/>
    <x v="3"/>
    <x v="2"/>
    <x v="3"/>
    <n v="12.495000000000001"/>
    <n v="29.75"/>
    <n v="17.254999999999999"/>
  </r>
  <r>
    <x v="111"/>
    <n v="288"/>
    <s v="QA430"/>
    <x v="1"/>
    <x v="91"/>
    <n v="1663.1999999999998"/>
    <n v="0.3299999999999999"/>
    <x v="1"/>
    <x v="1"/>
    <x v="2"/>
    <n v="5.7749999999999986"/>
    <n v="17.5"/>
    <n v="11.725000000000001"/>
  </r>
  <r>
    <x v="112"/>
    <n v="228"/>
    <s v="255YN"/>
    <x v="2"/>
    <x v="92"/>
    <n v="2257.1999999999998"/>
    <n v="0.43999999999999995"/>
    <x v="2"/>
    <x v="0"/>
    <x v="0"/>
    <n v="9.8999999999999986"/>
    <n v="22.5"/>
    <n v="12.600000000000001"/>
  </r>
  <r>
    <x v="113"/>
    <n v="228"/>
    <s v="BL579"/>
    <x v="0"/>
    <x v="60"/>
    <n v="4184.7120000000004"/>
    <n v="0.42000000000000004"/>
    <x v="0"/>
    <x v="0"/>
    <x v="1"/>
    <n v="18.354000000000003"/>
    <n v="43.7"/>
    <n v="25.346"/>
  </r>
  <r>
    <x v="114"/>
    <n v="288"/>
    <s v="100CR"/>
    <x v="0"/>
    <x v="63"/>
    <n v="5644.8"/>
    <n v="0.56000000000000005"/>
    <x v="0"/>
    <x v="0"/>
    <x v="4"/>
    <n v="19.600000000000001"/>
    <n v="35"/>
    <n v="15.4"/>
  </r>
  <r>
    <x v="115"/>
    <n v="84"/>
    <s v="100CR"/>
    <x v="3"/>
    <x v="43"/>
    <n v="1646.3999999999999"/>
    <n v="0.56000000000000005"/>
    <x v="3"/>
    <x v="2"/>
    <x v="4"/>
    <n v="19.600000000000001"/>
    <n v="35"/>
    <n v="15.4"/>
  </r>
  <r>
    <x v="116"/>
    <n v="84"/>
    <s v="QA430"/>
    <x v="1"/>
    <x v="10"/>
    <n v="485.09999999999991"/>
    <n v="0.3299999999999999"/>
    <x v="1"/>
    <x v="1"/>
    <x v="2"/>
    <n v="5.7749999999999986"/>
    <n v="17.5"/>
    <n v="11.725000000000001"/>
  </r>
  <r>
    <x v="117"/>
    <n v="240"/>
    <s v="175AP"/>
    <x v="4"/>
    <x v="78"/>
    <n v="2998.8"/>
    <n v="0.42000000000000004"/>
    <x v="4"/>
    <x v="3"/>
    <x v="3"/>
    <n v="12.495000000000001"/>
    <n v="29.75"/>
    <n v="17.254999999999999"/>
  </r>
  <r>
    <x v="117"/>
    <n v="192"/>
    <s v="100CR"/>
    <x v="3"/>
    <x v="62"/>
    <n v="3763.2"/>
    <n v="0.56000000000000005"/>
    <x v="3"/>
    <x v="2"/>
    <x v="4"/>
    <n v="19.600000000000001"/>
    <n v="35"/>
    <n v="15.4"/>
  </r>
  <r>
    <x v="118"/>
    <n v="48"/>
    <s v="QA430"/>
    <x v="2"/>
    <x v="53"/>
    <n v="277.19999999999993"/>
    <n v="0.3299999999999999"/>
    <x v="2"/>
    <x v="0"/>
    <x v="2"/>
    <n v="5.7749999999999986"/>
    <n v="17.5"/>
    <n v="11.725000000000001"/>
  </r>
  <r>
    <x v="118"/>
    <n v="60"/>
    <s v="QA430"/>
    <x v="0"/>
    <x v="47"/>
    <n v="346.49999999999989"/>
    <n v="0.3299999999999999"/>
    <x v="0"/>
    <x v="0"/>
    <x v="2"/>
    <n v="5.7749999999999986"/>
    <n v="17.5"/>
    <n v="11.725000000000001"/>
  </r>
  <r>
    <x v="119"/>
    <n v="72"/>
    <s v="255YN"/>
    <x v="3"/>
    <x v="2"/>
    <n v="712.8"/>
    <n v="0.43999999999999995"/>
    <x v="3"/>
    <x v="2"/>
    <x v="0"/>
    <n v="9.8999999999999986"/>
    <n v="22.5"/>
    <n v="12.600000000000001"/>
  </r>
  <r>
    <x v="119"/>
    <n v="192"/>
    <s v="BL579"/>
    <x v="3"/>
    <x v="74"/>
    <n v="3523.9680000000017"/>
    <n v="0.42000000000000004"/>
    <x v="3"/>
    <x v="2"/>
    <x v="1"/>
    <n v="18.354000000000003"/>
    <n v="43.7"/>
    <n v="25.346"/>
  </r>
  <r>
    <x v="119"/>
    <n v="24"/>
    <s v="100CR"/>
    <x v="0"/>
    <x v="53"/>
    <n v="470.4"/>
    <n v="0.56000000000000005"/>
    <x v="0"/>
    <x v="0"/>
    <x v="4"/>
    <n v="19.600000000000001"/>
    <n v="35"/>
    <n v="15.4"/>
  </r>
  <r>
    <x v="120"/>
    <n v="204"/>
    <s v="BL579"/>
    <x v="0"/>
    <x v="1"/>
    <n v="3744.2160000000013"/>
    <n v="0.42000000000000004"/>
    <x v="0"/>
    <x v="0"/>
    <x v="1"/>
    <n v="18.354000000000003"/>
    <n v="43.7"/>
    <n v="25.346"/>
  </r>
  <r>
    <x v="121"/>
    <n v="96"/>
    <s v="175AP"/>
    <x v="1"/>
    <x v="29"/>
    <n v="1199.52"/>
    <n v="0.42000000000000004"/>
    <x v="1"/>
    <x v="1"/>
    <x v="3"/>
    <n v="12.495000000000001"/>
    <n v="29.75"/>
    <n v="17.254999999999999"/>
  </r>
  <r>
    <x v="121"/>
    <n v="240"/>
    <s v="BL579"/>
    <x v="3"/>
    <x v="93"/>
    <n v="4404.96"/>
    <n v="0.42000000000000004"/>
    <x v="3"/>
    <x v="2"/>
    <x v="1"/>
    <n v="18.354000000000003"/>
    <n v="43.7"/>
    <n v="25.346"/>
  </r>
  <r>
    <x v="121"/>
    <n v="228"/>
    <s v="100CR"/>
    <x v="2"/>
    <x v="27"/>
    <n v="4468.7999999999993"/>
    <n v="0.56000000000000005"/>
    <x v="2"/>
    <x v="0"/>
    <x v="4"/>
    <n v="19.600000000000001"/>
    <n v="35"/>
    <n v="15.4"/>
  </r>
  <r>
    <x v="122"/>
    <n v="72"/>
    <s v="QA430"/>
    <x v="4"/>
    <x v="3"/>
    <n v="415.79999999999995"/>
    <n v="0.3299999999999999"/>
    <x v="4"/>
    <x v="3"/>
    <x v="2"/>
    <n v="5.7749999999999986"/>
    <n v="17.5"/>
    <n v="11.725000000000001"/>
  </r>
  <r>
    <x v="122"/>
    <n v="24"/>
    <s v="175AP"/>
    <x v="4"/>
    <x v="15"/>
    <n v="299.88"/>
    <n v="0.42000000000000004"/>
    <x v="4"/>
    <x v="3"/>
    <x v="3"/>
    <n v="12.495000000000001"/>
    <n v="29.75"/>
    <n v="17.254999999999999"/>
  </r>
  <r>
    <x v="123"/>
    <n v="288"/>
    <s v="255YN"/>
    <x v="0"/>
    <x v="65"/>
    <n v="2851.2"/>
    <n v="0.43999999999999995"/>
    <x v="0"/>
    <x v="0"/>
    <x v="0"/>
    <n v="9.8999999999999986"/>
    <n v="22.5"/>
    <n v="12.600000000000001"/>
  </r>
  <r>
    <x v="124"/>
    <n v="48"/>
    <s v="BL579"/>
    <x v="4"/>
    <x v="5"/>
    <n v="880.99200000000042"/>
    <n v="0.42000000000000004"/>
    <x v="4"/>
    <x v="3"/>
    <x v="1"/>
    <n v="18.354000000000003"/>
    <n v="43.7"/>
    <n v="25.346"/>
  </r>
  <r>
    <x v="125"/>
    <n v="144"/>
    <s v="BL579"/>
    <x v="4"/>
    <x v="13"/>
    <n v="2642.9760000000001"/>
    <n v="0.42000000000000004"/>
    <x v="4"/>
    <x v="3"/>
    <x v="1"/>
    <n v="18.354000000000003"/>
    <n v="43.7"/>
    <n v="25.346"/>
  </r>
  <r>
    <x v="126"/>
    <n v="24"/>
    <s v="175AP"/>
    <x v="0"/>
    <x v="15"/>
    <n v="299.88"/>
    <n v="0.42000000000000004"/>
    <x v="0"/>
    <x v="0"/>
    <x v="3"/>
    <n v="12.495000000000001"/>
    <n v="29.75"/>
    <n v="17.254999999999999"/>
  </r>
  <r>
    <x v="127"/>
    <n v="276"/>
    <s v="175AP"/>
    <x v="4"/>
    <x v="84"/>
    <n v="3448.62"/>
    <n v="0.42000000000000004"/>
    <x v="4"/>
    <x v="3"/>
    <x v="3"/>
    <n v="12.495000000000001"/>
    <n v="29.75"/>
    <n v="17.254999999999999"/>
  </r>
  <r>
    <x v="128"/>
    <n v="264"/>
    <s v="QA430"/>
    <x v="4"/>
    <x v="82"/>
    <n v="1524.5999999999995"/>
    <n v="0.3299999999999999"/>
    <x v="4"/>
    <x v="3"/>
    <x v="2"/>
    <n v="5.7749999999999986"/>
    <n v="17.5"/>
    <n v="11.725000000000001"/>
  </r>
  <r>
    <x v="128"/>
    <n v="264"/>
    <s v="175AP"/>
    <x v="0"/>
    <x v="18"/>
    <n v="3298.6800000000003"/>
    <n v="0.42000000000000004"/>
    <x v="0"/>
    <x v="0"/>
    <x v="3"/>
    <n v="12.495000000000001"/>
    <n v="29.75"/>
    <n v="17.254999999999999"/>
  </r>
  <r>
    <x v="128"/>
    <n v="264"/>
    <s v="BL579"/>
    <x v="2"/>
    <x v="94"/>
    <n v="4845.456000000001"/>
    <n v="0.42000000000000004"/>
    <x v="2"/>
    <x v="0"/>
    <x v="1"/>
    <n v="18.354000000000003"/>
    <n v="43.7"/>
    <n v="25.346"/>
  </r>
  <r>
    <x v="128"/>
    <n v="228"/>
    <s v="BL579"/>
    <x v="4"/>
    <x v="60"/>
    <n v="4184.7120000000004"/>
    <n v="0.42000000000000004"/>
    <x v="4"/>
    <x v="3"/>
    <x v="1"/>
    <n v="18.354000000000003"/>
    <n v="43.7"/>
    <n v="25.346"/>
  </r>
  <r>
    <x v="129"/>
    <n v="204"/>
    <s v="QA430"/>
    <x v="1"/>
    <x v="28"/>
    <n v="1178.0999999999999"/>
    <n v="0.3299999999999999"/>
    <x v="1"/>
    <x v="1"/>
    <x v="2"/>
    <n v="5.7749999999999986"/>
    <n v="17.5"/>
    <n v="11.725000000000001"/>
  </r>
  <r>
    <x v="130"/>
    <n v="252"/>
    <s v="175AP"/>
    <x v="1"/>
    <x v="67"/>
    <n v="3148.7400000000007"/>
    <n v="0.42000000000000004"/>
    <x v="1"/>
    <x v="1"/>
    <x v="3"/>
    <n v="12.495000000000001"/>
    <n v="29.75"/>
    <n v="17.254999999999999"/>
  </r>
  <r>
    <x v="130"/>
    <n v="300"/>
    <s v="100CR"/>
    <x v="3"/>
    <x v="56"/>
    <n v="5880"/>
    <n v="0.56000000000000005"/>
    <x v="3"/>
    <x v="2"/>
    <x v="4"/>
    <n v="19.600000000000001"/>
    <n v="35"/>
    <n v="15.4"/>
  </r>
  <r>
    <x v="130"/>
    <n v="288"/>
    <s v="BL579"/>
    <x v="0"/>
    <x v="49"/>
    <n v="5285.9520000000002"/>
    <n v="0.42000000000000004"/>
    <x v="0"/>
    <x v="0"/>
    <x v="1"/>
    <n v="18.354000000000003"/>
    <n v="43.7"/>
    <n v="25.346"/>
  </r>
  <r>
    <x v="131"/>
    <n v="108"/>
    <s v="175AP"/>
    <x v="4"/>
    <x v="95"/>
    <n v="1349.46"/>
    <n v="0.42000000000000004"/>
    <x v="4"/>
    <x v="3"/>
    <x v="3"/>
    <n v="12.495000000000001"/>
    <n v="29.75"/>
    <n v="17.254999999999999"/>
  </r>
  <r>
    <x v="131"/>
    <n v="96"/>
    <s v="255YN"/>
    <x v="3"/>
    <x v="83"/>
    <n v="950.39999999999986"/>
    <n v="0.43999999999999995"/>
    <x v="3"/>
    <x v="2"/>
    <x v="0"/>
    <n v="9.8999999999999986"/>
    <n v="22.5"/>
    <n v="12.600000000000001"/>
  </r>
  <r>
    <x v="131"/>
    <n v="48"/>
    <s v="175AP"/>
    <x v="4"/>
    <x v="22"/>
    <n v="599.76"/>
    <n v="0.42000000000000004"/>
    <x v="4"/>
    <x v="3"/>
    <x v="3"/>
    <n v="12.495000000000001"/>
    <n v="29.75"/>
    <n v="17.254999999999999"/>
  </r>
  <r>
    <x v="132"/>
    <n v="168"/>
    <s v="BL579"/>
    <x v="0"/>
    <x v="7"/>
    <n v="3083.4720000000007"/>
    <n v="0.42000000000000004"/>
    <x v="0"/>
    <x v="0"/>
    <x v="1"/>
    <n v="18.354000000000003"/>
    <n v="43.7"/>
    <n v="25.346"/>
  </r>
  <r>
    <x v="133"/>
    <n v="240"/>
    <s v="255YN"/>
    <x v="0"/>
    <x v="96"/>
    <n v="2375.9999999999995"/>
    <n v="0.43999999999999995"/>
    <x v="0"/>
    <x v="0"/>
    <x v="0"/>
    <n v="9.8999999999999986"/>
    <n v="22.5"/>
    <n v="12.600000000000001"/>
  </r>
  <r>
    <x v="133"/>
    <n v="216"/>
    <s v="255YN"/>
    <x v="2"/>
    <x v="11"/>
    <n v="2138.3999999999996"/>
    <n v="0.43999999999999995"/>
    <x v="2"/>
    <x v="0"/>
    <x v="0"/>
    <n v="9.8999999999999986"/>
    <n v="22.5"/>
    <n v="12.600000000000001"/>
  </r>
  <r>
    <x v="134"/>
    <n v="240"/>
    <s v="175AP"/>
    <x v="0"/>
    <x v="78"/>
    <n v="2998.8"/>
    <n v="0.42000000000000004"/>
    <x v="0"/>
    <x v="0"/>
    <x v="3"/>
    <n v="12.495000000000001"/>
    <n v="29.75"/>
    <n v="17.254999999999999"/>
  </r>
  <r>
    <x v="135"/>
    <n v="84"/>
    <s v="QA430"/>
    <x v="2"/>
    <x v="10"/>
    <n v="485.09999999999991"/>
    <n v="0.3299999999999999"/>
    <x v="2"/>
    <x v="0"/>
    <x v="2"/>
    <n v="5.7749999999999986"/>
    <n v="17.5"/>
    <n v="11.725000000000001"/>
  </r>
  <r>
    <x v="136"/>
    <n v="144"/>
    <s v="175AP"/>
    <x v="3"/>
    <x v="97"/>
    <n v="1799.2800000000002"/>
    <n v="0.42000000000000004"/>
    <x v="3"/>
    <x v="2"/>
    <x v="3"/>
    <n v="12.495000000000001"/>
    <n v="29.75"/>
    <n v="17.254999999999999"/>
  </r>
  <r>
    <x v="136"/>
    <n v="276"/>
    <s v="255YN"/>
    <x v="3"/>
    <x v="9"/>
    <n v="2732.3999999999996"/>
    <n v="0.43999999999999995"/>
    <x v="3"/>
    <x v="2"/>
    <x v="0"/>
    <n v="9.8999999999999986"/>
    <n v="22.5"/>
    <n v="12.600000000000001"/>
  </r>
  <r>
    <x v="137"/>
    <n v="24"/>
    <s v="QA430"/>
    <x v="1"/>
    <x v="23"/>
    <n v="138.59999999999997"/>
    <n v="0.3299999999999999"/>
    <x v="1"/>
    <x v="1"/>
    <x v="2"/>
    <n v="5.7749999999999986"/>
    <n v="17.5"/>
    <n v="11.725000000000001"/>
  </r>
  <r>
    <x v="138"/>
    <n v="216"/>
    <s v="BL579"/>
    <x v="3"/>
    <x v="38"/>
    <n v="3964.4640000000009"/>
    <n v="0.42000000000000004"/>
    <x v="3"/>
    <x v="2"/>
    <x v="1"/>
    <n v="18.354000000000003"/>
    <n v="43.7"/>
    <n v="25.346"/>
  </r>
  <r>
    <x v="139"/>
    <n v="168"/>
    <s v="100CR"/>
    <x v="4"/>
    <x v="48"/>
    <n v="3292.7999999999997"/>
    <n v="0.56000000000000005"/>
    <x v="4"/>
    <x v="3"/>
    <x v="4"/>
    <n v="19.600000000000001"/>
    <n v="35"/>
    <n v="15.4"/>
  </r>
  <r>
    <x v="139"/>
    <n v="72"/>
    <s v="BL579"/>
    <x v="1"/>
    <x v="44"/>
    <n v="1321.4880000000001"/>
    <n v="0.42000000000000004"/>
    <x v="1"/>
    <x v="1"/>
    <x v="1"/>
    <n v="18.354000000000003"/>
    <n v="43.7"/>
    <n v="25.346"/>
  </r>
  <r>
    <x v="140"/>
    <n v="264"/>
    <s v="255YN"/>
    <x v="1"/>
    <x v="69"/>
    <n v="2613.5999999999995"/>
    <n v="0.43999999999999995"/>
    <x v="1"/>
    <x v="1"/>
    <x v="0"/>
    <n v="9.8999999999999986"/>
    <n v="22.5"/>
    <n v="12.600000000000001"/>
  </r>
  <r>
    <x v="140"/>
    <n v="276"/>
    <s v="QA430"/>
    <x v="4"/>
    <x v="68"/>
    <n v="1593.8999999999996"/>
    <n v="0.3299999999999999"/>
    <x v="4"/>
    <x v="3"/>
    <x v="2"/>
    <n v="5.7749999999999986"/>
    <n v="17.5"/>
    <n v="11.725000000000001"/>
  </r>
  <r>
    <x v="141"/>
    <n v="132"/>
    <s v="100CR"/>
    <x v="3"/>
    <x v="82"/>
    <n v="2587.1999999999998"/>
    <n v="0.56000000000000005"/>
    <x v="3"/>
    <x v="2"/>
    <x v="4"/>
    <n v="19.600000000000001"/>
    <n v="35"/>
    <n v="15.4"/>
  </r>
  <r>
    <x v="142"/>
    <n v="204"/>
    <s v="BL579"/>
    <x v="1"/>
    <x v="1"/>
    <n v="3744.2160000000013"/>
    <n v="0.42000000000000004"/>
    <x v="1"/>
    <x v="1"/>
    <x v="1"/>
    <n v="18.354000000000003"/>
    <n v="43.7"/>
    <n v="25.346"/>
  </r>
  <r>
    <x v="143"/>
    <n v="120"/>
    <s v="QA430"/>
    <x v="1"/>
    <x v="35"/>
    <n v="692.99999999999977"/>
    <n v="0.3299999999999999"/>
    <x v="1"/>
    <x v="1"/>
    <x v="2"/>
    <n v="5.7749999999999986"/>
    <n v="17.5"/>
    <n v="11.725000000000001"/>
  </r>
  <r>
    <x v="144"/>
    <n v="48"/>
    <s v="QA430"/>
    <x v="3"/>
    <x v="53"/>
    <n v="277.19999999999993"/>
    <n v="0.3299999999999999"/>
    <x v="3"/>
    <x v="2"/>
    <x v="2"/>
    <n v="5.7749999999999986"/>
    <n v="17.5"/>
    <n v="11.725000000000001"/>
  </r>
  <r>
    <x v="144"/>
    <n v="60"/>
    <s v="255YN"/>
    <x v="0"/>
    <x v="46"/>
    <n v="593.99999999999989"/>
    <n v="0.43999999999999995"/>
    <x v="0"/>
    <x v="0"/>
    <x v="0"/>
    <n v="9.8999999999999986"/>
    <n v="22.5"/>
    <n v="12.600000000000001"/>
  </r>
  <r>
    <x v="144"/>
    <n v="84"/>
    <s v="255YN"/>
    <x v="3"/>
    <x v="85"/>
    <n v="831.59999999999991"/>
    <n v="0.43999999999999995"/>
    <x v="3"/>
    <x v="2"/>
    <x v="0"/>
    <n v="9.8999999999999986"/>
    <n v="22.5"/>
    <n v="12.600000000000001"/>
  </r>
  <r>
    <x v="144"/>
    <n v="216"/>
    <s v="BL579"/>
    <x v="3"/>
    <x v="38"/>
    <n v="3964.4640000000009"/>
    <n v="0.42000000000000004"/>
    <x v="3"/>
    <x v="2"/>
    <x v="1"/>
    <n v="18.354000000000003"/>
    <n v="43.7"/>
    <n v="25.346"/>
  </r>
  <r>
    <x v="145"/>
    <n v="300"/>
    <s v="BL579"/>
    <x v="2"/>
    <x v="75"/>
    <n v="5506.2"/>
    <n v="0.42000000000000004"/>
    <x v="2"/>
    <x v="0"/>
    <x v="1"/>
    <n v="18.354000000000003"/>
    <n v="43.7"/>
    <n v="25.346"/>
  </r>
  <r>
    <x v="146"/>
    <n v="288"/>
    <s v="255YN"/>
    <x v="2"/>
    <x v="65"/>
    <n v="2851.2"/>
    <n v="0.43999999999999995"/>
    <x v="2"/>
    <x v="0"/>
    <x v="0"/>
    <n v="9.8999999999999986"/>
    <n v="22.5"/>
    <n v="12.600000000000001"/>
  </r>
  <r>
    <x v="147"/>
    <n v="288"/>
    <s v="100CR"/>
    <x v="0"/>
    <x v="63"/>
    <n v="5644.8"/>
    <n v="0.56000000000000005"/>
    <x v="0"/>
    <x v="0"/>
    <x v="4"/>
    <n v="19.600000000000001"/>
    <n v="35"/>
    <n v="15.4"/>
  </r>
  <r>
    <x v="147"/>
    <n v="180"/>
    <s v="175AP"/>
    <x v="4"/>
    <x v="8"/>
    <n v="2249.1000000000004"/>
    <n v="0.42000000000000004"/>
    <x v="4"/>
    <x v="3"/>
    <x v="3"/>
    <n v="12.495000000000001"/>
    <n v="29.75"/>
    <n v="17.254999999999999"/>
  </r>
  <r>
    <x v="148"/>
    <n v="132"/>
    <s v="BL579"/>
    <x v="0"/>
    <x v="31"/>
    <n v="2422.7280000000005"/>
    <n v="0.42000000000000004"/>
    <x v="0"/>
    <x v="0"/>
    <x v="1"/>
    <n v="18.354000000000003"/>
    <n v="43.7"/>
    <n v="25.346"/>
  </r>
  <r>
    <x v="149"/>
    <n v="48"/>
    <s v="QA430"/>
    <x v="0"/>
    <x v="53"/>
    <n v="277.19999999999993"/>
    <n v="0.3299999999999999"/>
    <x v="0"/>
    <x v="0"/>
    <x v="2"/>
    <n v="5.7749999999999986"/>
    <n v="17.5"/>
    <n v="11.725000000000001"/>
  </r>
  <r>
    <x v="149"/>
    <n v="96"/>
    <s v="100CR"/>
    <x v="2"/>
    <x v="16"/>
    <n v="1881.6"/>
    <n v="0.56000000000000005"/>
    <x v="2"/>
    <x v="0"/>
    <x v="4"/>
    <n v="19.600000000000001"/>
    <n v="35"/>
    <n v="15.4"/>
  </r>
  <r>
    <x v="150"/>
    <n v="24"/>
    <s v="BL579"/>
    <x v="3"/>
    <x v="64"/>
    <n v="440.49600000000021"/>
    <n v="0.42000000000000004"/>
    <x v="3"/>
    <x v="2"/>
    <x v="1"/>
    <n v="18.354000000000003"/>
    <n v="43.7"/>
    <n v="25.346"/>
  </r>
  <r>
    <x v="151"/>
    <n v="288"/>
    <s v="255YN"/>
    <x v="0"/>
    <x v="65"/>
    <n v="2851.2"/>
    <n v="0.43999999999999995"/>
    <x v="0"/>
    <x v="0"/>
    <x v="0"/>
    <n v="9.8999999999999986"/>
    <n v="22.5"/>
    <n v="12.600000000000001"/>
  </r>
  <r>
    <x v="152"/>
    <n v="36"/>
    <s v="QA430"/>
    <x v="3"/>
    <x v="80"/>
    <n v="207.89999999999998"/>
    <n v="0.3299999999999999"/>
    <x v="3"/>
    <x v="2"/>
    <x v="2"/>
    <n v="5.7749999999999986"/>
    <n v="17.5"/>
    <n v="11.725000000000001"/>
  </r>
  <r>
    <x v="152"/>
    <n v="144"/>
    <s v="BL579"/>
    <x v="0"/>
    <x v="13"/>
    <n v="2642.9760000000001"/>
    <n v="0.42000000000000004"/>
    <x v="0"/>
    <x v="0"/>
    <x v="1"/>
    <n v="18.354000000000003"/>
    <n v="43.7"/>
    <n v="25.346"/>
  </r>
  <r>
    <x v="153"/>
    <n v="216"/>
    <s v="175AP"/>
    <x v="3"/>
    <x v="98"/>
    <n v="2698.92"/>
    <n v="0.42000000000000004"/>
    <x v="3"/>
    <x v="2"/>
    <x v="3"/>
    <n v="12.495000000000001"/>
    <n v="29.75"/>
    <n v="17.254999999999999"/>
  </r>
  <r>
    <x v="154"/>
    <n v="96"/>
    <s v="QA430"/>
    <x v="1"/>
    <x v="45"/>
    <n v="554.39999999999986"/>
    <n v="0.3299999999999999"/>
    <x v="1"/>
    <x v="1"/>
    <x v="2"/>
    <n v="5.7749999999999986"/>
    <n v="17.5"/>
    <n v="11.725000000000001"/>
  </r>
  <r>
    <x v="155"/>
    <n v="180"/>
    <s v="BL579"/>
    <x v="3"/>
    <x v="50"/>
    <n v="3303.7200000000012"/>
    <n v="0.42000000000000004"/>
    <x v="3"/>
    <x v="2"/>
    <x v="1"/>
    <n v="18.354000000000003"/>
    <n v="43.7"/>
    <n v="25.346"/>
  </r>
  <r>
    <x v="155"/>
    <n v="60"/>
    <s v="100CR"/>
    <x v="2"/>
    <x v="35"/>
    <n v="1176"/>
    <n v="0.56000000000000005"/>
    <x v="2"/>
    <x v="0"/>
    <x v="4"/>
    <n v="19.600000000000001"/>
    <n v="35"/>
    <n v="15.4"/>
  </r>
  <r>
    <x v="155"/>
    <n v="252"/>
    <s v="175AP"/>
    <x v="2"/>
    <x v="67"/>
    <n v="3148.7400000000007"/>
    <n v="0.42000000000000004"/>
    <x v="2"/>
    <x v="0"/>
    <x v="3"/>
    <n v="12.495000000000001"/>
    <n v="29.75"/>
    <n v="17.254999999999999"/>
  </r>
  <r>
    <x v="155"/>
    <n v="300"/>
    <s v="255YN"/>
    <x v="2"/>
    <x v="99"/>
    <n v="2969.9999999999995"/>
    <n v="0.43999999999999995"/>
    <x v="2"/>
    <x v="0"/>
    <x v="0"/>
    <n v="9.8999999999999986"/>
    <n v="22.5"/>
    <n v="12.600000000000001"/>
  </r>
  <r>
    <x v="156"/>
    <n v="72"/>
    <s v="BL579"/>
    <x v="4"/>
    <x v="44"/>
    <n v="1321.4880000000001"/>
    <n v="0.42000000000000004"/>
    <x v="4"/>
    <x v="3"/>
    <x v="1"/>
    <n v="18.354000000000003"/>
    <n v="43.7"/>
    <n v="25.346"/>
  </r>
  <r>
    <x v="157"/>
    <n v="276"/>
    <s v="175AP"/>
    <x v="0"/>
    <x v="84"/>
    <n v="3448.62"/>
    <n v="0.42000000000000004"/>
    <x v="0"/>
    <x v="0"/>
    <x v="3"/>
    <n v="12.495000000000001"/>
    <n v="29.75"/>
    <n v="17.254999999999999"/>
  </r>
  <r>
    <x v="157"/>
    <n v="204"/>
    <s v="BL579"/>
    <x v="0"/>
    <x v="1"/>
    <n v="3744.2160000000013"/>
    <n v="0.42000000000000004"/>
    <x v="0"/>
    <x v="0"/>
    <x v="1"/>
    <n v="18.354000000000003"/>
    <n v="43.7"/>
    <n v="25.346"/>
  </r>
  <r>
    <x v="157"/>
    <n v="240"/>
    <s v="100CR"/>
    <x v="3"/>
    <x v="70"/>
    <n v="4704"/>
    <n v="0.56000000000000005"/>
    <x v="3"/>
    <x v="2"/>
    <x v="4"/>
    <n v="19.600000000000001"/>
    <n v="35"/>
    <n v="15.4"/>
  </r>
  <r>
    <x v="158"/>
    <n v="168"/>
    <s v="100CR"/>
    <x v="2"/>
    <x v="48"/>
    <n v="3292.7999999999997"/>
    <n v="0.56000000000000005"/>
    <x v="2"/>
    <x v="0"/>
    <x v="4"/>
    <n v="19.600000000000001"/>
    <n v="35"/>
    <n v="15.4"/>
  </r>
  <r>
    <x v="159"/>
    <n v="252"/>
    <s v="255YN"/>
    <x v="1"/>
    <x v="26"/>
    <n v="2494.7999999999997"/>
    <n v="0.43999999999999995"/>
    <x v="1"/>
    <x v="1"/>
    <x v="0"/>
    <n v="9.8999999999999986"/>
    <n v="22.5"/>
    <n v="12.600000000000001"/>
  </r>
  <r>
    <x v="160"/>
    <n v="192"/>
    <s v="100CR"/>
    <x v="0"/>
    <x v="62"/>
    <n v="3763.2"/>
    <n v="0.56000000000000005"/>
    <x v="0"/>
    <x v="0"/>
    <x v="4"/>
    <n v="19.600000000000001"/>
    <n v="35"/>
    <n v="15.4"/>
  </r>
  <r>
    <x v="161"/>
    <n v="72"/>
    <s v="175AP"/>
    <x v="3"/>
    <x v="19"/>
    <n v="899.6400000000001"/>
    <n v="0.42000000000000004"/>
    <x v="3"/>
    <x v="2"/>
    <x v="3"/>
    <n v="12.495000000000001"/>
    <n v="29.75"/>
    <n v="17.254999999999999"/>
  </r>
  <r>
    <x v="161"/>
    <n v="288"/>
    <s v="BL579"/>
    <x v="3"/>
    <x v="49"/>
    <n v="5285.9520000000002"/>
    <n v="0.42000000000000004"/>
    <x v="3"/>
    <x v="2"/>
    <x v="1"/>
    <n v="18.354000000000003"/>
    <n v="43.7"/>
    <n v="25.346"/>
  </r>
  <r>
    <x v="161"/>
    <n v="24"/>
    <s v="100CR"/>
    <x v="1"/>
    <x v="53"/>
    <n v="470.4"/>
    <n v="0.56000000000000005"/>
    <x v="1"/>
    <x v="1"/>
    <x v="4"/>
    <n v="19.600000000000001"/>
    <n v="35"/>
    <n v="15.4"/>
  </r>
  <r>
    <x v="162"/>
    <n v="156"/>
    <s v="175AP"/>
    <x v="2"/>
    <x v="76"/>
    <n v="1949.2200000000003"/>
    <n v="0.42000000000000004"/>
    <x v="2"/>
    <x v="0"/>
    <x v="3"/>
    <n v="12.495000000000001"/>
    <n v="29.75"/>
    <n v="17.254999999999999"/>
  </r>
  <r>
    <x v="162"/>
    <n v="264"/>
    <s v="100CR"/>
    <x v="2"/>
    <x v="41"/>
    <n v="5174.3999999999996"/>
    <n v="0.56000000000000005"/>
    <x v="2"/>
    <x v="0"/>
    <x v="4"/>
    <n v="19.600000000000001"/>
    <n v="35"/>
    <n v="15.4"/>
  </r>
  <r>
    <x v="163"/>
    <n v="216"/>
    <s v="100CR"/>
    <x v="1"/>
    <x v="40"/>
    <n v="4233.6000000000004"/>
    <n v="0.56000000000000005"/>
    <x v="1"/>
    <x v="1"/>
    <x v="4"/>
    <n v="19.600000000000001"/>
    <n v="35"/>
    <n v="15.4"/>
  </r>
  <r>
    <x v="163"/>
    <n v="204"/>
    <s v="QA430"/>
    <x v="2"/>
    <x v="28"/>
    <n v="1178.0999999999999"/>
    <n v="0.3299999999999999"/>
    <x v="2"/>
    <x v="0"/>
    <x v="2"/>
    <n v="5.7749999999999986"/>
    <n v="17.5"/>
    <n v="11.725000000000001"/>
  </r>
  <r>
    <x v="164"/>
    <n v="132"/>
    <s v="BL579"/>
    <x v="4"/>
    <x v="31"/>
    <n v="2422.7280000000005"/>
    <n v="0.42000000000000004"/>
    <x v="4"/>
    <x v="3"/>
    <x v="1"/>
    <n v="18.354000000000003"/>
    <n v="43.7"/>
    <n v="25.346"/>
  </r>
  <r>
    <x v="164"/>
    <n v="96"/>
    <s v="BL579"/>
    <x v="2"/>
    <x v="25"/>
    <n v="1761.9840000000008"/>
    <n v="0.42000000000000004"/>
    <x v="2"/>
    <x v="0"/>
    <x v="1"/>
    <n v="18.354000000000003"/>
    <n v="43.7"/>
    <n v="25.346"/>
  </r>
  <r>
    <x v="164"/>
    <n v="108"/>
    <s v="QA430"/>
    <x v="2"/>
    <x v="85"/>
    <n v="623.69999999999982"/>
    <n v="0.3299999999999999"/>
    <x v="2"/>
    <x v="0"/>
    <x v="2"/>
    <n v="5.7749999999999986"/>
    <n v="17.5"/>
    <n v="11.725000000000001"/>
  </r>
  <r>
    <x v="165"/>
    <n v="300"/>
    <s v="255YN"/>
    <x v="2"/>
    <x v="99"/>
    <n v="2969.9999999999995"/>
    <n v="0.43999999999999995"/>
    <x v="2"/>
    <x v="0"/>
    <x v="0"/>
    <n v="9.8999999999999986"/>
    <n v="22.5"/>
    <n v="12.600000000000001"/>
  </r>
  <r>
    <x v="165"/>
    <n v="204"/>
    <s v="175AP"/>
    <x v="4"/>
    <x v="30"/>
    <n v="2548.98"/>
    <n v="0.42000000000000004"/>
    <x v="4"/>
    <x v="3"/>
    <x v="3"/>
    <n v="12.495000000000001"/>
    <n v="29.75"/>
    <n v="17.254999999999999"/>
  </r>
  <r>
    <x v="165"/>
    <n v="24"/>
    <s v="255YN"/>
    <x v="1"/>
    <x v="59"/>
    <n v="237.59999999999997"/>
    <n v="0.43999999999999995"/>
    <x v="1"/>
    <x v="1"/>
    <x v="0"/>
    <n v="9.8999999999999986"/>
    <n v="22.5"/>
    <n v="12.600000000000001"/>
  </r>
  <r>
    <x v="166"/>
    <n v="156"/>
    <s v="BL579"/>
    <x v="0"/>
    <x v="73"/>
    <n v="2863.2240000000006"/>
    <n v="0.42000000000000004"/>
    <x v="0"/>
    <x v="0"/>
    <x v="1"/>
    <n v="18.354000000000003"/>
    <n v="43.7"/>
    <n v="25.346"/>
  </r>
  <r>
    <x v="166"/>
    <n v="144"/>
    <s v="QA430"/>
    <x v="1"/>
    <x v="51"/>
    <n v="831.59999999999991"/>
    <n v="0.3299999999999999"/>
    <x v="1"/>
    <x v="1"/>
    <x v="2"/>
    <n v="5.7749999999999986"/>
    <n v="17.5"/>
    <n v="11.725000000000001"/>
  </r>
  <r>
    <x v="166"/>
    <n v="144"/>
    <s v="BL579"/>
    <x v="0"/>
    <x v="13"/>
    <n v="2642.9760000000001"/>
    <n v="0.42000000000000004"/>
    <x v="0"/>
    <x v="0"/>
    <x v="1"/>
    <n v="18.354000000000003"/>
    <n v="43.7"/>
    <n v="25.346"/>
  </r>
  <r>
    <x v="167"/>
    <n v="84"/>
    <s v="QA430"/>
    <x v="0"/>
    <x v="10"/>
    <n v="485.09999999999991"/>
    <n v="0.3299999999999999"/>
    <x v="0"/>
    <x v="0"/>
    <x v="2"/>
    <n v="5.7749999999999986"/>
    <n v="17.5"/>
    <n v="11.725000000000001"/>
  </r>
  <r>
    <x v="168"/>
    <n v="168"/>
    <s v="255YN"/>
    <x v="3"/>
    <x v="12"/>
    <n v="1663.1999999999998"/>
    <n v="0.43999999999999995"/>
    <x v="3"/>
    <x v="2"/>
    <x v="0"/>
    <n v="9.8999999999999986"/>
    <n v="22.5"/>
    <n v="12.600000000000001"/>
  </r>
  <r>
    <x v="168"/>
    <n v="156"/>
    <s v="255YN"/>
    <x v="1"/>
    <x v="0"/>
    <n v="1544.3999999999999"/>
    <n v="0.43999999999999995"/>
    <x v="1"/>
    <x v="1"/>
    <x v="0"/>
    <n v="9.8999999999999986"/>
    <n v="22.5"/>
    <n v="12.600000000000001"/>
  </r>
  <r>
    <x v="168"/>
    <n v="300"/>
    <s v="255YN"/>
    <x v="4"/>
    <x v="99"/>
    <n v="2969.9999999999995"/>
    <n v="0.43999999999999995"/>
    <x v="4"/>
    <x v="3"/>
    <x v="0"/>
    <n v="9.8999999999999986"/>
    <n v="22.5"/>
    <n v="12.600000000000001"/>
  </r>
  <r>
    <x v="169"/>
    <n v="156"/>
    <s v="BL579"/>
    <x v="4"/>
    <x v="73"/>
    <n v="2863.2240000000006"/>
    <n v="0.42000000000000004"/>
    <x v="4"/>
    <x v="3"/>
    <x v="1"/>
    <n v="18.354000000000003"/>
    <n v="43.7"/>
    <n v="25.346"/>
  </r>
  <r>
    <x v="170"/>
    <n v="228"/>
    <s v="255YN"/>
    <x v="3"/>
    <x v="92"/>
    <n v="2257.1999999999998"/>
    <n v="0.43999999999999995"/>
    <x v="3"/>
    <x v="2"/>
    <x v="0"/>
    <n v="9.8999999999999986"/>
    <n v="22.5"/>
    <n v="12.600000000000001"/>
  </r>
  <r>
    <x v="170"/>
    <n v="264"/>
    <s v="BL579"/>
    <x v="4"/>
    <x v="94"/>
    <n v="4845.456000000001"/>
    <n v="0.42000000000000004"/>
    <x v="4"/>
    <x v="3"/>
    <x v="1"/>
    <n v="18.354000000000003"/>
    <n v="43.7"/>
    <n v="25.346"/>
  </r>
  <r>
    <x v="171"/>
    <n v="240"/>
    <s v="QA430"/>
    <x v="3"/>
    <x v="79"/>
    <n v="1385.9999999999995"/>
    <n v="0.3299999999999999"/>
    <x v="3"/>
    <x v="2"/>
    <x v="2"/>
    <n v="5.7749999999999986"/>
    <n v="17.5"/>
    <n v="11.725000000000001"/>
  </r>
  <r>
    <x v="171"/>
    <n v="24"/>
    <s v="BL579"/>
    <x v="4"/>
    <x v="64"/>
    <n v="440.49600000000021"/>
    <n v="0.42000000000000004"/>
    <x v="4"/>
    <x v="3"/>
    <x v="1"/>
    <n v="18.354000000000003"/>
    <n v="43.7"/>
    <n v="25.346"/>
  </r>
  <r>
    <x v="171"/>
    <n v="216"/>
    <s v="175AP"/>
    <x v="0"/>
    <x v="98"/>
    <n v="2698.92"/>
    <n v="0.42000000000000004"/>
    <x v="0"/>
    <x v="0"/>
    <x v="3"/>
    <n v="12.495000000000001"/>
    <n v="29.75"/>
    <n v="17.254999999999999"/>
  </r>
  <r>
    <x v="172"/>
    <n v="72"/>
    <s v="255YN"/>
    <x v="3"/>
    <x v="2"/>
    <n v="712.8"/>
    <n v="0.43999999999999995"/>
    <x v="3"/>
    <x v="2"/>
    <x v="0"/>
    <n v="9.8999999999999986"/>
    <n v="22.5"/>
    <n v="12.600000000000001"/>
  </r>
  <r>
    <x v="172"/>
    <n v="72"/>
    <s v="100CR"/>
    <x v="0"/>
    <x v="51"/>
    <n v="1411.2"/>
    <n v="0.56000000000000005"/>
    <x v="0"/>
    <x v="0"/>
    <x v="4"/>
    <n v="19.600000000000001"/>
    <n v="35"/>
    <n v="15.4"/>
  </r>
  <r>
    <x v="173"/>
    <n v="120"/>
    <s v="BL579"/>
    <x v="3"/>
    <x v="88"/>
    <n v="2202.48"/>
    <n v="0.42000000000000004"/>
    <x v="3"/>
    <x v="2"/>
    <x v="1"/>
    <n v="18.354000000000003"/>
    <n v="43.7"/>
    <n v="25.346"/>
  </r>
  <r>
    <x v="174"/>
    <n v="72"/>
    <s v="175AP"/>
    <x v="0"/>
    <x v="19"/>
    <n v="899.6400000000001"/>
    <n v="0.42000000000000004"/>
    <x v="0"/>
    <x v="0"/>
    <x v="3"/>
    <n v="12.495000000000001"/>
    <n v="29.75"/>
    <n v="17.254999999999999"/>
  </r>
  <r>
    <x v="175"/>
    <n v="60"/>
    <s v="175AP"/>
    <x v="4"/>
    <x v="20"/>
    <n v="749.7"/>
    <n v="0.42000000000000004"/>
    <x v="4"/>
    <x v="3"/>
    <x v="3"/>
    <n v="12.495000000000001"/>
    <n v="29.75"/>
    <n v="17.254999999999999"/>
  </r>
  <r>
    <x v="176"/>
    <n v="108"/>
    <s v="100CR"/>
    <x v="3"/>
    <x v="12"/>
    <n v="2116.8000000000002"/>
    <n v="0.56000000000000005"/>
    <x v="3"/>
    <x v="2"/>
    <x v="4"/>
    <n v="19.600000000000001"/>
    <n v="35"/>
    <n v="15.4"/>
  </r>
  <r>
    <x v="176"/>
    <n v="60"/>
    <s v="QA430"/>
    <x v="1"/>
    <x v="47"/>
    <n v="346.49999999999989"/>
    <n v="0.3299999999999999"/>
    <x v="1"/>
    <x v="1"/>
    <x v="2"/>
    <n v="5.7749999999999986"/>
    <n v="17.5"/>
    <n v="11.725000000000001"/>
  </r>
  <r>
    <x v="177"/>
    <n v="228"/>
    <s v="175AP"/>
    <x v="3"/>
    <x v="100"/>
    <n v="2848.86"/>
    <n v="0.42000000000000004"/>
    <x v="3"/>
    <x v="2"/>
    <x v="3"/>
    <n v="12.495000000000001"/>
    <n v="29.75"/>
    <n v="17.254999999999999"/>
  </r>
  <r>
    <x v="178"/>
    <n v="36"/>
    <s v="QA430"/>
    <x v="3"/>
    <x v="80"/>
    <n v="207.89999999999998"/>
    <n v="0.3299999999999999"/>
    <x v="3"/>
    <x v="2"/>
    <x v="2"/>
    <n v="5.7749999999999986"/>
    <n v="17.5"/>
    <n v="11.725000000000001"/>
  </r>
  <r>
    <x v="178"/>
    <n v="168"/>
    <s v="BL579"/>
    <x v="0"/>
    <x v="7"/>
    <n v="3083.4720000000007"/>
    <n v="0.42000000000000004"/>
    <x v="0"/>
    <x v="0"/>
    <x v="1"/>
    <n v="18.354000000000003"/>
    <n v="43.7"/>
    <n v="25.346"/>
  </r>
  <r>
    <x v="178"/>
    <n v="180"/>
    <s v="QA430"/>
    <x v="3"/>
    <x v="101"/>
    <n v="1039.4999999999995"/>
    <n v="0.3299999999999999"/>
    <x v="3"/>
    <x v="2"/>
    <x v="2"/>
    <n v="5.7749999999999986"/>
    <n v="17.5"/>
    <n v="11.725000000000001"/>
  </r>
  <r>
    <x v="178"/>
    <n v="276"/>
    <s v="100CR"/>
    <x v="2"/>
    <x v="87"/>
    <n v="5409.5999999999995"/>
    <n v="0.56000000000000005"/>
    <x v="2"/>
    <x v="0"/>
    <x v="4"/>
    <n v="19.600000000000001"/>
    <n v="35"/>
    <n v="15.4"/>
  </r>
  <r>
    <x v="178"/>
    <n v="72"/>
    <s v="100CR"/>
    <x v="3"/>
    <x v="51"/>
    <n v="1411.2"/>
    <n v="0.56000000000000005"/>
    <x v="3"/>
    <x v="2"/>
    <x v="4"/>
    <n v="19.600000000000001"/>
    <n v="35"/>
    <n v="15.4"/>
  </r>
  <r>
    <x v="179"/>
    <n v="24"/>
    <s v="QA430"/>
    <x v="0"/>
    <x v="23"/>
    <n v="138.59999999999997"/>
    <n v="0.3299999999999999"/>
    <x v="0"/>
    <x v="0"/>
    <x v="2"/>
    <n v="5.7749999999999986"/>
    <n v="17.5"/>
    <n v="11.725000000000001"/>
  </r>
  <r>
    <x v="180"/>
    <n v="60"/>
    <s v="255YN"/>
    <x v="0"/>
    <x v="46"/>
    <n v="593.99999999999989"/>
    <n v="0.43999999999999995"/>
    <x v="0"/>
    <x v="0"/>
    <x v="0"/>
    <n v="9.8999999999999986"/>
    <n v="22.5"/>
    <n v="12.600000000000001"/>
  </r>
  <r>
    <x v="181"/>
    <n v="108"/>
    <s v="100CR"/>
    <x v="2"/>
    <x v="12"/>
    <n v="2116.8000000000002"/>
    <n v="0.56000000000000005"/>
    <x v="2"/>
    <x v="0"/>
    <x v="4"/>
    <n v="19.600000000000001"/>
    <n v="35"/>
    <n v="15.4"/>
  </r>
  <r>
    <x v="181"/>
    <n v="264"/>
    <s v="175AP"/>
    <x v="4"/>
    <x v="18"/>
    <n v="3298.6800000000003"/>
    <n v="0.42000000000000004"/>
    <x v="4"/>
    <x v="3"/>
    <x v="3"/>
    <n v="12.495000000000001"/>
    <n v="29.75"/>
    <n v="17.254999999999999"/>
  </r>
  <r>
    <x v="182"/>
    <n v="132"/>
    <s v="QA430"/>
    <x v="2"/>
    <x v="14"/>
    <n v="762.29999999999973"/>
    <n v="0.3299999999999999"/>
    <x v="2"/>
    <x v="0"/>
    <x v="2"/>
    <n v="5.7749999999999986"/>
    <n v="17.5"/>
    <n v="11.725000000000001"/>
  </r>
  <r>
    <x v="183"/>
    <n v="48"/>
    <s v="100CR"/>
    <x v="1"/>
    <x v="45"/>
    <n v="940.8"/>
    <n v="0.56000000000000005"/>
    <x v="1"/>
    <x v="1"/>
    <x v="4"/>
    <n v="19.600000000000001"/>
    <n v="35"/>
    <n v="15.4"/>
  </r>
  <r>
    <x v="184"/>
    <n v="252"/>
    <s v="BL579"/>
    <x v="1"/>
    <x v="17"/>
    <n v="4625.2080000000014"/>
    <n v="0.42000000000000004"/>
    <x v="1"/>
    <x v="1"/>
    <x v="1"/>
    <n v="18.354000000000003"/>
    <n v="43.7"/>
    <n v="25.346"/>
  </r>
  <r>
    <x v="184"/>
    <n v="84"/>
    <s v="QA430"/>
    <x v="4"/>
    <x v="10"/>
    <n v="485.09999999999991"/>
    <n v="0.3299999999999999"/>
    <x v="4"/>
    <x v="3"/>
    <x v="2"/>
    <n v="5.7749999999999986"/>
    <n v="17.5"/>
    <n v="11.725000000000001"/>
  </r>
  <r>
    <x v="184"/>
    <n v="48"/>
    <s v="QA430"/>
    <x v="1"/>
    <x v="53"/>
    <n v="277.19999999999993"/>
    <n v="0.3299999999999999"/>
    <x v="1"/>
    <x v="1"/>
    <x v="2"/>
    <n v="5.7749999999999986"/>
    <n v="17.5"/>
    <n v="11.725000000000001"/>
  </r>
  <r>
    <x v="184"/>
    <n v="204"/>
    <s v="QA430"/>
    <x v="0"/>
    <x v="28"/>
    <n v="1178.0999999999999"/>
    <n v="0.3299999999999999"/>
    <x v="0"/>
    <x v="0"/>
    <x v="2"/>
    <n v="5.7749999999999986"/>
    <n v="17.5"/>
    <n v="11.725000000000001"/>
  </r>
  <r>
    <x v="184"/>
    <n v="108"/>
    <s v="175AP"/>
    <x v="3"/>
    <x v="95"/>
    <n v="1349.46"/>
    <n v="0.42000000000000004"/>
    <x v="3"/>
    <x v="2"/>
    <x v="3"/>
    <n v="12.495000000000001"/>
    <n v="29.75"/>
    <n v="17.254999999999999"/>
  </r>
  <r>
    <x v="185"/>
    <n v="288"/>
    <s v="175AP"/>
    <x v="1"/>
    <x v="32"/>
    <n v="3598.5600000000004"/>
    <n v="0.42000000000000004"/>
    <x v="1"/>
    <x v="1"/>
    <x v="3"/>
    <n v="12.495000000000001"/>
    <n v="29.75"/>
    <n v="17.254999999999999"/>
  </r>
  <r>
    <x v="185"/>
    <n v="84"/>
    <s v="BL579"/>
    <x v="4"/>
    <x v="77"/>
    <n v="1541.7360000000003"/>
    <n v="0.42000000000000004"/>
    <x v="4"/>
    <x v="3"/>
    <x v="1"/>
    <n v="18.354000000000003"/>
    <n v="43.7"/>
    <n v="25.346"/>
  </r>
  <r>
    <x v="185"/>
    <n v="120"/>
    <s v="BL579"/>
    <x v="2"/>
    <x v="88"/>
    <n v="2202.48"/>
    <n v="0.42000000000000004"/>
    <x v="2"/>
    <x v="0"/>
    <x v="1"/>
    <n v="18.354000000000003"/>
    <n v="43.7"/>
    <n v="25.346"/>
  </r>
  <r>
    <x v="186"/>
    <n v="192"/>
    <s v="255YN"/>
    <x v="4"/>
    <x v="86"/>
    <n v="1900.7999999999997"/>
    <n v="0.43999999999999995"/>
    <x v="4"/>
    <x v="3"/>
    <x v="0"/>
    <n v="9.8999999999999986"/>
    <n v="22.5"/>
    <n v="12.600000000000001"/>
  </r>
  <r>
    <x v="186"/>
    <n v="48"/>
    <s v="175AP"/>
    <x v="0"/>
    <x v="22"/>
    <n v="599.76"/>
    <n v="0.42000000000000004"/>
    <x v="0"/>
    <x v="0"/>
    <x v="3"/>
    <n v="12.495000000000001"/>
    <n v="29.75"/>
    <n v="17.254999999999999"/>
  </r>
  <r>
    <x v="187"/>
    <n v="84"/>
    <s v="255YN"/>
    <x v="1"/>
    <x v="85"/>
    <n v="831.59999999999991"/>
    <n v="0.43999999999999995"/>
    <x v="1"/>
    <x v="1"/>
    <x v="0"/>
    <n v="9.8999999999999986"/>
    <n v="22.5"/>
    <n v="12.600000000000001"/>
  </r>
  <r>
    <x v="187"/>
    <n v="228"/>
    <s v="100CR"/>
    <x v="4"/>
    <x v="27"/>
    <n v="4468.7999999999993"/>
    <n v="0.56000000000000005"/>
    <x v="4"/>
    <x v="3"/>
    <x v="4"/>
    <n v="19.600000000000001"/>
    <n v="35"/>
    <n v="15.4"/>
  </r>
  <r>
    <x v="187"/>
    <n v="108"/>
    <s v="175AP"/>
    <x v="3"/>
    <x v="95"/>
    <n v="1349.46"/>
    <n v="0.42000000000000004"/>
    <x v="3"/>
    <x v="2"/>
    <x v="3"/>
    <n v="12.495000000000001"/>
    <n v="29.75"/>
    <n v="17.254999999999999"/>
  </r>
  <r>
    <x v="188"/>
    <n v="144"/>
    <s v="QA430"/>
    <x v="1"/>
    <x v="51"/>
    <n v="831.59999999999991"/>
    <n v="0.3299999999999999"/>
    <x v="1"/>
    <x v="1"/>
    <x v="2"/>
    <n v="5.7749999999999986"/>
    <n v="17.5"/>
    <n v="11.725000000000001"/>
  </r>
  <r>
    <x v="188"/>
    <n v="180"/>
    <s v="QA430"/>
    <x v="1"/>
    <x v="101"/>
    <n v="1039.4999999999995"/>
    <n v="0.3299999999999999"/>
    <x v="1"/>
    <x v="1"/>
    <x v="2"/>
    <n v="5.7749999999999986"/>
    <n v="17.5"/>
    <n v="11.725000000000001"/>
  </r>
  <r>
    <x v="189"/>
    <n v="48"/>
    <s v="BL579"/>
    <x v="2"/>
    <x v="5"/>
    <n v="880.99200000000042"/>
    <n v="0.42000000000000004"/>
    <x v="2"/>
    <x v="0"/>
    <x v="1"/>
    <n v="18.354000000000003"/>
    <n v="43.7"/>
    <n v="25.346"/>
  </r>
  <r>
    <x v="189"/>
    <n v="36"/>
    <s v="BL579"/>
    <x v="1"/>
    <x v="4"/>
    <n v="660.74400000000003"/>
    <n v="0.42000000000000004"/>
    <x v="1"/>
    <x v="1"/>
    <x v="1"/>
    <n v="18.354000000000003"/>
    <n v="43.7"/>
    <n v="25.346"/>
  </r>
  <r>
    <x v="190"/>
    <n v="108"/>
    <s v="100CR"/>
    <x v="0"/>
    <x v="12"/>
    <n v="2116.8000000000002"/>
    <n v="0.56000000000000005"/>
    <x v="0"/>
    <x v="0"/>
    <x v="4"/>
    <n v="19.600000000000001"/>
    <n v="35"/>
    <n v="15.4"/>
  </r>
  <r>
    <x v="191"/>
    <n v="156"/>
    <s v="255YN"/>
    <x v="4"/>
    <x v="0"/>
    <n v="1544.3999999999999"/>
    <n v="0.43999999999999995"/>
    <x v="4"/>
    <x v="3"/>
    <x v="0"/>
    <n v="9.8999999999999986"/>
    <n v="22.5"/>
    <n v="12.600000000000001"/>
  </r>
  <r>
    <x v="191"/>
    <n v="120"/>
    <s v="255YN"/>
    <x v="4"/>
    <x v="58"/>
    <n v="1187.9999999999998"/>
    <n v="0.43999999999999995"/>
    <x v="4"/>
    <x v="3"/>
    <x v="0"/>
    <n v="9.8999999999999986"/>
    <n v="22.5"/>
    <n v="12.600000000000001"/>
  </r>
  <r>
    <x v="191"/>
    <n v="276"/>
    <s v="255YN"/>
    <x v="1"/>
    <x v="9"/>
    <n v="2732.3999999999996"/>
    <n v="0.43999999999999995"/>
    <x v="1"/>
    <x v="1"/>
    <x v="0"/>
    <n v="9.8999999999999986"/>
    <n v="22.5"/>
    <n v="12.600000000000001"/>
  </r>
  <r>
    <x v="192"/>
    <n v="216"/>
    <s v="QA430"/>
    <x v="3"/>
    <x v="12"/>
    <n v="1247.3999999999996"/>
    <n v="0.3299999999999999"/>
    <x v="3"/>
    <x v="2"/>
    <x v="2"/>
    <n v="5.7749999999999986"/>
    <n v="17.5"/>
    <n v="11.725000000000001"/>
  </r>
  <r>
    <x v="192"/>
    <n v="120"/>
    <s v="BL579"/>
    <x v="3"/>
    <x v="88"/>
    <n v="2202.48"/>
    <n v="0.42000000000000004"/>
    <x v="3"/>
    <x v="2"/>
    <x v="1"/>
    <n v="18.354000000000003"/>
    <n v="43.7"/>
    <n v="25.346"/>
  </r>
  <r>
    <x v="192"/>
    <n v="252"/>
    <s v="100CR"/>
    <x v="4"/>
    <x v="34"/>
    <n v="4939.2"/>
    <n v="0.56000000000000005"/>
    <x v="4"/>
    <x v="3"/>
    <x v="4"/>
    <n v="19.600000000000001"/>
    <n v="35"/>
    <n v="15.4"/>
  </r>
  <r>
    <x v="193"/>
    <n v="72"/>
    <s v="BL579"/>
    <x v="1"/>
    <x v="44"/>
    <n v="1321.4880000000001"/>
    <n v="0.42000000000000004"/>
    <x v="1"/>
    <x v="1"/>
    <x v="1"/>
    <n v="18.354000000000003"/>
    <n v="43.7"/>
    <n v="25.346"/>
  </r>
  <r>
    <x v="193"/>
    <n v="132"/>
    <s v="255YN"/>
    <x v="3"/>
    <x v="66"/>
    <n v="1306.7999999999997"/>
    <n v="0.43999999999999995"/>
    <x v="3"/>
    <x v="2"/>
    <x v="0"/>
    <n v="9.8999999999999986"/>
    <n v="22.5"/>
    <n v="12.600000000000001"/>
  </r>
  <r>
    <x v="193"/>
    <n v="264"/>
    <s v="100CR"/>
    <x v="1"/>
    <x v="41"/>
    <n v="5174.3999999999996"/>
    <n v="0.56000000000000005"/>
    <x v="1"/>
    <x v="1"/>
    <x v="4"/>
    <n v="19.600000000000001"/>
    <n v="35"/>
    <n v="15.4"/>
  </r>
  <r>
    <x v="194"/>
    <n v="264"/>
    <s v="BL579"/>
    <x v="1"/>
    <x v="94"/>
    <n v="4845.456000000001"/>
    <n v="0.42000000000000004"/>
    <x v="1"/>
    <x v="1"/>
    <x v="1"/>
    <n v="18.354000000000003"/>
    <n v="43.7"/>
    <n v="25.346"/>
  </r>
  <r>
    <x v="194"/>
    <n v="192"/>
    <s v="BL579"/>
    <x v="0"/>
    <x v="74"/>
    <n v="3523.9680000000017"/>
    <n v="0.42000000000000004"/>
    <x v="0"/>
    <x v="0"/>
    <x v="1"/>
    <n v="18.354000000000003"/>
    <n v="43.7"/>
    <n v="25.346"/>
  </r>
  <r>
    <x v="194"/>
    <n v="120"/>
    <s v="255YN"/>
    <x v="0"/>
    <x v="58"/>
    <n v="1187.9999999999998"/>
    <n v="0.43999999999999995"/>
    <x v="0"/>
    <x v="0"/>
    <x v="0"/>
    <n v="9.8999999999999986"/>
    <n v="22.5"/>
    <n v="12.600000000000001"/>
  </r>
  <r>
    <x v="195"/>
    <n v="192"/>
    <s v="BL579"/>
    <x v="4"/>
    <x v="74"/>
    <n v="3523.9680000000017"/>
    <n v="0.42000000000000004"/>
    <x v="4"/>
    <x v="3"/>
    <x v="1"/>
    <n v="18.354000000000003"/>
    <n v="43.7"/>
    <n v="25.346"/>
  </r>
  <r>
    <x v="196"/>
    <n v="264"/>
    <s v="100CR"/>
    <x v="1"/>
    <x v="41"/>
    <n v="5174.3999999999996"/>
    <n v="0.56000000000000005"/>
    <x v="1"/>
    <x v="1"/>
    <x v="4"/>
    <n v="19.600000000000001"/>
    <n v="35"/>
    <n v="15.4"/>
  </r>
  <r>
    <x v="196"/>
    <n v="180"/>
    <s v="BL579"/>
    <x v="3"/>
    <x v="50"/>
    <n v="3303.7200000000012"/>
    <n v="0.42000000000000004"/>
    <x v="3"/>
    <x v="2"/>
    <x v="1"/>
    <n v="18.354000000000003"/>
    <n v="43.7"/>
    <n v="25.346"/>
  </r>
  <r>
    <x v="197"/>
    <n v="96"/>
    <s v="175AP"/>
    <x v="0"/>
    <x v="29"/>
    <n v="1199.52"/>
    <n v="0.42000000000000004"/>
    <x v="0"/>
    <x v="0"/>
    <x v="3"/>
    <n v="12.495000000000001"/>
    <n v="29.75"/>
    <n v="17.254999999999999"/>
  </r>
  <r>
    <x v="197"/>
    <n v="240"/>
    <s v="255YN"/>
    <x v="0"/>
    <x v="96"/>
    <n v="2375.9999999999995"/>
    <n v="0.43999999999999995"/>
    <x v="0"/>
    <x v="0"/>
    <x v="0"/>
    <n v="9.8999999999999986"/>
    <n v="22.5"/>
    <n v="12.600000000000001"/>
  </r>
  <r>
    <x v="197"/>
    <n v="264"/>
    <s v="175AP"/>
    <x v="2"/>
    <x v="18"/>
    <n v="3298.6800000000003"/>
    <n v="0.42000000000000004"/>
    <x v="2"/>
    <x v="0"/>
    <x v="3"/>
    <n v="12.495000000000001"/>
    <n v="29.75"/>
    <n v="17.254999999999999"/>
  </r>
  <r>
    <x v="198"/>
    <n v="168"/>
    <s v="QA430"/>
    <x v="3"/>
    <x v="43"/>
    <n v="970.19999999999982"/>
    <n v="0.3299999999999999"/>
    <x v="3"/>
    <x v="2"/>
    <x v="2"/>
    <n v="5.7749999999999986"/>
    <n v="17.5"/>
    <n v="11.725000000000001"/>
  </r>
  <r>
    <x v="199"/>
    <n v="132"/>
    <s v="175AP"/>
    <x v="2"/>
    <x v="102"/>
    <n v="1649.3400000000001"/>
    <n v="0.42000000000000004"/>
    <x v="2"/>
    <x v="0"/>
    <x v="3"/>
    <n v="12.495000000000001"/>
    <n v="29.75"/>
    <n v="17.254999999999999"/>
  </r>
  <r>
    <x v="199"/>
    <n v="252"/>
    <s v="255YN"/>
    <x v="1"/>
    <x v="26"/>
    <n v="2494.7999999999997"/>
    <n v="0.43999999999999995"/>
    <x v="1"/>
    <x v="1"/>
    <x v="0"/>
    <n v="9.8999999999999986"/>
    <n v="22.5"/>
    <n v="12.600000000000001"/>
  </r>
  <r>
    <x v="199"/>
    <n v="36"/>
    <s v="175AP"/>
    <x v="0"/>
    <x v="37"/>
    <n v="449.82000000000005"/>
    <n v="0.42000000000000004"/>
    <x v="0"/>
    <x v="0"/>
    <x v="3"/>
    <n v="12.495000000000001"/>
    <n v="29.75"/>
    <n v="17.254999999999999"/>
  </r>
  <r>
    <x v="200"/>
    <n v="264"/>
    <s v="100CR"/>
    <x v="3"/>
    <x v="41"/>
    <n v="5174.3999999999996"/>
    <n v="0.56000000000000005"/>
    <x v="3"/>
    <x v="2"/>
    <x v="4"/>
    <n v="19.600000000000001"/>
    <n v="35"/>
    <n v="15.4"/>
  </r>
  <r>
    <x v="200"/>
    <n v="180"/>
    <s v="BL579"/>
    <x v="4"/>
    <x v="50"/>
    <n v="3303.7200000000012"/>
    <n v="0.42000000000000004"/>
    <x v="4"/>
    <x v="3"/>
    <x v="1"/>
    <n v="18.354000000000003"/>
    <n v="43.7"/>
    <n v="25.346"/>
  </r>
  <r>
    <x v="200"/>
    <n v="96"/>
    <s v="175AP"/>
    <x v="1"/>
    <x v="29"/>
    <n v="1199.52"/>
    <n v="0.42000000000000004"/>
    <x v="1"/>
    <x v="1"/>
    <x v="3"/>
    <n v="12.495000000000001"/>
    <n v="29.75"/>
    <n v="17.254999999999999"/>
  </r>
  <r>
    <x v="201"/>
    <n v="120"/>
    <s v="BL579"/>
    <x v="3"/>
    <x v="88"/>
    <n v="2202.48"/>
    <n v="0.42000000000000004"/>
    <x v="3"/>
    <x v="2"/>
    <x v="1"/>
    <n v="18.354000000000003"/>
    <n v="43.7"/>
    <n v="25.346"/>
  </r>
  <r>
    <x v="201"/>
    <n v="132"/>
    <s v="QA430"/>
    <x v="1"/>
    <x v="14"/>
    <n v="762.29999999999973"/>
    <n v="0.3299999999999999"/>
    <x v="1"/>
    <x v="1"/>
    <x v="2"/>
    <n v="5.7749999999999986"/>
    <n v="17.5"/>
    <n v="11.725000000000001"/>
  </r>
  <r>
    <x v="202"/>
    <n v="204"/>
    <s v="255YN"/>
    <x v="3"/>
    <x v="89"/>
    <n v="2019.6"/>
    <n v="0.43999999999999995"/>
    <x v="3"/>
    <x v="2"/>
    <x v="0"/>
    <n v="9.8999999999999986"/>
    <n v="22.5"/>
    <n v="12.600000000000001"/>
  </r>
  <r>
    <x v="203"/>
    <n v="132"/>
    <s v="QA430"/>
    <x v="0"/>
    <x v="14"/>
    <n v="762.29999999999973"/>
    <n v="0.3299999999999999"/>
    <x v="0"/>
    <x v="0"/>
    <x v="2"/>
    <n v="5.7749999999999986"/>
    <n v="17.5"/>
    <n v="11.725000000000001"/>
  </r>
  <r>
    <x v="204"/>
    <n v="276"/>
    <s v="BL579"/>
    <x v="1"/>
    <x v="103"/>
    <n v="5065.7040000000006"/>
    <n v="0.42000000000000004"/>
    <x v="1"/>
    <x v="1"/>
    <x v="1"/>
    <n v="18.354000000000003"/>
    <n v="43.7"/>
    <n v="25.346"/>
  </r>
  <r>
    <x v="205"/>
    <n v="108"/>
    <s v="175AP"/>
    <x v="1"/>
    <x v="95"/>
    <n v="1349.46"/>
    <n v="0.42000000000000004"/>
    <x v="1"/>
    <x v="1"/>
    <x v="3"/>
    <n v="12.495000000000001"/>
    <n v="29.75"/>
    <n v="17.254999999999999"/>
  </r>
  <r>
    <x v="205"/>
    <n v="144"/>
    <s v="255YN"/>
    <x v="0"/>
    <x v="33"/>
    <n v="1425.6"/>
    <n v="0.43999999999999995"/>
    <x v="0"/>
    <x v="0"/>
    <x v="0"/>
    <n v="9.8999999999999986"/>
    <n v="22.5"/>
    <n v="12.600000000000001"/>
  </r>
  <r>
    <x v="205"/>
    <n v="276"/>
    <s v="100CR"/>
    <x v="3"/>
    <x v="87"/>
    <n v="5409.5999999999995"/>
    <n v="0.56000000000000005"/>
    <x v="3"/>
    <x v="2"/>
    <x v="4"/>
    <n v="19.600000000000001"/>
    <n v="35"/>
    <n v="15.4"/>
  </r>
  <r>
    <x v="205"/>
    <n v="288"/>
    <s v="255YN"/>
    <x v="0"/>
    <x v="65"/>
    <n v="2851.2"/>
    <n v="0.43999999999999995"/>
    <x v="0"/>
    <x v="0"/>
    <x v="0"/>
    <n v="9.8999999999999986"/>
    <n v="22.5"/>
    <n v="12.600000000000001"/>
  </r>
  <r>
    <x v="206"/>
    <n v="264"/>
    <s v="BL579"/>
    <x v="4"/>
    <x v="94"/>
    <n v="4845.456000000001"/>
    <n v="0.42000000000000004"/>
    <x v="4"/>
    <x v="3"/>
    <x v="1"/>
    <n v="18.354000000000003"/>
    <n v="43.7"/>
    <n v="25.346"/>
  </r>
  <r>
    <x v="207"/>
    <n v="108"/>
    <s v="175AP"/>
    <x v="1"/>
    <x v="95"/>
    <n v="1349.46"/>
    <n v="0.42000000000000004"/>
    <x v="1"/>
    <x v="1"/>
    <x v="3"/>
    <n v="12.495000000000001"/>
    <n v="29.75"/>
    <n v="17.254999999999999"/>
  </r>
  <r>
    <x v="208"/>
    <n v="108"/>
    <s v="QA430"/>
    <x v="3"/>
    <x v="85"/>
    <n v="623.69999999999982"/>
    <n v="0.3299999999999999"/>
    <x v="3"/>
    <x v="2"/>
    <x v="2"/>
    <n v="5.7749999999999986"/>
    <n v="17.5"/>
    <n v="11.725000000000001"/>
  </r>
  <r>
    <x v="209"/>
    <n v="204"/>
    <s v="175AP"/>
    <x v="3"/>
    <x v="30"/>
    <n v="2548.98"/>
    <n v="0.42000000000000004"/>
    <x v="3"/>
    <x v="2"/>
    <x v="3"/>
    <n v="12.495000000000001"/>
    <n v="29.75"/>
    <n v="17.254999999999999"/>
  </r>
  <r>
    <x v="209"/>
    <n v="132"/>
    <s v="BL579"/>
    <x v="4"/>
    <x v="31"/>
    <n v="2422.7280000000005"/>
    <n v="0.42000000000000004"/>
    <x v="4"/>
    <x v="3"/>
    <x v="1"/>
    <n v="18.354000000000003"/>
    <n v="43.7"/>
    <n v="25.346"/>
  </r>
  <r>
    <x v="209"/>
    <n v="108"/>
    <s v="175AP"/>
    <x v="3"/>
    <x v="95"/>
    <n v="1349.46"/>
    <n v="0.42000000000000004"/>
    <x v="3"/>
    <x v="2"/>
    <x v="3"/>
    <n v="12.495000000000001"/>
    <n v="29.75"/>
    <n v="17.254999999999999"/>
  </r>
  <r>
    <x v="210"/>
    <n v="168"/>
    <s v="100CR"/>
    <x v="2"/>
    <x v="48"/>
    <n v="3292.7999999999997"/>
    <n v="0.56000000000000005"/>
    <x v="2"/>
    <x v="0"/>
    <x v="4"/>
    <n v="19.600000000000001"/>
    <n v="35"/>
    <n v="15.4"/>
  </r>
  <r>
    <x v="211"/>
    <n v="60"/>
    <s v="QA430"/>
    <x v="4"/>
    <x v="47"/>
    <n v="346.49999999999989"/>
    <n v="0.3299999999999999"/>
    <x v="4"/>
    <x v="3"/>
    <x v="2"/>
    <n v="5.7749999999999986"/>
    <n v="17.5"/>
    <n v="11.725000000000001"/>
  </r>
  <r>
    <x v="211"/>
    <n v="216"/>
    <s v="255YN"/>
    <x v="1"/>
    <x v="11"/>
    <n v="2138.3999999999996"/>
    <n v="0.43999999999999995"/>
    <x v="1"/>
    <x v="1"/>
    <x v="0"/>
    <n v="9.8999999999999986"/>
    <n v="22.5"/>
    <n v="12.600000000000001"/>
  </r>
  <r>
    <x v="212"/>
    <n v="240"/>
    <s v="255YN"/>
    <x v="3"/>
    <x v="96"/>
    <n v="2375.9999999999995"/>
    <n v="0.43999999999999995"/>
    <x v="3"/>
    <x v="2"/>
    <x v="0"/>
    <n v="9.8999999999999986"/>
    <n v="22.5"/>
    <n v="12.600000000000001"/>
  </r>
  <r>
    <x v="212"/>
    <n v="264"/>
    <s v="QA430"/>
    <x v="3"/>
    <x v="82"/>
    <n v="1524.5999999999995"/>
    <n v="0.3299999999999999"/>
    <x v="3"/>
    <x v="2"/>
    <x v="2"/>
    <n v="5.7749999999999986"/>
    <n v="17.5"/>
    <n v="11.725000000000001"/>
  </r>
  <r>
    <x v="212"/>
    <n v="156"/>
    <s v="175AP"/>
    <x v="1"/>
    <x v="76"/>
    <n v="1949.2200000000003"/>
    <n v="0.42000000000000004"/>
    <x v="1"/>
    <x v="1"/>
    <x v="3"/>
    <n v="12.495000000000001"/>
    <n v="29.75"/>
    <n v="17.254999999999999"/>
  </r>
  <r>
    <x v="213"/>
    <n v="180"/>
    <s v="100CR"/>
    <x v="2"/>
    <x v="39"/>
    <n v="3528"/>
    <n v="0.56000000000000005"/>
    <x v="2"/>
    <x v="0"/>
    <x v="4"/>
    <n v="19.600000000000001"/>
    <n v="35"/>
    <n v="15.4"/>
  </r>
  <r>
    <x v="213"/>
    <n v="36"/>
    <s v="BL579"/>
    <x v="2"/>
    <x v="4"/>
    <n v="660.74400000000003"/>
    <n v="0.42000000000000004"/>
    <x v="2"/>
    <x v="0"/>
    <x v="1"/>
    <n v="18.354000000000003"/>
    <n v="43.7"/>
    <n v="25.346"/>
  </r>
  <r>
    <x v="213"/>
    <n v="108"/>
    <s v="175AP"/>
    <x v="2"/>
    <x v="95"/>
    <n v="1349.46"/>
    <n v="0.42000000000000004"/>
    <x v="2"/>
    <x v="0"/>
    <x v="3"/>
    <n v="12.495000000000001"/>
    <n v="29.75"/>
    <n v="17.254999999999999"/>
  </r>
  <r>
    <x v="213"/>
    <n v="216"/>
    <s v="BL579"/>
    <x v="0"/>
    <x v="38"/>
    <n v="3964.4640000000009"/>
    <n v="0.42000000000000004"/>
    <x v="0"/>
    <x v="0"/>
    <x v="1"/>
    <n v="18.354000000000003"/>
    <n v="43.7"/>
    <n v="25.346"/>
  </r>
  <r>
    <x v="213"/>
    <n v="156"/>
    <s v="BL579"/>
    <x v="2"/>
    <x v="73"/>
    <n v="2863.2240000000006"/>
    <n v="0.42000000000000004"/>
    <x v="2"/>
    <x v="0"/>
    <x v="1"/>
    <n v="18.354000000000003"/>
    <n v="43.7"/>
    <n v="25.346"/>
  </r>
  <r>
    <x v="214"/>
    <n v="276"/>
    <s v="175AP"/>
    <x v="1"/>
    <x v="84"/>
    <n v="3448.62"/>
    <n v="0.42000000000000004"/>
    <x v="1"/>
    <x v="1"/>
    <x v="3"/>
    <n v="12.495000000000001"/>
    <n v="29.75"/>
    <n v="17.254999999999999"/>
  </r>
  <r>
    <x v="215"/>
    <n v="300"/>
    <s v="BL579"/>
    <x v="0"/>
    <x v="75"/>
    <n v="5506.2"/>
    <n v="0.42000000000000004"/>
    <x v="0"/>
    <x v="0"/>
    <x v="1"/>
    <n v="18.354000000000003"/>
    <n v="43.7"/>
    <n v="25.346"/>
  </r>
  <r>
    <x v="215"/>
    <n v="276"/>
    <s v="100CR"/>
    <x v="2"/>
    <x v="87"/>
    <n v="5409.5999999999995"/>
    <n v="0.56000000000000005"/>
    <x v="2"/>
    <x v="0"/>
    <x v="4"/>
    <n v="19.600000000000001"/>
    <n v="35"/>
    <n v="15.4"/>
  </r>
  <r>
    <x v="216"/>
    <n v="264"/>
    <s v="100CR"/>
    <x v="2"/>
    <x v="41"/>
    <n v="5174.3999999999996"/>
    <n v="0.56000000000000005"/>
    <x v="2"/>
    <x v="0"/>
    <x v="4"/>
    <n v="19.600000000000001"/>
    <n v="35"/>
    <n v="15.4"/>
  </r>
  <r>
    <x v="217"/>
    <n v="120"/>
    <s v="BL579"/>
    <x v="4"/>
    <x v="88"/>
    <n v="2202.48"/>
    <n v="0.42000000000000004"/>
    <x v="4"/>
    <x v="3"/>
    <x v="1"/>
    <n v="18.354000000000003"/>
    <n v="43.7"/>
    <n v="25.346"/>
  </r>
  <r>
    <x v="217"/>
    <n v="36"/>
    <s v="175AP"/>
    <x v="4"/>
    <x v="37"/>
    <n v="449.82000000000005"/>
    <n v="0.42000000000000004"/>
    <x v="4"/>
    <x v="3"/>
    <x v="3"/>
    <n v="12.495000000000001"/>
    <n v="29.75"/>
    <n v="17.254999999999999"/>
  </r>
  <r>
    <x v="218"/>
    <n v="24"/>
    <s v="QA430"/>
    <x v="2"/>
    <x v="23"/>
    <n v="138.59999999999997"/>
    <n v="0.3299999999999999"/>
    <x v="2"/>
    <x v="0"/>
    <x v="2"/>
    <n v="5.7749999999999986"/>
    <n v="17.5"/>
    <n v="11.725000000000001"/>
  </r>
  <r>
    <x v="219"/>
    <n v="96"/>
    <s v="QA430"/>
    <x v="2"/>
    <x v="45"/>
    <n v="554.39999999999986"/>
    <n v="0.3299999999999999"/>
    <x v="2"/>
    <x v="0"/>
    <x v="2"/>
    <n v="5.7749999999999986"/>
    <n v="17.5"/>
    <n v="11.725000000000001"/>
  </r>
  <r>
    <x v="219"/>
    <n v="228"/>
    <s v="QA430"/>
    <x v="0"/>
    <x v="71"/>
    <n v="1316.6999999999998"/>
    <n v="0.3299999999999999"/>
    <x v="0"/>
    <x v="0"/>
    <x v="2"/>
    <n v="5.7749999999999986"/>
    <n v="17.5"/>
    <n v="11.725000000000001"/>
  </r>
  <r>
    <x v="219"/>
    <n v="156"/>
    <s v="255YN"/>
    <x v="2"/>
    <x v="0"/>
    <n v="1544.3999999999999"/>
    <n v="0.43999999999999995"/>
    <x v="2"/>
    <x v="0"/>
    <x v="0"/>
    <n v="9.8999999999999986"/>
    <n v="22.5"/>
    <n v="12.600000000000001"/>
  </r>
  <r>
    <x v="219"/>
    <n v="48"/>
    <s v="100CR"/>
    <x v="1"/>
    <x v="45"/>
    <n v="940.8"/>
    <n v="0.56000000000000005"/>
    <x v="1"/>
    <x v="1"/>
    <x v="4"/>
    <n v="19.600000000000001"/>
    <n v="35"/>
    <n v="15.4"/>
  </r>
  <r>
    <x v="220"/>
    <n v="48"/>
    <s v="BL579"/>
    <x v="4"/>
    <x v="5"/>
    <n v="880.99200000000042"/>
    <n v="0.42000000000000004"/>
    <x v="4"/>
    <x v="3"/>
    <x v="1"/>
    <n v="18.354000000000003"/>
    <n v="43.7"/>
    <n v="25.346"/>
  </r>
  <r>
    <x v="220"/>
    <n v="264"/>
    <s v="175AP"/>
    <x v="2"/>
    <x v="18"/>
    <n v="3298.6800000000003"/>
    <n v="0.42000000000000004"/>
    <x v="2"/>
    <x v="0"/>
    <x v="3"/>
    <n v="12.495000000000001"/>
    <n v="29.75"/>
    <n v="17.254999999999999"/>
  </r>
  <r>
    <x v="221"/>
    <n v="96"/>
    <s v="255YN"/>
    <x v="0"/>
    <x v="83"/>
    <n v="950.39999999999986"/>
    <n v="0.43999999999999995"/>
    <x v="0"/>
    <x v="0"/>
    <x v="0"/>
    <n v="9.8999999999999986"/>
    <n v="22.5"/>
    <n v="12.600000000000001"/>
  </r>
  <r>
    <x v="222"/>
    <n v="228"/>
    <s v="100CR"/>
    <x v="3"/>
    <x v="27"/>
    <n v="4468.7999999999993"/>
    <n v="0.56000000000000005"/>
    <x v="3"/>
    <x v="2"/>
    <x v="4"/>
    <n v="19.600000000000001"/>
    <n v="35"/>
    <n v="15.4"/>
  </r>
  <r>
    <x v="222"/>
    <n v="168"/>
    <s v="BL579"/>
    <x v="0"/>
    <x v="7"/>
    <n v="3083.4720000000007"/>
    <n v="0.42000000000000004"/>
    <x v="0"/>
    <x v="0"/>
    <x v="1"/>
    <n v="18.354000000000003"/>
    <n v="43.7"/>
    <n v="25.346"/>
  </r>
  <r>
    <x v="223"/>
    <n v="156"/>
    <s v="BL579"/>
    <x v="0"/>
    <x v="73"/>
    <n v="2863.2240000000006"/>
    <n v="0.42000000000000004"/>
    <x v="0"/>
    <x v="0"/>
    <x v="1"/>
    <n v="18.354000000000003"/>
    <n v="43.7"/>
    <n v="25.346"/>
  </r>
  <r>
    <x v="223"/>
    <n v="300"/>
    <s v="QA430"/>
    <x v="0"/>
    <x v="55"/>
    <n v="1732.4999999999995"/>
    <n v="0.3299999999999999"/>
    <x v="0"/>
    <x v="0"/>
    <x v="2"/>
    <n v="5.7749999999999986"/>
    <n v="17.5"/>
    <n v="11.725000000000001"/>
  </r>
  <r>
    <x v="224"/>
    <n v="168"/>
    <s v="175AP"/>
    <x v="2"/>
    <x v="57"/>
    <n v="2099.1600000000003"/>
    <n v="0.42000000000000004"/>
    <x v="2"/>
    <x v="0"/>
    <x v="3"/>
    <n v="12.495000000000001"/>
    <n v="29.75"/>
    <n v="17.254999999999999"/>
  </r>
  <r>
    <x v="225"/>
    <n v="204"/>
    <s v="100CR"/>
    <x v="1"/>
    <x v="78"/>
    <n v="3998.4"/>
    <n v="0.56000000000000005"/>
    <x v="1"/>
    <x v="1"/>
    <x v="4"/>
    <n v="19.600000000000001"/>
    <n v="35"/>
    <n v="15.4"/>
  </r>
  <r>
    <x v="225"/>
    <n v="180"/>
    <s v="QA430"/>
    <x v="3"/>
    <x v="101"/>
    <n v="1039.4999999999995"/>
    <n v="0.3299999999999999"/>
    <x v="3"/>
    <x v="2"/>
    <x v="2"/>
    <n v="5.7749999999999986"/>
    <n v="17.5"/>
    <n v="11.725000000000001"/>
  </r>
  <r>
    <x v="225"/>
    <n v="300"/>
    <s v="100CR"/>
    <x v="4"/>
    <x v="56"/>
    <n v="5880"/>
    <n v="0.56000000000000005"/>
    <x v="4"/>
    <x v="3"/>
    <x v="4"/>
    <n v="19.600000000000001"/>
    <n v="35"/>
    <n v="15.4"/>
  </r>
  <r>
    <x v="226"/>
    <n v="180"/>
    <s v="100CR"/>
    <x v="3"/>
    <x v="39"/>
    <n v="3528"/>
    <n v="0.56000000000000005"/>
    <x v="3"/>
    <x v="2"/>
    <x v="4"/>
    <n v="19.600000000000001"/>
    <n v="35"/>
    <n v="15.4"/>
  </r>
  <r>
    <x v="226"/>
    <n v="300"/>
    <s v="175AP"/>
    <x v="2"/>
    <x v="90"/>
    <n v="3748.5"/>
    <n v="0.42000000000000004"/>
    <x v="2"/>
    <x v="0"/>
    <x v="3"/>
    <n v="12.495000000000001"/>
    <n v="29.75"/>
    <n v="17.254999999999999"/>
  </r>
  <r>
    <x v="226"/>
    <n v="300"/>
    <s v="QA430"/>
    <x v="0"/>
    <x v="55"/>
    <n v="1732.4999999999995"/>
    <n v="0.3299999999999999"/>
    <x v="0"/>
    <x v="0"/>
    <x v="2"/>
    <n v="5.7749999999999986"/>
    <n v="17.5"/>
    <n v="11.725000000000001"/>
  </r>
  <r>
    <x v="226"/>
    <n v="108"/>
    <s v="255YN"/>
    <x v="4"/>
    <x v="24"/>
    <n v="1069.1999999999998"/>
    <n v="0.43999999999999995"/>
    <x v="4"/>
    <x v="3"/>
    <x v="0"/>
    <n v="9.8999999999999986"/>
    <n v="22.5"/>
    <n v="12.600000000000001"/>
  </r>
  <r>
    <x v="226"/>
    <n v="96"/>
    <s v="BL579"/>
    <x v="3"/>
    <x v="25"/>
    <n v="1761.9840000000008"/>
    <n v="0.42000000000000004"/>
    <x v="3"/>
    <x v="2"/>
    <x v="1"/>
    <n v="18.354000000000003"/>
    <n v="43.7"/>
    <n v="25.346"/>
  </r>
  <r>
    <x v="227"/>
    <n v="300"/>
    <s v="255YN"/>
    <x v="1"/>
    <x v="99"/>
    <n v="2969.9999999999995"/>
    <n v="0.43999999999999995"/>
    <x v="1"/>
    <x v="1"/>
    <x v="0"/>
    <n v="9.8999999999999986"/>
    <n v="22.5"/>
    <n v="12.600000000000001"/>
  </r>
  <r>
    <x v="227"/>
    <n v="48"/>
    <s v="QA430"/>
    <x v="3"/>
    <x v="53"/>
    <n v="277.19999999999993"/>
    <n v="0.3299999999999999"/>
    <x v="3"/>
    <x v="2"/>
    <x v="2"/>
    <n v="5.7749999999999986"/>
    <n v="17.5"/>
    <n v="11.725000000000001"/>
  </r>
  <r>
    <x v="228"/>
    <n v="132"/>
    <s v="100CR"/>
    <x v="3"/>
    <x v="82"/>
    <n v="2587.1999999999998"/>
    <n v="0.56000000000000005"/>
    <x v="3"/>
    <x v="2"/>
    <x v="4"/>
    <n v="19.600000000000001"/>
    <n v="35"/>
    <n v="15.4"/>
  </r>
  <r>
    <x v="228"/>
    <n v="192"/>
    <s v="BL579"/>
    <x v="0"/>
    <x v="74"/>
    <n v="3523.9680000000017"/>
    <n v="0.42000000000000004"/>
    <x v="0"/>
    <x v="0"/>
    <x v="1"/>
    <n v="18.354000000000003"/>
    <n v="43.7"/>
    <n v="25.346"/>
  </r>
  <r>
    <x v="229"/>
    <n v="204"/>
    <s v="100CR"/>
    <x v="2"/>
    <x v="78"/>
    <n v="3998.4"/>
    <n v="0.56000000000000005"/>
    <x v="2"/>
    <x v="0"/>
    <x v="4"/>
    <n v="19.600000000000001"/>
    <n v="35"/>
    <n v="15.4"/>
  </r>
  <r>
    <x v="229"/>
    <n v="84"/>
    <s v="BL579"/>
    <x v="2"/>
    <x v="77"/>
    <n v="1541.7360000000003"/>
    <n v="0.42000000000000004"/>
    <x v="2"/>
    <x v="0"/>
    <x v="1"/>
    <n v="18.354000000000003"/>
    <n v="43.7"/>
    <n v="25.346"/>
  </r>
  <r>
    <x v="229"/>
    <n v="168"/>
    <s v="175AP"/>
    <x v="3"/>
    <x v="57"/>
    <n v="2099.1600000000003"/>
    <n v="0.42000000000000004"/>
    <x v="3"/>
    <x v="2"/>
    <x v="3"/>
    <n v="12.495000000000001"/>
    <n v="29.75"/>
    <n v="17.254999999999999"/>
  </r>
  <r>
    <x v="229"/>
    <n v="72"/>
    <s v="QA430"/>
    <x v="4"/>
    <x v="3"/>
    <n v="415.79999999999995"/>
    <n v="0.3299999999999999"/>
    <x v="4"/>
    <x v="3"/>
    <x v="2"/>
    <n v="5.7749999999999986"/>
    <n v="17.5"/>
    <n v="11.725000000000001"/>
  </r>
  <r>
    <x v="230"/>
    <n v="36"/>
    <s v="175AP"/>
    <x v="1"/>
    <x v="37"/>
    <n v="449.82000000000005"/>
    <n v="0.42000000000000004"/>
    <x v="1"/>
    <x v="1"/>
    <x v="3"/>
    <n v="12.495000000000001"/>
    <n v="29.75"/>
    <n v="17.254999999999999"/>
  </r>
  <r>
    <x v="231"/>
    <n v="84"/>
    <s v="100CR"/>
    <x v="4"/>
    <x v="43"/>
    <n v="1646.3999999999999"/>
    <n v="0.56000000000000005"/>
    <x v="4"/>
    <x v="3"/>
    <x v="4"/>
    <n v="19.600000000000001"/>
    <n v="35"/>
    <n v="15.4"/>
  </r>
  <r>
    <x v="231"/>
    <n v="60"/>
    <s v="175AP"/>
    <x v="0"/>
    <x v="20"/>
    <n v="749.7"/>
    <n v="0.42000000000000004"/>
    <x v="0"/>
    <x v="0"/>
    <x v="3"/>
    <n v="12.495000000000001"/>
    <n v="29.75"/>
    <n v="17.254999999999999"/>
  </r>
  <r>
    <x v="231"/>
    <n v="156"/>
    <s v="100CR"/>
    <x v="0"/>
    <x v="54"/>
    <n v="3057.6"/>
    <n v="0.56000000000000005"/>
    <x v="0"/>
    <x v="0"/>
    <x v="4"/>
    <n v="19.600000000000001"/>
    <n v="35"/>
    <n v="15.4"/>
  </r>
  <r>
    <x v="232"/>
    <n v="240"/>
    <s v="255YN"/>
    <x v="1"/>
    <x v="96"/>
    <n v="2375.9999999999995"/>
    <n v="0.43999999999999995"/>
    <x v="1"/>
    <x v="1"/>
    <x v="0"/>
    <n v="9.8999999999999986"/>
    <n v="22.5"/>
    <n v="12.600000000000001"/>
  </r>
  <r>
    <x v="233"/>
    <n v="252"/>
    <s v="QA430"/>
    <x v="3"/>
    <x v="104"/>
    <n v="1455.2999999999997"/>
    <n v="0.3299999999999999"/>
    <x v="3"/>
    <x v="2"/>
    <x v="2"/>
    <n v="5.7749999999999986"/>
    <n v="17.5"/>
    <n v="11.725000000000001"/>
  </r>
  <r>
    <x v="233"/>
    <n v="120"/>
    <s v="BL579"/>
    <x v="3"/>
    <x v="88"/>
    <n v="2202.48"/>
    <n v="0.42000000000000004"/>
    <x v="3"/>
    <x v="2"/>
    <x v="1"/>
    <n v="18.354000000000003"/>
    <n v="43.7"/>
    <n v="25.346"/>
  </r>
  <r>
    <x v="233"/>
    <n v="216"/>
    <s v="BL579"/>
    <x v="4"/>
    <x v="38"/>
    <n v="3964.4640000000009"/>
    <n v="0.42000000000000004"/>
    <x v="4"/>
    <x v="3"/>
    <x v="1"/>
    <n v="18.354000000000003"/>
    <n v="43.7"/>
    <n v="25.346"/>
  </r>
  <r>
    <x v="234"/>
    <n v="204"/>
    <s v="100CR"/>
    <x v="3"/>
    <x v="78"/>
    <n v="3998.4"/>
    <n v="0.56000000000000005"/>
    <x v="3"/>
    <x v="2"/>
    <x v="4"/>
    <n v="19.600000000000001"/>
    <n v="35"/>
    <n v="15.4"/>
  </r>
  <r>
    <x v="235"/>
    <n v="120"/>
    <s v="QA430"/>
    <x v="0"/>
    <x v="35"/>
    <n v="692.99999999999977"/>
    <n v="0.3299999999999999"/>
    <x v="0"/>
    <x v="0"/>
    <x v="2"/>
    <n v="5.7749999999999986"/>
    <n v="17.5"/>
    <n v="11.725000000000001"/>
  </r>
  <r>
    <x v="236"/>
    <n v="276"/>
    <s v="QA430"/>
    <x v="4"/>
    <x v="68"/>
    <n v="1593.8999999999996"/>
    <n v="0.3299999999999999"/>
    <x v="4"/>
    <x v="3"/>
    <x v="2"/>
    <n v="5.7749999999999986"/>
    <n v="17.5"/>
    <n v="11.725000000000001"/>
  </r>
  <r>
    <x v="237"/>
    <n v="288"/>
    <s v="QA430"/>
    <x v="0"/>
    <x v="91"/>
    <n v="1663.1999999999998"/>
    <n v="0.3299999999999999"/>
    <x v="0"/>
    <x v="0"/>
    <x v="2"/>
    <n v="5.7749999999999986"/>
    <n v="17.5"/>
    <n v="11.725000000000001"/>
  </r>
  <r>
    <x v="238"/>
    <n v="300"/>
    <s v="175AP"/>
    <x v="1"/>
    <x v="90"/>
    <n v="3748.5"/>
    <n v="0.42000000000000004"/>
    <x v="1"/>
    <x v="1"/>
    <x v="3"/>
    <n v="12.495000000000001"/>
    <n v="29.75"/>
    <n v="17.254999999999999"/>
  </r>
  <r>
    <x v="239"/>
    <n v="60"/>
    <s v="255YN"/>
    <x v="0"/>
    <x v="46"/>
    <n v="593.99999999999989"/>
    <n v="0.43999999999999995"/>
    <x v="0"/>
    <x v="0"/>
    <x v="0"/>
    <n v="9.8999999999999986"/>
    <n v="22.5"/>
    <n v="12.600000000000001"/>
  </r>
  <r>
    <x v="239"/>
    <n v="288"/>
    <s v="BL579"/>
    <x v="3"/>
    <x v="49"/>
    <n v="5285.9520000000002"/>
    <n v="0.42000000000000004"/>
    <x v="3"/>
    <x v="2"/>
    <x v="1"/>
    <n v="18.354000000000003"/>
    <n v="43.7"/>
    <n v="25.346"/>
  </r>
  <r>
    <x v="240"/>
    <n v="216"/>
    <s v="BL579"/>
    <x v="3"/>
    <x v="38"/>
    <n v="3964.4640000000009"/>
    <n v="0.42000000000000004"/>
    <x v="3"/>
    <x v="2"/>
    <x v="1"/>
    <n v="18.354000000000003"/>
    <n v="43.7"/>
    <n v="25.346"/>
  </r>
  <r>
    <x v="240"/>
    <n v="132"/>
    <s v="255YN"/>
    <x v="3"/>
    <x v="66"/>
    <n v="1306.7999999999997"/>
    <n v="0.43999999999999995"/>
    <x v="3"/>
    <x v="2"/>
    <x v="0"/>
    <n v="9.8999999999999986"/>
    <n v="22.5"/>
    <n v="12.600000000000001"/>
  </r>
  <r>
    <x v="240"/>
    <n v="144"/>
    <s v="175AP"/>
    <x v="1"/>
    <x v="97"/>
    <n v="1799.2800000000002"/>
    <n v="0.42000000000000004"/>
    <x v="1"/>
    <x v="1"/>
    <x v="3"/>
    <n v="12.495000000000001"/>
    <n v="29.75"/>
    <n v="17.254999999999999"/>
  </r>
  <r>
    <x v="241"/>
    <n v="36"/>
    <s v="100CR"/>
    <x v="0"/>
    <x v="3"/>
    <n v="705.6"/>
    <n v="0.56000000000000005"/>
    <x v="0"/>
    <x v="0"/>
    <x v="4"/>
    <n v="19.600000000000001"/>
    <n v="35"/>
    <n v="15.4"/>
  </r>
  <r>
    <x v="241"/>
    <n v="12"/>
    <s v="BL579"/>
    <x v="1"/>
    <x v="105"/>
    <n v="220.2480000000001"/>
    <n v="0.42000000000000004"/>
    <x v="1"/>
    <x v="1"/>
    <x v="1"/>
    <n v="18.354000000000003"/>
    <n v="43.7"/>
    <n v="25.346"/>
  </r>
  <r>
    <x v="242"/>
    <n v="228"/>
    <s v="100CR"/>
    <x v="0"/>
    <x v="27"/>
    <n v="4468.7999999999993"/>
    <n v="0.56000000000000005"/>
    <x v="0"/>
    <x v="0"/>
    <x v="4"/>
    <n v="19.600000000000001"/>
    <n v="35"/>
    <n v="15.4"/>
  </r>
  <r>
    <x v="242"/>
    <n v="60"/>
    <s v="175AP"/>
    <x v="3"/>
    <x v="20"/>
    <n v="749.7"/>
    <n v="0.42000000000000004"/>
    <x v="3"/>
    <x v="2"/>
    <x v="3"/>
    <n v="12.495000000000001"/>
    <n v="29.75"/>
    <n v="17.254999999999999"/>
  </r>
  <r>
    <x v="243"/>
    <n v="96"/>
    <s v="100CR"/>
    <x v="0"/>
    <x v="16"/>
    <n v="1881.6"/>
    <n v="0.56000000000000005"/>
    <x v="0"/>
    <x v="0"/>
    <x v="4"/>
    <n v="19.600000000000001"/>
    <n v="35"/>
    <n v="15.4"/>
  </r>
  <r>
    <x v="244"/>
    <n v="60"/>
    <s v="175AP"/>
    <x v="2"/>
    <x v="20"/>
    <n v="749.7"/>
    <n v="0.42000000000000004"/>
    <x v="2"/>
    <x v="0"/>
    <x v="3"/>
    <n v="12.495000000000001"/>
    <n v="29.75"/>
    <n v="17.254999999999999"/>
  </r>
  <r>
    <x v="244"/>
    <n v="108"/>
    <s v="255YN"/>
    <x v="3"/>
    <x v="24"/>
    <n v="1069.1999999999998"/>
    <n v="0.43999999999999995"/>
    <x v="3"/>
    <x v="2"/>
    <x v="0"/>
    <n v="9.8999999999999986"/>
    <n v="22.5"/>
    <n v="12.600000000000001"/>
  </r>
  <r>
    <x v="244"/>
    <n v="240"/>
    <s v="BL579"/>
    <x v="4"/>
    <x v="93"/>
    <n v="4404.96"/>
    <n v="0.42000000000000004"/>
    <x v="4"/>
    <x v="3"/>
    <x v="1"/>
    <n v="18.354000000000003"/>
    <n v="43.7"/>
    <n v="25.346"/>
  </r>
  <r>
    <x v="245"/>
    <n v="120"/>
    <s v="BL579"/>
    <x v="2"/>
    <x v="88"/>
    <n v="2202.48"/>
    <n v="0.42000000000000004"/>
    <x v="2"/>
    <x v="0"/>
    <x v="1"/>
    <n v="18.354000000000003"/>
    <n v="43.7"/>
    <n v="25.346"/>
  </r>
  <r>
    <x v="245"/>
    <n v="120"/>
    <s v="BL579"/>
    <x v="4"/>
    <x v="88"/>
    <n v="2202.48"/>
    <n v="0.42000000000000004"/>
    <x v="4"/>
    <x v="3"/>
    <x v="1"/>
    <n v="18.354000000000003"/>
    <n v="43.7"/>
    <n v="25.346"/>
  </r>
  <r>
    <x v="245"/>
    <n v="300"/>
    <s v="QA430"/>
    <x v="0"/>
    <x v="55"/>
    <n v="1732.4999999999995"/>
    <n v="0.3299999999999999"/>
    <x v="0"/>
    <x v="0"/>
    <x v="2"/>
    <n v="5.7749999999999986"/>
    <n v="17.5"/>
    <n v="11.725000000000001"/>
  </r>
  <r>
    <x v="245"/>
    <n v="60"/>
    <s v="BL579"/>
    <x v="2"/>
    <x v="52"/>
    <n v="1101.24"/>
    <n v="0.42000000000000004"/>
    <x v="2"/>
    <x v="0"/>
    <x v="1"/>
    <n v="18.354000000000003"/>
    <n v="43.7"/>
    <n v="25.346"/>
  </r>
  <r>
    <x v="246"/>
    <n v="204"/>
    <s v="QA430"/>
    <x v="3"/>
    <x v="28"/>
    <n v="1178.0999999999999"/>
    <n v="0.3299999999999999"/>
    <x v="3"/>
    <x v="2"/>
    <x v="2"/>
    <n v="5.7749999999999986"/>
    <n v="17.5"/>
    <n v="11.725000000000001"/>
  </r>
  <r>
    <x v="246"/>
    <n v="240"/>
    <s v="255YN"/>
    <x v="1"/>
    <x v="96"/>
    <n v="2375.9999999999995"/>
    <n v="0.43999999999999995"/>
    <x v="1"/>
    <x v="1"/>
    <x v="0"/>
    <n v="9.8999999999999986"/>
    <n v="22.5"/>
    <n v="12.600000000000001"/>
  </r>
  <r>
    <x v="246"/>
    <n v="36"/>
    <s v="255YN"/>
    <x v="2"/>
    <x v="36"/>
    <n v="356.4"/>
    <n v="0.43999999999999995"/>
    <x v="2"/>
    <x v="0"/>
    <x v="0"/>
    <n v="9.8999999999999986"/>
    <n v="22.5"/>
    <n v="12.600000000000001"/>
  </r>
  <r>
    <x v="247"/>
    <n v="132"/>
    <s v="100CR"/>
    <x v="1"/>
    <x v="82"/>
    <n v="2587.1999999999998"/>
    <n v="0.56000000000000005"/>
    <x v="1"/>
    <x v="1"/>
    <x v="4"/>
    <n v="19.600000000000001"/>
    <n v="35"/>
    <n v="15.4"/>
  </r>
  <r>
    <x v="247"/>
    <n v="84"/>
    <s v="175AP"/>
    <x v="4"/>
    <x v="6"/>
    <n v="1049.5800000000002"/>
    <n v="0.42000000000000004"/>
    <x v="4"/>
    <x v="3"/>
    <x v="3"/>
    <n v="12.495000000000001"/>
    <n v="29.75"/>
    <n v="17.254999999999999"/>
  </r>
  <r>
    <x v="247"/>
    <n v="252"/>
    <s v="QA430"/>
    <x v="0"/>
    <x v="104"/>
    <n v="1455.2999999999997"/>
    <n v="0.3299999999999999"/>
    <x v="0"/>
    <x v="0"/>
    <x v="2"/>
    <n v="5.7749999999999986"/>
    <n v="17.5"/>
    <n v="11.725000000000001"/>
  </r>
  <r>
    <x v="248"/>
    <n v="144"/>
    <s v="BL579"/>
    <x v="0"/>
    <x v="13"/>
    <n v="2642.9760000000001"/>
    <n v="0.42000000000000004"/>
    <x v="0"/>
    <x v="0"/>
    <x v="1"/>
    <n v="18.354000000000003"/>
    <n v="43.7"/>
    <n v="25.346"/>
  </r>
  <r>
    <x v="248"/>
    <n v="240"/>
    <s v="100CR"/>
    <x v="4"/>
    <x v="70"/>
    <n v="4704"/>
    <n v="0.56000000000000005"/>
    <x v="4"/>
    <x v="3"/>
    <x v="4"/>
    <n v="19.600000000000001"/>
    <n v="35"/>
    <n v="15.4"/>
  </r>
  <r>
    <x v="249"/>
    <n v="276"/>
    <s v="100CR"/>
    <x v="4"/>
    <x v="87"/>
    <n v="5409.5999999999995"/>
    <n v="0.56000000000000005"/>
    <x v="4"/>
    <x v="3"/>
    <x v="4"/>
    <n v="19.600000000000001"/>
    <n v="35"/>
    <n v="15.4"/>
  </r>
  <r>
    <x v="250"/>
    <n v="276"/>
    <s v="255YN"/>
    <x v="2"/>
    <x v="9"/>
    <n v="2732.3999999999996"/>
    <n v="0.43999999999999995"/>
    <x v="2"/>
    <x v="0"/>
    <x v="0"/>
    <n v="9.8999999999999986"/>
    <n v="22.5"/>
    <n v="12.600000000000001"/>
  </r>
  <r>
    <x v="250"/>
    <n v="204"/>
    <s v="BL579"/>
    <x v="0"/>
    <x v="1"/>
    <n v="3744.2160000000013"/>
    <n v="0.42000000000000004"/>
    <x v="0"/>
    <x v="0"/>
    <x v="1"/>
    <n v="18.354000000000003"/>
    <n v="43.7"/>
    <n v="25.346"/>
  </r>
  <r>
    <x v="251"/>
    <n v="60"/>
    <s v="175AP"/>
    <x v="4"/>
    <x v="20"/>
    <n v="749.7"/>
    <n v="0.42000000000000004"/>
    <x v="4"/>
    <x v="3"/>
    <x v="3"/>
    <n v="12.495000000000001"/>
    <n v="29.75"/>
    <n v="17.254999999999999"/>
  </r>
  <r>
    <x v="252"/>
    <n v="144"/>
    <s v="QA430"/>
    <x v="2"/>
    <x v="51"/>
    <n v="831.59999999999991"/>
    <n v="0.3299999999999999"/>
    <x v="2"/>
    <x v="0"/>
    <x v="2"/>
    <n v="5.7749999999999986"/>
    <n v="17.5"/>
    <n v="11.725000000000001"/>
  </r>
  <r>
    <x v="253"/>
    <n v="216"/>
    <s v="175AP"/>
    <x v="2"/>
    <x v="98"/>
    <n v="2698.92"/>
    <n v="0.42000000000000004"/>
    <x v="2"/>
    <x v="0"/>
    <x v="3"/>
    <n v="12.495000000000001"/>
    <n v="29.75"/>
    <n v="17.254999999999999"/>
  </r>
  <r>
    <x v="253"/>
    <n v="180"/>
    <s v="175AP"/>
    <x v="0"/>
    <x v="8"/>
    <n v="2249.1000000000004"/>
    <n v="0.42000000000000004"/>
    <x v="0"/>
    <x v="0"/>
    <x v="3"/>
    <n v="12.495000000000001"/>
    <n v="29.75"/>
    <n v="17.254999999999999"/>
  </r>
  <r>
    <x v="254"/>
    <n v="216"/>
    <s v="BL579"/>
    <x v="4"/>
    <x v="38"/>
    <n v="3964.4640000000009"/>
    <n v="0.42000000000000004"/>
    <x v="4"/>
    <x v="3"/>
    <x v="1"/>
    <n v="18.354000000000003"/>
    <n v="43.7"/>
    <n v="25.346"/>
  </r>
  <r>
    <x v="254"/>
    <n v="204"/>
    <s v="QA430"/>
    <x v="3"/>
    <x v="28"/>
    <n v="1178.0999999999999"/>
    <n v="0.3299999999999999"/>
    <x v="3"/>
    <x v="2"/>
    <x v="2"/>
    <n v="5.7749999999999986"/>
    <n v="17.5"/>
    <n v="11.725000000000001"/>
  </r>
  <r>
    <x v="255"/>
    <n v="180"/>
    <s v="100CR"/>
    <x v="4"/>
    <x v="39"/>
    <n v="3528"/>
    <n v="0.56000000000000005"/>
    <x v="4"/>
    <x v="3"/>
    <x v="4"/>
    <n v="19.600000000000001"/>
    <n v="35"/>
    <n v="15.4"/>
  </r>
  <r>
    <x v="256"/>
    <n v="240"/>
    <s v="100CR"/>
    <x v="3"/>
    <x v="70"/>
    <n v="4704"/>
    <n v="0.56000000000000005"/>
    <x v="3"/>
    <x v="2"/>
    <x v="4"/>
    <n v="19.600000000000001"/>
    <n v="35"/>
    <n v="15.4"/>
  </r>
  <r>
    <x v="256"/>
    <n v="120"/>
    <s v="QA430"/>
    <x v="3"/>
    <x v="35"/>
    <n v="692.99999999999977"/>
    <n v="0.3299999999999999"/>
    <x v="3"/>
    <x v="2"/>
    <x v="2"/>
    <n v="5.7749999999999986"/>
    <n v="17.5"/>
    <n v="11.725000000000001"/>
  </r>
  <r>
    <x v="257"/>
    <n v="276"/>
    <s v="BL579"/>
    <x v="2"/>
    <x v="103"/>
    <n v="5065.7040000000006"/>
    <n v="0.42000000000000004"/>
    <x v="2"/>
    <x v="0"/>
    <x v="1"/>
    <n v="18.354000000000003"/>
    <n v="43.7"/>
    <n v="25.346"/>
  </r>
  <r>
    <x v="257"/>
    <n v="84"/>
    <s v="175AP"/>
    <x v="1"/>
    <x v="6"/>
    <n v="1049.5800000000002"/>
    <n v="0.42000000000000004"/>
    <x v="1"/>
    <x v="1"/>
    <x v="3"/>
    <n v="12.495000000000001"/>
    <n v="29.75"/>
    <n v="17.254999999999999"/>
  </r>
  <r>
    <x v="258"/>
    <n v="96"/>
    <s v="255YN"/>
    <x v="2"/>
    <x v="83"/>
    <n v="950.39999999999986"/>
    <n v="0.43999999999999995"/>
    <x v="2"/>
    <x v="0"/>
    <x v="0"/>
    <n v="9.8999999999999986"/>
    <n v="22.5"/>
    <n v="12.600000000000001"/>
  </r>
  <r>
    <x v="259"/>
    <n v="84"/>
    <s v="255YN"/>
    <x v="3"/>
    <x v="85"/>
    <n v="831.59999999999991"/>
    <n v="0.43999999999999995"/>
    <x v="3"/>
    <x v="2"/>
    <x v="0"/>
    <n v="9.8999999999999986"/>
    <n v="22.5"/>
    <n v="12.600000000000001"/>
  </r>
  <r>
    <x v="259"/>
    <n v="72"/>
    <s v="175AP"/>
    <x v="2"/>
    <x v="19"/>
    <n v="899.6400000000001"/>
    <n v="0.42000000000000004"/>
    <x v="2"/>
    <x v="0"/>
    <x v="3"/>
    <n v="12.495000000000001"/>
    <n v="29.75"/>
    <n v="17.254999999999999"/>
  </r>
  <r>
    <x v="260"/>
    <n v="24"/>
    <s v="255YN"/>
    <x v="4"/>
    <x v="59"/>
    <n v="237.59999999999997"/>
    <n v="0.43999999999999995"/>
    <x v="4"/>
    <x v="3"/>
    <x v="0"/>
    <n v="9.8999999999999986"/>
    <n v="22.5"/>
    <n v="12.600000000000001"/>
  </r>
  <r>
    <x v="260"/>
    <n v="264"/>
    <s v="175AP"/>
    <x v="3"/>
    <x v="18"/>
    <n v="3298.6800000000003"/>
    <n v="0.42000000000000004"/>
    <x v="3"/>
    <x v="2"/>
    <x v="3"/>
    <n v="12.495000000000001"/>
    <n v="29.75"/>
    <n v="17.254999999999999"/>
  </r>
  <r>
    <x v="260"/>
    <n v="300"/>
    <s v="255YN"/>
    <x v="4"/>
    <x v="99"/>
    <n v="2969.9999999999995"/>
    <n v="0.43999999999999995"/>
    <x v="4"/>
    <x v="3"/>
    <x v="0"/>
    <n v="9.8999999999999986"/>
    <n v="22.5"/>
    <n v="12.600000000000001"/>
  </r>
  <r>
    <x v="261"/>
    <n v="132"/>
    <s v="BL579"/>
    <x v="3"/>
    <x v="31"/>
    <n v="2422.7280000000005"/>
    <n v="0.42000000000000004"/>
    <x v="3"/>
    <x v="2"/>
    <x v="1"/>
    <n v="18.354000000000003"/>
    <n v="43.7"/>
    <n v="25.346"/>
  </r>
  <r>
    <x v="261"/>
    <n v="72"/>
    <s v="255YN"/>
    <x v="1"/>
    <x v="2"/>
    <n v="712.8"/>
    <n v="0.43999999999999995"/>
    <x v="1"/>
    <x v="1"/>
    <x v="0"/>
    <n v="9.8999999999999986"/>
    <n v="22.5"/>
    <n v="12.600000000000001"/>
  </r>
  <r>
    <x v="261"/>
    <n v="252"/>
    <s v="100CR"/>
    <x v="1"/>
    <x v="34"/>
    <n v="4939.2"/>
    <n v="0.56000000000000005"/>
    <x v="1"/>
    <x v="1"/>
    <x v="4"/>
    <n v="19.600000000000001"/>
    <n v="35"/>
    <n v="15.4"/>
  </r>
  <r>
    <x v="262"/>
    <n v="300"/>
    <s v="100CR"/>
    <x v="3"/>
    <x v="56"/>
    <n v="5880"/>
    <n v="0.56000000000000005"/>
    <x v="3"/>
    <x v="2"/>
    <x v="4"/>
    <n v="19.600000000000001"/>
    <n v="35"/>
    <n v="15.4"/>
  </r>
  <r>
    <x v="262"/>
    <n v="156"/>
    <s v="QA430"/>
    <x v="4"/>
    <x v="106"/>
    <n v="900.89999999999986"/>
    <n v="0.3299999999999999"/>
    <x v="4"/>
    <x v="3"/>
    <x v="2"/>
    <n v="5.7749999999999986"/>
    <n v="17.5"/>
    <n v="11.725000000000001"/>
  </r>
  <r>
    <x v="262"/>
    <n v="204"/>
    <s v="QA430"/>
    <x v="0"/>
    <x v="28"/>
    <n v="1178.0999999999999"/>
    <n v="0.3299999999999999"/>
    <x v="0"/>
    <x v="0"/>
    <x v="2"/>
    <n v="5.7749999999999986"/>
    <n v="17.5"/>
    <n v="11.725000000000001"/>
  </r>
  <r>
    <x v="262"/>
    <n v="168"/>
    <s v="255YN"/>
    <x v="0"/>
    <x v="12"/>
    <n v="1663.1999999999998"/>
    <n v="0.43999999999999995"/>
    <x v="0"/>
    <x v="0"/>
    <x v="0"/>
    <n v="9.8999999999999986"/>
    <n v="22.5"/>
    <n v="12.600000000000001"/>
  </r>
  <r>
    <x v="263"/>
    <n v="156"/>
    <s v="QA430"/>
    <x v="3"/>
    <x v="106"/>
    <n v="900.89999999999986"/>
    <n v="0.3299999999999999"/>
    <x v="3"/>
    <x v="2"/>
    <x v="2"/>
    <n v="5.7749999999999986"/>
    <n v="17.5"/>
    <n v="11.725000000000001"/>
  </r>
  <r>
    <x v="263"/>
    <n v="120"/>
    <s v="100CR"/>
    <x v="4"/>
    <x v="79"/>
    <n v="2352"/>
    <n v="0.56000000000000005"/>
    <x v="4"/>
    <x v="3"/>
    <x v="4"/>
    <n v="19.600000000000001"/>
    <n v="35"/>
    <n v="15.4"/>
  </r>
  <r>
    <x v="264"/>
    <n v="84"/>
    <s v="BL579"/>
    <x v="0"/>
    <x v="77"/>
    <n v="1541.7360000000003"/>
    <n v="0.42000000000000004"/>
    <x v="0"/>
    <x v="0"/>
    <x v="1"/>
    <n v="18.354000000000003"/>
    <n v="43.7"/>
    <n v="25.346"/>
  </r>
  <r>
    <x v="264"/>
    <n v="24"/>
    <s v="100CR"/>
    <x v="1"/>
    <x v="53"/>
    <n v="470.4"/>
    <n v="0.56000000000000005"/>
    <x v="1"/>
    <x v="1"/>
    <x v="4"/>
    <n v="19.600000000000001"/>
    <n v="35"/>
    <n v="15.4"/>
  </r>
  <r>
    <x v="265"/>
    <n v="72"/>
    <s v="QA430"/>
    <x v="0"/>
    <x v="3"/>
    <n v="415.79999999999995"/>
    <n v="0.3299999999999999"/>
    <x v="0"/>
    <x v="0"/>
    <x v="2"/>
    <n v="5.7749999999999986"/>
    <n v="17.5"/>
    <n v="11.725000000000001"/>
  </r>
  <r>
    <x v="266"/>
    <n v="132"/>
    <s v="175AP"/>
    <x v="3"/>
    <x v="102"/>
    <n v="1649.3400000000001"/>
    <n v="0.42000000000000004"/>
    <x v="3"/>
    <x v="2"/>
    <x v="3"/>
    <n v="12.495000000000001"/>
    <n v="29.75"/>
    <n v="17.254999999999999"/>
  </r>
  <r>
    <x v="267"/>
    <n v="60"/>
    <s v="100CR"/>
    <x v="1"/>
    <x v="35"/>
    <n v="1176"/>
    <n v="0.56000000000000005"/>
    <x v="1"/>
    <x v="1"/>
    <x v="4"/>
    <n v="19.600000000000001"/>
    <n v="35"/>
    <n v="15.4"/>
  </r>
  <r>
    <x v="268"/>
    <n v="216"/>
    <s v="255YN"/>
    <x v="2"/>
    <x v="11"/>
    <n v="2138.3999999999996"/>
    <n v="0.43999999999999995"/>
    <x v="2"/>
    <x v="0"/>
    <x v="0"/>
    <n v="9.8999999999999986"/>
    <n v="22.5"/>
    <n v="12.600000000000001"/>
  </r>
  <r>
    <x v="268"/>
    <n v="84"/>
    <s v="255YN"/>
    <x v="4"/>
    <x v="85"/>
    <n v="831.59999999999991"/>
    <n v="0.43999999999999995"/>
    <x v="4"/>
    <x v="3"/>
    <x v="0"/>
    <n v="9.8999999999999986"/>
    <n v="22.5"/>
    <n v="12.600000000000001"/>
  </r>
  <r>
    <x v="269"/>
    <n v="120"/>
    <s v="BL579"/>
    <x v="0"/>
    <x v="88"/>
    <n v="2202.48"/>
    <n v="0.42000000000000004"/>
    <x v="0"/>
    <x v="0"/>
    <x v="1"/>
    <n v="18.354000000000003"/>
    <n v="43.7"/>
    <n v="25.346"/>
  </r>
  <r>
    <x v="269"/>
    <n v="276"/>
    <s v="BL579"/>
    <x v="2"/>
    <x v="103"/>
    <n v="5065.7040000000006"/>
    <n v="0.42000000000000004"/>
    <x v="2"/>
    <x v="0"/>
    <x v="1"/>
    <n v="18.354000000000003"/>
    <n v="43.7"/>
    <n v="25.346"/>
  </r>
  <r>
    <x v="269"/>
    <n v="120"/>
    <s v="255YN"/>
    <x v="4"/>
    <x v="58"/>
    <n v="1187.9999999999998"/>
    <n v="0.43999999999999995"/>
    <x v="4"/>
    <x v="3"/>
    <x v="0"/>
    <n v="9.8999999999999986"/>
    <n v="22.5"/>
    <n v="12.600000000000001"/>
  </r>
  <r>
    <x v="270"/>
    <n v="72"/>
    <s v="100CR"/>
    <x v="3"/>
    <x v="51"/>
    <n v="1411.2"/>
    <n v="0.56000000000000005"/>
    <x v="3"/>
    <x v="2"/>
    <x v="4"/>
    <n v="19.600000000000001"/>
    <n v="35"/>
    <n v="15.4"/>
  </r>
  <r>
    <x v="271"/>
    <n v="144"/>
    <s v="BL579"/>
    <x v="0"/>
    <x v="13"/>
    <n v="2642.9760000000001"/>
    <n v="0.42000000000000004"/>
    <x v="0"/>
    <x v="0"/>
    <x v="1"/>
    <n v="18.354000000000003"/>
    <n v="43.7"/>
    <n v="25.346"/>
  </r>
  <r>
    <x v="271"/>
    <n v="144"/>
    <s v="255YN"/>
    <x v="4"/>
    <x v="33"/>
    <n v="1425.6"/>
    <n v="0.43999999999999995"/>
    <x v="4"/>
    <x v="3"/>
    <x v="0"/>
    <n v="9.8999999999999986"/>
    <n v="22.5"/>
    <n v="12.600000000000001"/>
  </r>
  <r>
    <x v="272"/>
    <n v="48"/>
    <s v="QA430"/>
    <x v="2"/>
    <x v="53"/>
    <n v="277.19999999999993"/>
    <n v="0.3299999999999999"/>
    <x v="2"/>
    <x v="0"/>
    <x v="2"/>
    <n v="5.7749999999999986"/>
    <n v="17.5"/>
    <n v="11.725000000000001"/>
  </r>
  <r>
    <x v="272"/>
    <n v="156"/>
    <s v="100CR"/>
    <x v="3"/>
    <x v="54"/>
    <n v="3057.6"/>
    <n v="0.56000000000000005"/>
    <x v="3"/>
    <x v="2"/>
    <x v="4"/>
    <n v="19.600000000000001"/>
    <n v="35"/>
    <n v="15.4"/>
  </r>
  <r>
    <x v="272"/>
    <n v="108"/>
    <s v="BL579"/>
    <x v="1"/>
    <x v="61"/>
    <n v="1982.2320000000004"/>
    <n v="0.42000000000000004"/>
    <x v="1"/>
    <x v="1"/>
    <x v="1"/>
    <n v="18.354000000000003"/>
    <n v="43.7"/>
    <n v="25.346"/>
  </r>
  <r>
    <x v="272"/>
    <n v="192"/>
    <s v="BL579"/>
    <x v="2"/>
    <x v="74"/>
    <n v="3523.9680000000017"/>
    <n v="0.42000000000000004"/>
    <x v="2"/>
    <x v="0"/>
    <x v="1"/>
    <n v="18.354000000000003"/>
    <n v="43.7"/>
    <n v="25.346"/>
  </r>
  <r>
    <x v="272"/>
    <n v="228"/>
    <s v="255YN"/>
    <x v="2"/>
    <x v="92"/>
    <n v="2257.1999999999998"/>
    <n v="0.43999999999999995"/>
    <x v="2"/>
    <x v="0"/>
    <x v="0"/>
    <n v="9.8999999999999986"/>
    <n v="22.5"/>
    <n v="12.600000000000001"/>
  </r>
  <r>
    <x v="273"/>
    <n v="72"/>
    <s v="100CR"/>
    <x v="1"/>
    <x v="51"/>
    <n v="1411.2"/>
    <n v="0.56000000000000005"/>
    <x v="1"/>
    <x v="1"/>
    <x v="4"/>
    <n v="19.600000000000001"/>
    <n v="35"/>
    <n v="15.4"/>
  </r>
  <r>
    <x v="274"/>
    <n v="192"/>
    <s v="QA430"/>
    <x v="2"/>
    <x v="16"/>
    <n v="1108.7999999999997"/>
    <n v="0.3299999999999999"/>
    <x v="2"/>
    <x v="0"/>
    <x v="2"/>
    <n v="5.7749999999999986"/>
    <n v="17.5"/>
    <n v="11.725000000000001"/>
  </r>
  <r>
    <x v="274"/>
    <n v="264"/>
    <s v="BL579"/>
    <x v="2"/>
    <x v="94"/>
    <n v="4845.456000000001"/>
    <n v="0.42000000000000004"/>
    <x v="2"/>
    <x v="0"/>
    <x v="1"/>
    <n v="18.354000000000003"/>
    <n v="43.7"/>
    <n v="25.346"/>
  </r>
  <r>
    <x v="275"/>
    <n v="276"/>
    <s v="BL579"/>
    <x v="3"/>
    <x v="103"/>
    <n v="5065.7040000000006"/>
    <n v="0.42000000000000004"/>
    <x v="3"/>
    <x v="2"/>
    <x v="1"/>
    <n v="18.354000000000003"/>
    <n v="43.7"/>
    <n v="25.346"/>
  </r>
  <r>
    <x v="275"/>
    <n v="24"/>
    <s v="255YN"/>
    <x v="1"/>
    <x v="59"/>
    <n v="237.59999999999997"/>
    <n v="0.43999999999999995"/>
    <x v="1"/>
    <x v="1"/>
    <x v="0"/>
    <n v="9.8999999999999986"/>
    <n v="22.5"/>
    <n v="12.600000000000001"/>
  </r>
  <r>
    <x v="276"/>
    <n v="72"/>
    <s v="QA430"/>
    <x v="1"/>
    <x v="3"/>
    <n v="415.79999999999995"/>
    <n v="0.3299999999999999"/>
    <x v="1"/>
    <x v="1"/>
    <x v="2"/>
    <n v="5.7749999999999986"/>
    <n v="17.5"/>
    <n v="11.725000000000001"/>
  </r>
  <r>
    <x v="276"/>
    <n v="252"/>
    <s v="QA430"/>
    <x v="0"/>
    <x v="104"/>
    <n v="1455.2999999999997"/>
    <n v="0.3299999999999999"/>
    <x v="0"/>
    <x v="0"/>
    <x v="2"/>
    <n v="5.7749999999999986"/>
    <n v="17.5"/>
    <n v="11.725000000000001"/>
  </r>
  <r>
    <x v="276"/>
    <n v="240"/>
    <s v="100CR"/>
    <x v="3"/>
    <x v="70"/>
    <n v="4704"/>
    <n v="0.56000000000000005"/>
    <x v="3"/>
    <x v="2"/>
    <x v="4"/>
    <n v="19.600000000000001"/>
    <n v="35"/>
    <n v="15.4"/>
  </r>
  <r>
    <x v="277"/>
    <n v="216"/>
    <s v="255YN"/>
    <x v="4"/>
    <x v="11"/>
    <n v="2138.3999999999996"/>
    <n v="0.43999999999999995"/>
    <x v="4"/>
    <x v="3"/>
    <x v="0"/>
    <n v="9.8999999999999986"/>
    <n v="22.5"/>
    <n v="12.600000000000001"/>
  </r>
  <r>
    <x v="278"/>
    <n v="48"/>
    <s v="BL579"/>
    <x v="4"/>
    <x v="5"/>
    <n v="880.99200000000042"/>
    <n v="0.42000000000000004"/>
    <x v="4"/>
    <x v="3"/>
    <x v="1"/>
    <n v="18.354000000000003"/>
    <n v="43.7"/>
    <n v="25.346"/>
  </r>
  <r>
    <x v="279"/>
    <n v="240"/>
    <s v="100CR"/>
    <x v="0"/>
    <x v="70"/>
    <n v="4704"/>
    <n v="0.56000000000000005"/>
    <x v="0"/>
    <x v="0"/>
    <x v="4"/>
    <n v="19.600000000000001"/>
    <n v="35"/>
    <n v="15.4"/>
  </r>
  <r>
    <x v="280"/>
    <n v="156"/>
    <s v="175AP"/>
    <x v="3"/>
    <x v="76"/>
    <n v="1949.2200000000003"/>
    <n v="0.42000000000000004"/>
    <x v="3"/>
    <x v="2"/>
    <x v="3"/>
    <n v="12.495000000000001"/>
    <n v="29.75"/>
    <n v="17.254999999999999"/>
  </r>
  <r>
    <x v="281"/>
    <n v="216"/>
    <s v="100CR"/>
    <x v="2"/>
    <x v="40"/>
    <n v="4233.6000000000004"/>
    <n v="0.56000000000000005"/>
    <x v="2"/>
    <x v="0"/>
    <x v="4"/>
    <n v="19.600000000000001"/>
    <n v="35"/>
    <n v="15.4"/>
  </r>
  <r>
    <x v="281"/>
    <n v="72"/>
    <s v="100CR"/>
    <x v="3"/>
    <x v="51"/>
    <n v="1411.2"/>
    <n v="0.56000000000000005"/>
    <x v="3"/>
    <x v="2"/>
    <x v="4"/>
    <n v="19.600000000000001"/>
    <n v="35"/>
    <n v="15.4"/>
  </r>
  <r>
    <x v="281"/>
    <n v="48"/>
    <s v="BL579"/>
    <x v="1"/>
    <x v="5"/>
    <n v="880.99200000000042"/>
    <n v="0.42000000000000004"/>
    <x v="1"/>
    <x v="1"/>
    <x v="1"/>
    <n v="18.354000000000003"/>
    <n v="43.7"/>
    <n v="25.346"/>
  </r>
  <r>
    <x v="282"/>
    <n v="204"/>
    <s v="255YN"/>
    <x v="3"/>
    <x v="89"/>
    <n v="2019.6"/>
    <n v="0.43999999999999995"/>
    <x v="3"/>
    <x v="2"/>
    <x v="0"/>
    <n v="9.8999999999999986"/>
    <n v="22.5"/>
    <n v="12.600000000000001"/>
  </r>
  <r>
    <x v="282"/>
    <n v="264"/>
    <s v="255YN"/>
    <x v="3"/>
    <x v="69"/>
    <n v="2613.5999999999995"/>
    <n v="0.43999999999999995"/>
    <x v="3"/>
    <x v="2"/>
    <x v="0"/>
    <n v="9.8999999999999986"/>
    <n v="22.5"/>
    <n v="12.600000000000001"/>
  </r>
  <r>
    <x v="283"/>
    <n v="24"/>
    <s v="100CR"/>
    <x v="3"/>
    <x v="53"/>
    <n v="470.4"/>
    <n v="0.56000000000000005"/>
    <x v="3"/>
    <x v="2"/>
    <x v="4"/>
    <n v="19.600000000000001"/>
    <n v="35"/>
    <n v="15.4"/>
  </r>
  <r>
    <x v="283"/>
    <n v="240"/>
    <s v="175AP"/>
    <x v="0"/>
    <x v="78"/>
    <n v="2998.8"/>
    <n v="0.42000000000000004"/>
    <x v="0"/>
    <x v="0"/>
    <x v="3"/>
    <n v="12.495000000000001"/>
    <n v="29.75"/>
    <n v="17.254999999999999"/>
  </r>
  <r>
    <x v="283"/>
    <n v="228"/>
    <s v="255YN"/>
    <x v="0"/>
    <x v="92"/>
    <n v="2257.1999999999998"/>
    <n v="0.43999999999999995"/>
    <x v="0"/>
    <x v="0"/>
    <x v="0"/>
    <n v="9.8999999999999986"/>
    <n v="22.5"/>
    <n v="12.600000000000001"/>
  </r>
  <r>
    <x v="283"/>
    <n v="228"/>
    <s v="QA430"/>
    <x v="2"/>
    <x v="71"/>
    <n v="1316.6999999999998"/>
    <n v="0.3299999999999999"/>
    <x v="2"/>
    <x v="0"/>
    <x v="2"/>
    <n v="5.7749999999999986"/>
    <n v="17.5"/>
    <n v="11.725000000000001"/>
  </r>
  <r>
    <x v="284"/>
    <n v="252"/>
    <s v="175AP"/>
    <x v="0"/>
    <x v="67"/>
    <n v="3148.7400000000007"/>
    <n v="0.42000000000000004"/>
    <x v="0"/>
    <x v="0"/>
    <x v="3"/>
    <n v="12.495000000000001"/>
    <n v="29.75"/>
    <n v="17.254999999999999"/>
  </r>
  <r>
    <x v="284"/>
    <n v="96"/>
    <s v="100CR"/>
    <x v="3"/>
    <x v="16"/>
    <n v="1881.6"/>
    <n v="0.56000000000000005"/>
    <x v="3"/>
    <x v="2"/>
    <x v="4"/>
    <n v="19.600000000000001"/>
    <n v="35"/>
    <n v="15.4"/>
  </r>
  <r>
    <x v="284"/>
    <n v="240"/>
    <s v="100CR"/>
    <x v="1"/>
    <x v="70"/>
    <n v="4704"/>
    <n v="0.56000000000000005"/>
    <x v="1"/>
    <x v="1"/>
    <x v="4"/>
    <n v="19.600000000000001"/>
    <n v="35"/>
    <n v="15.4"/>
  </r>
  <r>
    <x v="284"/>
    <n v="288"/>
    <s v="175AP"/>
    <x v="4"/>
    <x v="32"/>
    <n v="3598.5600000000004"/>
    <n v="0.42000000000000004"/>
    <x v="4"/>
    <x v="3"/>
    <x v="3"/>
    <n v="12.495000000000001"/>
    <n v="29.75"/>
    <n v="17.254999999999999"/>
  </r>
  <r>
    <x v="284"/>
    <n v="180"/>
    <s v="QA430"/>
    <x v="0"/>
    <x v="101"/>
    <n v="1039.4999999999995"/>
    <n v="0.3299999999999999"/>
    <x v="0"/>
    <x v="0"/>
    <x v="2"/>
    <n v="5.7749999999999986"/>
    <n v="17.5"/>
    <n v="11.725000000000001"/>
  </r>
  <r>
    <x v="284"/>
    <n v="300"/>
    <s v="QA430"/>
    <x v="3"/>
    <x v="55"/>
    <n v="1732.4999999999995"/>
    <n v="0.3299999999999999"/>
    <x v="3"/>
    <x v="2"/>
    <x v="2"/>
    <n v="5.7749999999999986"/>
    <n v="17.5"/>
    <n v="11.725000000000001"/>
  </r>
  <r>
    <x v="285"/>
    <n v="168"/>
    <s v="100CR"/>
    <x v="4"/>
    <x v="48"/>
    <n v="3292.7999999999997"/>
    <n v="0.56000000000000005"/>
    <x v="4"/>
    <x v="3"/>
    <x v="4"/>
    <n v="19.600000000000001"/>
    <n v="35"/>
    <n v="15.4"/>
  </r>
  <r>
    <x v="285"/>
    <n v="168"/>
    <s v="QA430"/>
    <x v="1"/>
    <x v="43"/>
    <n v="970.19999999999982"/>
    <n v="0.3299999999999999"/>
    <x v="1"/>
    <x v="1"/>
    <x v="2"/>
    <n v="5.7749999999999986"/>
    <n v="17.5"/>
    <n v="11.725000000000001"/>
  </r>
  <r>
    <x v="285"/>
    <n v="60"/>
    <s v="QA430"/>
    <x v="1"/>
    <x v="47"/>
    <n v="346.49999999999989"/>
    <n v="0.3299999999999999"/>
    <x v="1"/>
    <x v="1"/>
    <x v="2"/>
    <n v="5.7749999999999986"/>
    <n v="17.5"/>
    <n v="11.725000000000001"/>
  </r>
  <r>
    <x v="286"/>
    <n v="228"/>
    <s v="255YN"/>
    <x v="4"/>
    <x v="92"/>
    <n v="2257.1999999999998"/>
    <n v="0.43999999999999995"/>
    <x v="4"/>
    <x v="3"/>
    <x v="0"/>
    <n v="9.8999999999999986"/>
    <n v="22.5"/>
    <n v="12.600000000000001"/>
  </r>
  <r>
    <x v="286"/>
    <n v="252"/>
    <s v="175AP"/>
    <x v="3"/>
    <x v="67"/>
    <n v="3148.7400000000007"/>
    <n v="0.42000000000000004"/>
    <x v="3"/>
    <x v="2"/>
    <x v="3"/>
    <n v="12.495000000000001"/>
    <n v="29.75"/>
    <n v="17.254999999999999"/>
  </r>
  <r>
    <x v="286"/>
    <n v="204"/>
    <s v="BL579"/>
    <x v="3"/>
    <x v="1"/>
    <n v="3744.2160000000013"/>
    <n v="0.42000000000000004"/>
    <x v="3"/>
    <x v="2"/>
    <x v="1"/>
    <n v="18.354000000000003"/>
    <n v="43.7"/>
    <n v="25.346"/>
  </r>
  <r>
    <x v="287"/>
    <n v="276"/>
    <s v="175AP"/>
    <x v="1"/>
    <x v="84"/>
    <n v="3448.62"/>
    <n v="0.42000000000000004"/>
    <x v="1"/>
    <x v="1"/>
    <x v="3"/>
    <n v="12.495000000000001"/>
    <n v="29.75"/>
    <n v="17.254999999999999"/>
  </r>
  <r>
    <x v="287"/>
    <n v="228"/>
    <s v="100CR"/>
    <x v="2"/>
    <x v="27"/>
    <n v="4468.7999999999993"/>
    <n v="0.56000000000000005"/>
    <x v="2"/>
    <x v="0"/>
    <x v="4"/>
    <n v="19.600000000000001"/>
    <n v="35"/>
    <n v="15.4"/>
  </r>
  <r>
    <x v="288"/>
    <n v="24"/>
    <s v="100CR"/>
    <x v="1"/>
    <x v="53"/>
    <n v="470.4"/>
    <n v="0.56000000000000005"/>
    <x v="1"/>
    <x v="1"/>
    <x v="4"/>
    <n v="19.600000000000001"/>
    <n v="35"/>
    <n v="15.4"/>
  </r>
  <r>
    <x v="288"/>
    <n v="252"/>
    <s v="QA430"/>
    <x v="1"/>
    <x v="104"/>
    <n v="1455.2999999999997"/>
    <n v="0.3299999999999999"/>
    <x v="1"/>
    <x v="1"/>
    <x v="2"/>
    <n v="5.7749999999999986"/>
    <n v="17.5"/>
    <n v="11.725000000000001"/>
  </r>
  <r>
    <x v="289"/>
    <n v="300"/>
    <s v="BL579"/>
    <x v="4"/>
    <x v="75"/>
    <n v="5506.2"/>
    <n v="0.42000000000000004"/>
    <x v="4"/>
    <x v="3"/>
    <x v="1"/>
    <n v="18.354000000000003"/>
    <n v="43.7"/>
    <n v="25.346"/>
  </r>
  <r>
    <x v="290"/>
    <n v="192"/>
    <s v="255YN"/>
    <x v="0"/>
    <x v="86"/>
    <n v="1900.7999999999997"/>
    <n v="0.43999999999999995"/>
    <x v="0"/>
    <x v="0"/>
    <x v="0"/>
    <n v="9.8999999999999986"/>
    <n v="22.5"/>
    <n v="12.600000000000001"/>
  </r>
  <r>
    <x v="290"/>
    <n v="84"/>
    <s v="100CR"/>
    <x v="1"/>
    <x v="43"/>
    <n v="1646.3999999999999"/>
    <n v="0.56000000000000005"/>
    <x v="1"/>
    <x v="1"/>
    <x v="4"/>
    <n v="19.600000000000001"/>
    <n v="35"/>
    <n v="15.4"/>
  </r>
  <r>
    <x v="291"/>
    <n v="228"/>
    <s v="175AP"/>
    <x v="1"/>
    <x v="100"/>
    <n v="2848.86"/>
    <n v="0.42000000000000004"/>
    <x v="1"/>
    <x v="1"/>
    <x v="3"/>
    <n v="12.495000000000001"/>
    <n v="29.75"/>
    <n v="17.254999999999999"/>
  </r>
  <r>
    <x v="292"/>
    <n v="276"/>
    <s v="QA430"/>
    <x v="2"/>
    <x v="68"/>
    <n v="1593.8999999999996"/>
    <n v="0.3299999999999999"/>
    <x v="2"/>
    <x v="0"/>
    <x v="2"/>
    <n v="5.7749999999999986"/>
    <n v="17.5"/>
    <n v="11.725000000000001"/>
  </r>
  <r>
    <x v="292"/>
    <n v="24"/>
    <s v="255YN"/>
    <x v="3"/>
    <x v="59"/>
    <n v="237.59999999999997"/>
    <n v="0.43999999999999995"/>
    <x v="3"/>
    <x v="2"/>
    <x v="0"/>
    <n v="9.8999999999999986"/>
    <n v="22.5"/>
    <n v="12.600000000000001"/>
  </r>
  <r>
    <x v="293"/>
    <n v="96"/>
    <s v="175AP"/>
    <x v="0"/>
    <x v="29"/>
    <n v="1199.52"/>
    <n v="0.42000000000000004"/>
    <x v="0"/>
    <x v="0"/>
    <x v="3"/>
    <n v="12.495000000000001"/>
    <n v="29.75"/>
    <n v="17.254999999999999"/>
  </r>
  <r>
    <x v="294"/>
    <n v="72"/>
    <s v="255YN"/>
    <x v="0"/>
    <x v="2"/>
    <n v="712.8"/>
    <n v="0.43999999999999995"/>
    <x v="0"/>
    <x v="0"/>
    <x v="0"/>
    <n v="9.8999999999999986"/>
    <n v="22.5"/>
    <n v="12.600000000000001"/>
  </r>
  <r>
    <x v="294"/>
    <n v="48"/>
    <s v="QA430"/>
    <x v="1"/>
    <x v="53"/>
    <n v="277.19999999999993"/>
    <n v="0.3299999999999999"/>
    <x v="1"/>
    <x v="1"/>
    <x v="2"/>
    <n v="5.7749999999999986"/>
    <n v="17.5"/>
    <n v="11.725000000000001"/>
  </r>
  <r>
    <x v="294"/>
    <n v="96"/>
    <s v="QA430"/>
    <x v="1"/>
    <x v="45"/>
    <n v="554.39999999999986"/>
    <n v="0.3299999999999999"/>
    <x v="1"/>
    <x v="1"/>
    <x v="2"/>
    <n v="5.7749999999999986"/>
    <n v="17.5"/>
    <n v="11.725000000000001"/>
  </r>
  <r>
    <x v="294"/>
    <n v="60"/>
    <s v="100CR"/>
    <x v="0"/>
    <x v="35"/>
    <n v="1176"/>
    <n v="0.56000000000000005"/>
    <x v="0"/>
    <x v="0"/>
    <x v="4"/>
    <n v="19.600000000000001"/>
    <n v="35"/>
    <n v="15.4"/>
  </r>
  <r>
    <x v="295"/>
    <n v="252"/>
    <s v="175AP"/>
    <x v="0"/>
    <x v="67"/>
    <n v="3148.7400000000007"/>
    <n v="0.42000000000000004"/>
    <x v="0"/>
    <x v="0"/>
    <x v="3"/>
    <n v="12.495000000000001"/>
    <n v="29.75"/>
    <n v="17.254999999999999"/>
  </r>
  <r>
    <x v="296"/>
    <n v="168"/>
    <s v="QA430"/>
    <x v="1"/>
    <x v="43"/>
    <n v="970.19999999999982"/>
    <n v="0.3299999999999999"/>
    <x v="1"/>
    <x v="1"/>
    <x v="2"/>
    <n v="5.7749999999999986"/>
    <n v="17.5"/>
    <n v="11.725000000000001"/>
  </r>
  <r>
    <x v="296"/>
    <n v="144"/>
    <s v="BL579"/>
    <x v="3"/>
    <x v="13"/>
    <n v="2642.9760000000001"/>
    <n v="0.42000000000000004"/>
    <x v="3"/>
    <x v="2"/>
    <x v="1"/>
    <n v="18.354000000000003"/>
    <n v="43.7"/>
    <n v="25.346"/>
  </r>
  <r>
    <x v="297"/>
    <n v="264"/>
    <s v="175AP"/>
    <x v="0"/>
    <x v="18"/>
    <n v="3298.6800000000003"/>
    <n v="0.42000000000000004"/>
    <x v="0"/>
    <x v="0"/>
    <x v="3"/>
    <n v="12.495000000000001"/>
    <n v="29.75"/>
    <n v="17.254999999999999"/>
  </r>
  <r>
    <x v="297"/>
    <n v="276"/>
    <s v="BL579"/>
    <x v="3"/>
    <x v="103"/>
    <n v="5065.7040000000006"/>
    <n v="0.42000000000000004"/>
    <x v="3"/>
    <x v="2"/>
    <x v="1"/>
    <n v="18.354000000000003"/>
    <n v="43.7"/>
    <n v="25.346"/>
  </r>
  <r>
    <x v="297"/>
    <n v="228"/>
    <s v="100CR"/>
    <x v="2"/>
    <x v="27"/>
    <n v="4468.7999999999993"/>
    <n v="0.56000000000000005"/>
    <x v="2"/>
    <x v="0"/>
    <x v="4"/>
    <n v="19.600000000000001"/>
    <n v="35"/>
    <n v="15.4"/>
  </r>
  <r>
    <x v="297"/>
    <n v="240"/>
    <s v="255YN"/>
    <x v="2"/>
    <x v="96"/>
    <n v="2375.9999999999995"/>
    <n v="0.43999999999999995"/>
    <x v="2"/>
    <x v="0"/>
    <x v="0"/>
    <n v="9.8999999999999986"/>
    <n v="22.5"/>
    <n v="12.600000000000001"/>
  </r>
  <r>
    <x v="297"/>
    <n v="96"/>
    <s v="100CR"/>
    <x v="4"/>
    <x v="16"/>
    <n v="1881.6"/>
    <n v="0.56000000000000005"/>
    <x v="4"/>
    <x v="3"/>
    <x v="4"/>
    <n v="19.600000000000001"/>
    <n v="35"/>
    <n v="15.4"/>
  </r>
  <r>
    <x v="298"/>
    <n v="108"/>
    <s v="BL579"/>
    <x v="0"/>
    <x v="61"/>
    <n v="1982.2320000000004"/>
    <n v="0.42000000000000004"/>
    <x v="0"/>
    <x v="0"/>
    <x v="1"/>
    <n v="18.354000000000003"/>
    <n v="43.7"/>
    <n v="25.346"/>
  </r>
  <r>
    <x v="298"/>
    <n v="216"/>
    <s v="100CR"/>
    <x v="2"/>
    <x v="40"/>
    <n v="4233.6000000000004"/>
    <n v="0.56000000000000005"/>
    <x v="2"/>
    <x v="0"/>
    <x v="4"/>
    <n v="19.600000000000001"/>
    <n v="35"/>
    <n v="15.4"/>
  </r>
  <r>
    <x v="298"/>
    <n v="168"/>
    <s v="175AP"/>
    <x v="4"/>
    <x v="57"/>
    <n v="2099.1600000000003"/>
    <n v="0.42000000000000004"/>
    <x v="4"/>
    <x v="3"/>
    <x v="3"/>
    <n v="12.495000000000001"/>
    <n v="29.75"/>
    <n v="17.254999999999999"/>
  </r>
  <r>
    <x v="299"/>
    <n v="72"/>
    <s v="175AP"/>
    <x v="2"/>
    <x v="19"/>
    <n v="899.6400000000001"/>
    <n v="0.42000000000000004"/>
    <x v="2"/>
    <x v="0"/>
    <x v="3"/>
    <n v="12.495000000000001"/>
    <n v="29.75"/>
    <n v="17.254999999999999"/>
  </r>
  <r>
    <x v="299"/>
    <n v="300"/>
    <s v="BL579"/>
    <x v="1"/>
    <x v="75"/>
    <n v="5506.2"/>
    <n v="0.42000000000000004"/>
    <x v="1"/>
    <x v="1"/>
    <x v="1"/>
    <n v="18.354000000000003"/>
    <n v="43.7"/>
    <n v="25.346"/>
  </r>
  <r>
    <x v="300"/>
    <n v="156"/>
    <s v="100CR"/>
    <x v="3"/>
    <x v="54"/>
    <n v="3057.6"/>
    <n v="0.56000000000000005"/>
    <x v="3"/>
    <x v="2"/>
    <x v="4"/>
    <n v="19.600000000000001"/>
    <n v="35"/>
    <n v="15.4"/>
  </r>
  <r>
    <x v="300"/>
    <n v="48"/>
    <s v="175AP"/>
    <x v="1"/>
    <x v="22"/>
    <n v="599.76"/>
    <n v="0.42000000000000004"/>
    <x v="1"/>
    <x v="1"/>
    <x v="3"/>
    <n v="12.495000000000001"/>
    <n v="29.75"/>
    <n v="17.254999999999999"/>
  </r>
  <r>
    <x v="300"/>
    <n v="180"/>
    <s v="100CR"/>
    <x v="4"/>
    <x v="39"/>
    <n v="3528"/>
    <n v="0.56000000000000005"/>
    <x v="4"/>
    <x v="3"/>
    <x v="4"/>
    <n v="19.600000000000001"/>
    <n v="35"/>
    <n v="15.4"/>
  </r>
  <r>
    <x v="301"/>
    <n v="204"/>
    <s v="QA430"/>
    <x v="3"/>
    <x v="28"/>
    <n v="1178.0999999999999"/>
    <n v="0.3299999999999999"/>
    <x v="3"/>
    <x v="2"/>
    <x v="2"/>
    <n v="5.7749999999999986"/>
    <n v="17.5"/>
    <n v="11.725000000000001"/>
  </r>
  <r>
    <x v="301"/>
    <n v="132"/>
    <s v="100CR"/>
    <x v="1"/>
    <x v="82"/>
    <n v="2587.1999999999998"/>
    <n v="0.56000000000000005"/>
    <x v="1"/>
    <x v="1"/>
    <x v="4"/>
    <n v="19.600000000000001"/>
    <n v="35"/>
    <n v="15.4"/>
  </r>
  <r>
    <x v="302"/>
    <n v="216"/>
    <s v="255YN"/>
    <x v="1"/>
    <x v="11"/>
    <n v="2138.3999999999996"/>
    <n v="0.43999999999999995"/>
    <x v="1"/>
    <x v="1"/>
    <x v="0"/>
    <n v="9.8999999999999986"/>
    <n v="22.5"/>
    <n v="12.600000000000001"/>
  </r>
  <r>
    <x v="302"/>
    <n v="276"/>
    <s v="255YN"/>
    <x v="2"/>
    <x v="9"/>
    <n v="2732.3999999999996"/>
    <n v="0.43999999999999995"/>
    <x v="2"/>
    <x v="0"/>
    <x v="0"/>
    <n v="9.8999999999999986"/>
    <n v="22.5"/>
    <n v="12.600000000000001"/>
  </r>
  <r>
    <x v="303"/>
    <n v="168"/>
    <s v="255YN"/>
    <x v="2"/>
    <x v="12"/>
    <n v="1663.1999999999998"/>
    <n v="0.43999999999999995"/>
    <x v="2"/>
    <x v="0"/>
    <x v="0"/>
    <n v="9.8999999999999986"/>
    <n v="22.5"/>
    <n v="12.600000000000001"/>
  </r>
  <r>
    <x v="303"/>
    <n v="156"/>
    <s v="BL579"/>
    <x v="2"/>
    <x v="73"/>
    <n v="2863.2240000000006"/>
    <n v="0.42000000000000004"/>
    <x v="2"/>
    <x v="0"/>
    <x v="1"/>
    <n v="18.354000000000003"/>
    <n v="43.7"/>
    <n v="25.346"/>
  </r>
  <r>
    <x v="304"/>
    <n v="144"/>
    <s v="100CR"/>
    <x v="1"/>
    <x v="91"/>
    <n v="2822.4"/>
    <n v="0.56000000000000005"/>
    <x v="1"/>
    <x v="1"/>
    <x v="4"/>
    <n v="19.600000000000001"/>
    <n v="35"/>
    <n v="15.4"/>
  </r>
  <r>
    <x v="304"/>
    <n v="84"/>
    <s v="BL579"/>
    <x v="3"/>
    <x v="77"/>
    <n v="1541.7360000000003"/>
    <n v="0.42000000000000004"/>
    <x v="3"/>
    <x v="2"/>
    <x v="1"/>
    <n v="18.354000000000003"/>
    <n v="43.7"/>
    <n v="25.346"/>
  </r>
  <r>
    <x v="304"/>
    <n v="168"/>
    <s v="100CR"/>
    <x v="2"/>
    <x v="48"/>
    <n v="3292.7999999999997"/>
    <n v="0.56000000000000005"/>
    <x v="2"/>
    <x v="0"/>
    <x v="4"/>
    <n v="19.600000000000001"/>
    <n v="35"/>
    <n v="15.4"/>
  </r>
  <r>
    <x v="305"/>
    <n v="240"/>
    <s v="BL579"/>
    <x v="4"/>
    <x v="93"/>
    <n v="4404.96"/>
    <n v="0.42000000000000004"/>
    <x v="4"/>
    <x v="3"/>
    <x v="1"/>
    <n v="18.354000000000003"/>
    <n v="43.7"/>
    <n v="25.346"/>
  </r>
  <r>
    <x v="305"/>
    <n v="72"/>
    <s v="255YN"/>
    <x v="1"/>
    <x v="2"/>
    <n v="712.8"/>
    <n v="0.43999999999999995"/>
    <x v="1"/>
    <x v="1"/>
    <x v="0"/>
    <n v="9.8999999999999986"/>
    <n v="22.5"/>
    <n v="12.600000000000001"/>
  </r>
  <r>
    <x v="306"/>
    <n v="36"/>
    <s v="255YN"/>
    <x v="3"/>
    <x v="36"/>
    <n v="356.4"/>
    <n v="0.43999999999999995"/>
    <x v="3"/>
    <x v="2"/>
    <x v="0"/>
    <n v="9.8999999999999986"/>
    <n v="22.5"/>
    <n v="12.600000000000001"/>
  </r>
  <r>
    <x v="306"/>
    <n v="216"/>
    <s v="100CR"/>
    <x v="4"/>
    <x v="40"/>
    <n v="4233.6000000000004"/>
    <n v="0.56000000000000005"/>
    <x v="4"/>
    <x v="3"/>
    <x v="4"/>
    <n v="19.600000000000001"/>
    <n v="35"/>
    <n v="15.4"/>
  </r>
  <r>
    <x v="307"/>
    <n v="72"/>
    <s v="100CR"/>
    <x v="4"/>
    <x v="51"/>
    <n v="1411.2"/>
    <n v="0.56000000000000005"/>
    <x v="4"/>
    <x v="3"/>
    <x v="4"/>
    <n v="19.600000000000001"/>
    <n v="35"/>
    <n v="15.4"/>
  </r>
  <r>
    <x v="307"/>
    <n v="204"/>
    <s v="BL579"/>
    <x v="3"/>
    <x v="1"/>
    <n v="3744.2160000000013"/>
    <n v="0.42000000000000004"/>
    <x v="3"/>
    <x v="2"/>
    <x v="1"/>
    <n v="18.354000000000003"/>
    <n v="43.7"/>
    <n v="25.346"/>
  </r>
  <r>
    <x v="308"/>
    <n v="36"/>
    <s v="175AP"/>
    <x v="3"/>
    <x v="37"/>
    <n v="449.82000000000005"/>
    <n v="0.42000000000000004"/>
    <x v="3"/>
    <x v="2"/>
    <x v="3"/>
    <n v="12.495000000000001"/>
    <n v="29.75"/>
    <n v="17.254999999999999"/>
  </r>
  <r>
    <x v="308"/>
    <n v="120"/>
    <s v="100CR"/>
    <x v="4"/>
    <x v="79"/>
    <n v="2352"/>
    <n v="0.56000000000000005"/>
    <x v="4"/>
    <x v="3"/>
    <x v="4"/>
    <n v="19.600000000000001"/>
    <n v="35"/>
    <n v="15.4"/>
  </r>
  <r>
    <x v="309"/>
    <n v="204"/>
    <s v="175AP"/>
    <x v="2"/>
    <x v="30"/>
    <n v="2548.98"/>
    <n v="0.42000000000000004"/>
    <x v="2"/>
    <x v="0"/>
    <x v="3"/>
    <n v="12.495000000000001"/>
    <n v="29.75"/>
    <n v="17.254999999999999"/>
  </r>
  <r>
    <x v="309"/>
    <n v="288"/>
    <s v="255YN"/>
    <x v="4"/>
    <x v="65"/>
    <n v="2851.2"/>
    <n v="0.43999999999999995"/>
    <x v="4"/>
    <x v="3"/>
    <x v="0"/>
    <n v="9.8999999999999986"/>
    <n v="22.5"/>
    <n v="12.600000000000001"/>
  </r>
  <r>
    <x v="309"/>
    <n v="276"/>
    <s v="QA430"/>
    <x v="0"/>
    <x v="68"/>
    <n v="1593.8999999999996"/>
    <n v="0.3299999999999999"/>
    <x v="0"/>
    <x v="0"/>
    <x v="2"/>
    <n v="5.7749999999999986"/>
    <n v="17.5"/>
    <n v="11.725000000000001"/>
  </r>
  <r>
    <x v="310"/>
    <n v="288"/>
    <s v="255YN"/>
    <x v="0"/>
    <x v="65"/>
    <n v="2851.2"/>
    <n v="0.43999999999999995"/>
    <x v="0"/>
    <x v="0"/>
    <x v="0"/>
    <n v="9.8999999999999986"/>
    <n v="22.5"/>
    <n v="12.600000000000001"/>
  </r>
  <r>
    <x v="310"/>
    <n v="228"/>
    <s v="100CR"/>
    <x v="0"/>
    <x v="27"/>
    <n v="4468.7999999999993"/>
    <n v="0.56000000000000005"/>
    <x v="0"/>
    <x v="0"/>
    <x v="4"/>
    <n v="19.600000000000001"/>
    <n v="35"/>
    <n v="15.4"/>
  </r>
  <r>
    <x v="311"/>
    <n v="144"/>
    <s v="175AP"/>
    <x v="4"/>
    <x v="97"/>
    <n v="1799.2800000000002"/>
    <n v="0.42000000000000004"/>
    <x v="4"/>
    <x v="3"/>
    <x v="3"/>
    <n v="12.495000000000001"/>
    <n v="29.75"/>
    <n v="17.254999999999999"/>
  </r>
  <r>
    <x v="312"/>
    <n v="204"/>
    <s v="100CR"/>
    <x v="3"/>
    <x v="78"/>
    <n v="3998.4"/>
    <n v="0.56000000000000005"/>
    <x v="3"/>
    <x v="2"/>
    <x v="4"/>
    <n v="19.600000000000001"/>
    <n v="35"/>
    <n v="15.4"/>
  </r>
  <r>
    <x v="313"/>
    <n v="300"/>
    <s v="QA430"/>
    <x v="3"/>
    <x v="55"/>
    <n v="1732.4999999999995"/>
    <n v="0.3299999999999999"/>
    <x v="3"/>
    <x v="2"/>
    <x v="2"/>
    <n v="5.7749999999999986"/>
    <n v="17.5"/>
    <n v="11.725000000000001"/>
  </r>
  <r>
    <x v="314"/>
    <n v="132"/>
    <s v="QA430"/>
    <x v="2"/>
    <x v="14"/>
    <n v="762.29999999999973"/>
    <n v="0.3299999999999999"/>
    <x v="2"/>
    <x v="0"/>
    <x v="2"/>
    <n v="5.7749999999999986"/>
    <n v="17.5"/>
    <n v="11.725000000000001"/>
  </r>
  <r>
    <x v="315"/>
    <n v="252"/>
    <s v="QA430"/>
    <x v="1"/>
    <x v="104"/>
    <n v="1455.2999999999997"/>
    <n v="0.3299999999999999"/>
    <x v="1"/>
    <x v="1"/>
    <x v="2"/>
    <n v="5.7749999999999986"/>
    <n v="17.5"/>
    <n v="11.725000000000001"/>
  </r>
  <r>
    <x v="315"/>
    <n v="108"/>
    <s v="255YN"/>
    <x v="1"/>
    <x v="24"/>
    <n v="1069.1999999999998"/>
    <n v="0.43999999999999995"/>
    <x v="1"/>
    <x v="1"/>
    <x v="0"/>
    <n v="9.8999999999999986"/>
    <n v="22.5"/>
    <n v="12.600000000000001"/>
  </r>
  <r>
    <x v="316"/>
    <n v="72"/>
    <s v="BL579"/>
    <x v="1"/>
    <x v="44"/>
    <n v="1321.4880000000001"/>
    <n v="0.42000000000000004"/>
    <x v="1"/>
    <x v="1"/>
    <x v="1"/>
    <n v="18.354000000000003"/>
    <n v="43.7"/>
    <n v="25.346"/>
  </r>
  <r>
    <x v="316"/>
    <n v="24"/>
    <s v="175AP"/>
    <x v="0"/>
    <x v="15"/>
    <n v="299.88"/>
    <n v="0.42000000000000004"/>
    <x v="0"/>
    <x v="0"/>
    <x v="3"/>
    <n v="12.495000000000001"/>
    <n v="29.75"/>
    <n v="17.254999999999999"/>
  </r>
  <r>
    <x v="317"/>
    <n v="228"/>
    <s v="175AP"/>
    <x v="3"/>
    <x v="100"/>
    <n v="2848.86"/>
    <n v="0.42000000000000004"/>
    <x v="3"/>
    <x v="2"/>
    <x v="3"/>
    <n v="12.495000000000001"/>
    <n v="29.75"/>
    <n v="17.254999999999999"/>
  </r>
  <r>
    <x v="318"/>
    <n v="168"/>
    <s v="175AP"/>
    <x v="0"/>
    <x v="57"/>
    <n v="2099.1600000000003"/>
    <n v="0.42000000000000004"/>
    <x v="0"/>
    <x v="0"/>
    <x v="3"/>
    <n v="12.495000000000001"/>
    <n v="29.75"/>
    <n v="17.254999999999999"/>
  </r>
  <r>
    <x v="319"/>
    <n v="240"/>
    <s v="175AP"/>
    <x v="1"/>
    <x v="78"/>
    <n v="2998.8"/>
    <n v="0.42000000000000004"/>
    <x v="1"/>
    <x v="1"/>
    <x v="3"/>
    <n v="12.495000000000001"/>
    <n v="29.75"/>
    <n v="17.254999999999999"/>
  </r>
  <r>
    <x v="320"/>
    <n v="36"/>
    <s v="255YN"/>
    <x v="1"/>
    <x v="36"/>
    <n v="356.4"/>
    <n v="0.43999999999999995"/>
    <x v="1"/>
    <x v="1"/>
    <x v="0"/>
    <n v="9.8999999999999986"/>
    <n v="22.5"/>
    <n v="12.600000000000001"/>
  </r>
  <r>
    <x v="321"/>
    <n v="84"/>
    <s v="BL579"/>
    <x v="4"/>
    <x v="77"/>
    <n v="1541.7360000000003"/>
    <n v="0.42000000000000004"/>
    <x v="4"/>
    <x v="3"/>
    <x v="1"/>
    <n v="18.354000000000003"/>
    <n v="43.7"/>
    <n v="25.346"/>
  </r>
  <r>
    <x v="321"/>
    <n v="192"/>
    <s v="BL579"/>
    <x v="3"/>
    <x v="74"/>
    <n v="3523.9680000000017"/>
    <n v="0.42000000000000004"/>
    <x v="3"/>
    <x v="2"/>
    <x v="1"/>
    <n v="18.354000000000003"/>
    <n v="43.7"/>
    <n v="25.346"/>
  </r>
  <r>
    <x v="322"/>
    <n v="108"/>
    <s v="100CR"/>
    <x v="1"/>
    <x v="12"/>
    <n v="2116.8000000000002"/>
    <n v="0.56000000000000005"/>
    <x v="1"/>
    <x v="1"/>
    <x v="4"/>
    <n v="19.600000000000001"/>
    <n v="35"/>
    <n v="15.4"/>
  </r>
  <r>
    <x v="322"/>
    <n v="72"/>
    <s v="175AP"/>
    <x v="3"/>
    <x v="19"/>
    <n v="899.6400000000001"/>
    <n v="0.42000000000000004"/>
    <x v="3"/>
    <x v="2"/>
    <x v="3"/>
    <n v="12.495000000000001"/>
    <n v="29.75"/>
    <n v="17.254999999999999"/>
  </r>
  <r>
    <x v="323"/>
    <n v="48"/>
    <s v="QA430"/>
    <x v="4"/>
    <x v="53"/>
    <n v="277.19999999999993"/>
    <n v="0.3299999999999999"/>
    <x v="4"/>
    <x v="3"/>
    <x v="2"/>
    <n v="5.7749999999999986"/>
    <n v="17.5"/>
    <n v="11.725000000000001"/>
  </r>
  <r>
    <x v="323"/>
    <n v="168"/>
    <s v="175AP"/>
    <x v="2"/>
    <x v="57"/>
    <n v="2099.1600000000003"/>
    <n v="0.42000000000000004"/>
    <x v="2"/>
    <x v="0"/>
    <x v="3"/>
    <n v="12.495000000000001"/>
    <n v="29.75"/>
    <n v="17.254999999999999"/>
  </r>
  <r>
    <x v="323"/>
    <n v="36"/>
    <s v="255YN"/>
    <x v="1"/>
    <x v="36"/>
    <n v="356.4"/>
    <n v="0.43999999999999995"/>
    <x v="1"/>
    <x v="1"/>
    <x v="0"/>
    <n v="9.8999999999999986"/>
    <n v="22.5"/>
    <n v="12.600000000000001"/>
  </r>
  <r>
    <x v="323"/>
    <n v="144"/>
    <s v="BL579"/>
    <x v="1"/>
    <x v="13"/>
    <n v="2642.9760000000001"/>
    <n v="0.42000000000000004"/>
    <x v="1"/>
    <x v="1"/>
    <x v="1"/>
    <n v="18.354000000000003"/>
    <n v="43.7"/>
    <n v="25.346"/>
  </r>
  <r>
    <x v="323"/>
    <n v="72"/>
    <s v="BL579"/>
    <x v="2"/>
    <x v="44"/>
    <n v="1321.4880000000001"/>
    <n v="0.42000000000000004"/>
    <x v="2"/>
    <x v="0"/>
    <x v="1"/>
    <n v="18.354000000000003"/>
    <n v="43.7"/>
    <n v="25.346"/>
  </r>
  <r>
    <x v="324"/>
    <n v="156"/>
    <s v="255YN"/>
    <x v="0"/>
    <x v="0"/>
    <n v="1544.3999999999999"/>
    <n v="0.43999999999999995"/>
    <x v="0"/>
    <x v="0"/>
    <x v="0"/>
    <n v="9.8999999999999986"/>
    <n v="22.5"/>
    <n v="12.600000000000001"/>
  </r>
  <r>
    <x v="325"/>
    <n v="144"/>
    <s v="BL579"/>
    <x v="2"/>
    <x v="13"/>
    <n v="2642.9760000000001"/>
    <n v="0.42000000000000004"/>
    <x v="2"/>
    <x v="0"/>
    <x v="1"/>
    <n v="18.354000000000003"/>
    <n v="43.7"/>
    <n v="25.346"/>
  </r>
  <r>
    <x v="326"/>
    <n v="168"/>
    <s v="255YN"/>
    <x v="2"/>
    <x v="12"/>
    <n v="1663.1999999999998"/>
    <n v="0.43999999999999995"/>
    <x v="2"/>
    <x v="0"/>
    <x v="0"/>
    <n v="9.8999999999999986"/>
    <n v="22.5"/>
    <n v="12.600000000000001"/>
  </r>
  <r>
    <x v="326"/>
    <n v="168"/>
    <s v="255YN"/>
    <x v="3"/>
    <x v="12"/>
    <n v="1663.1999999999998"/>
    <n v="0.43999999999999995"/>
    <x v="3"/>
    <x v="2"/>
    <x v="0"/>
    <n v="9.8999999999999986"/>
    <n v="22.5"/>
    <n v="12.600000000000001"/>
  </r>
  <r>
    <x v="326"/>
    <n v="108"/>
    <s v="100CR"/>
    <x v="0"/>
    <x v="12"/>
    <n v="2116.8000000000002"/>
    <n v="0.56000000000000005"/>
    <x v="0"/>
    <x v="0"/>
    <x v="4"/>
    <n v="19.600000000000001"/>
    <n v="35"/>
    <n v="15.4"/>
  </r>
  <r>
    <x v="326"/>
    <n v="24"/>
    <s v="100CR"/>
    <x v="1"/>
    <x v="53"/>
    <n v="470.4"/>
    <n v="0.56000000000000005"/>
    <x v="1"/>
    <x v="1"/>
    <x v="4"/>
    <n v="19.600000000000001"/>
    <n v="35"/>
    <n v="15.4"/>
  </r>
  <r>
    <x v="326"/>
    <n v="84"/>
    <s v="175AP"/>
    <x v="4"/>
    <x v="6"/>
    <n v="1049.5800000000002"/>
    <n v="0.42000000000000004"/>
    <x v="4"/>
    <x v="3"/>
    <x v="3"/>
    <n v="12.495000000000001"/>
    <n v="29.75"/>
    <n v="17.254999999999999"/>
  </r>
  <r>
    <x v="327"/>
    <n v="216"/>
    <s v="BL579"/>
    <x v="2"/>
    <x v="38"/>
    <n v="3964.4640000000009"/>
    <n v="0.42000000000000004"/>
    <x v="2"/>
    <x v="0"/>
    <x v="1"/>
    <n v="18.354000000000003"/>
    <n v="43.7"/>
    <n v="25.346"/>
  </r>
  <r>
    <x v="327"/>
    <n v="72"/>
    <s v="BL579"/>
    <x v="4"/>
    <x v="44"/>
    <n v="1321.4880000000001"/>
    <n v="0.42000000000000004"/>
    <x v="4"/>
    <x v="3"/>
    <x v="1"/>
    <n v="18.354000000000003"/>
    <n v="43.7"/>
    <n v="25.346"/>
  </r>
  <r>
    <x v="328"/>
    <n v="60"/>
    <s v="255YN"/>
    <x v="0"/>
    <x v="46"/>
    <n v="593.99999999999989"/>
    <n v="0.43999999999999995"/>
    <x v="0"/>
    <x v="0"/>
    <x v="0"/>
    <n v="9.8999999999999986"/>
    <n v="22.5"/>
    <n v="12.600000000000001"/>
  </r>
  <r>
    <x v="328"/>
    <n v="24"/>
    <s v="100CR"/>
    <x v="0"/>
    <x v="53"/>
    <n v="470.4"/>
    <n v="0.56000000000000005"/>
    <x v="0"/>
    <x v="0"/>
    <x v="4"/>
    <n v="19.600000000000001"/>
    <n v="35"/>
    <n v="15.4"/>
  </r>
  <r>
    <x v="329"/>
    <n v="168"/>
    <s v="255YN"/>
    <x v="0"/>
    <x v="12"/>
    <n v="1663.1999999999998"/>
    <n v="0.43999999999999995"/>
    <x v="0"/>
    <x v="0"/>
    <x v="0"/>
    <n v="9.8999999999999986"/>
    <n v="22.5"/>
    <n v="12.600000000000001"/>
  </r>
  <r>
    <x v="329"/>
    <n v="156"/>
    <s v="QA430"/>
    <x v="2"/>
    <x v="106"/>
    <n v="900.89999999999986"/>
    <n v="0.3299999999999999"/>
    <x v="2"/>
    <x v="0"/>
    <x v="2"/>
    <n v="5.7749999999999986"/>
    <n v="17.5"/>
    <n v="11.725000000000001"/>
  </r>
  <r>
    <x v="330"/>
    <n v="192"/>
    <s v="255YN"/>
    <x v="4"/>
    <x v="86"/>
    <n v="1900.7999999999997"/>
    <n v="0.43999999999999995"/>
    <x v="4"/>
    <x v="3"/>
    <x v="0"/>
    <n v="9.8999999999999986"/>
    <n v="22.5"/>
    <n v="12.600000000000001"/>
  </r>
  <r>
    <x v="330"/>
    <n v="48"/>
    <s v="175AP"/>
    <x v="2"/>
    <x v="22"/>
    <n v="599.76"/>
    <n v="0.42000000000000004"/>
    <x v="2"/>
    <x v="0"/>
    <x v="3"/>
    <n v="12.495000000000001"/>
    <n v="29.75"/>
    <n v="17.254999999999999"/>
  </r>
  <r>
    <x v="331"/>
    <n v="120"/>
    <s v="QA430"/>
    <x v="1"/>
    <x v="35"/>
    <n v="692.99999999999977"/>
    <n v="0.3299999999999999"/>
    <x v="1"/>
    <x v="1"/>
    <x v="2"/>
    <n v="5.7749999999999986"/>
    <n v="17.5"/>
    <n v="11.725000000000001"/>
  </r>
  <r>
    <x v="332"/>
    <n v="72"/>
    <s v="255YN"/>
    <x v="4"/>
    <x v="2"/>
    <n v="712.8"/>
    <n v="0.43999999999999995"/>
    <x v="4"/>
    <x v="3"/>
    <x v="0"/>
    <n v="9.8999999999999986"/>
    <n v="22.5"/>
    <n v="12.600000000000001"/>
  </r>
  <r>
    <x v="332"/>
    <n v="132"/>
    <s v="BL579"/>
    <x v="3"/>
    <x v="31"/>
    <n v="2422.7280000000005"/>
    <n v="0.42000000000000004"/>
    <x v="3"/>
    <x v="2"/>
    <x v="1"/>
    <n v="18.354000000000003"/>
    <n v="43.7"/>
    <n v="25.346"/>
  </r>
  <r>
    <x v="332"/>
    <n v="252"/>
    <s v="BL579"/>
    <x v="2"/>
    <x v="17"/>
    <n v="4625.2080000000014"/>
    <n v="0.42000000000000004"/>
    <x v="2"/>
    <x v="0"/>
    <x v="1"/>
    <n v="18.354000000000003"/>
    <n v="43.7"/>
    <n v="25.346"/>
  </r>
  <r>
    <x v="333"/>
    <n v="120"/>
    <s v="100CR"/>
    <x v="0"/>
    <x v="79"/>
    <n v="2352"/>
    <n v="0.56000000000000005"/>
    <x v="0"/>
    <x v="0"/>
    <x v="4"/>
    <n v="19.600000000000001"/>
    <n v="35"/>
    <n v="15.4"/>
  </r>
  <r>
    <x v="333"/>
    <n v="204"/>
    <s v="QA430"/>
    <x v="4"/>
    <x v="28"/>
    <n v="1178.0999999999999"/>
    <n v="0.3299999999999999"/>
    <x v="4"/>
    <x v="3"/>
    <x v="2"/>
    <n v="5.7749999999999986"/>
    <n v="17.5"/>
    <n v="11.725000000000001"/>
  </r>
  <r>
    <x v="333"/>
    <n v="144"/>
    <s v="QA430"/>
    <x v="3"/>
    <x v="51"/>
    <n v="831.59999999999991"/>
    <n v="0.3299999999999999"/>
    <x v="3"/>
    <x v="2"/>
    <x v="2"/>
    <n v="5.7749999999999986"/>
    <n v="17.5"/>
    <n v="11.725000000000001"/>
  </r>
  <r>
    <x v="334"/>
    <n v="264"/>
    <s v="255YN"/>
    <x v="0"/>
    <x v="69"/>
    <n v="2613.5999999999995"/>
    <n v="0.43999999999999995"/>
    <x v="0"/>
    <x v="0"/>
    <x v="0"/>
    <n v="9.8999999999999986"/>
    <n v="22.5"/>
    <n v="12.600000000000001"/>
  </r>
  <r>
    <x v="334"/>
    <n v="24"/>
    <s v="100CR"/>
    <x v="1"/>
    <x v="53"/>
    <n v="470.4"/>
    <n v="0.56000000000000005"/>
    <x v="1"/>
    <x v="1"/>
    <x v="4"/>
    <n v="19.600000000000001"/>
    <n v="35"/>
    <n v="15.4"/>
  </r>
  <r>
    <x v="334"/>
    <n v="204"/>
    <s v="BL579"/>
    <x v="3"/>
    <x v="1"/>
    <n v="3744.2160000000013"/>
    <n v="0.42000000000000004"/>
    <x v="3"/>
    <x v="2"/>
    <x v="1"/>
    <n v="18.354000000000003"/>
    <n v="43.7"/>
    <n v="25.346"/>
  </r>
  <r>
    <x v="335"/>
    <n v="60"/>
    <s v="255YN"/>
    <x v="1"/>
    <x v="46"/>
    <n v="593.99999999999989"/>
    <n v="0.43999999999999995"/>
    <x v="1"/>
    <x v="1"/>
    <x v="0"/>
    <n v="9.8999999999999986"/>
    <n v="22.5"/>
    <n v="12.600000000000001"/>
  </r>
  <r>
    <x v="335"/>
    <n v="252"/>
    <s v="QA430"/>
    <x v="4"/>
    <x v="104"/>
    <n v="1455.2999999999997"/>
    <n v="0.3299999999999999"/>
    <x v="4"/>
    <x v="3"/>
    <x v="2"/>
    <n v="5.7749999999999986"/>
    <n v="17.5"/>
    <n v="11.725000000000001"/>
  </r>
  <r>
    <x v="336"/>
    <n v="168"/>
    <s v="100CR"/>
    <x v="4"/>
    <x v="48"/>
    <n v="3292.7999999999997"/>
    <n v="0.56000000000000005"/>
    <x v="4"/>
    <x v="3"/>
    <x v="4"/>
    <n v="19.600000000000001"/>
    <n v="35"/>
    <n v="15.4"/>
  </r>
  <r>
    <x v="336"/>
    <n v="192"/>
    <s v="100CR"/>
    <x v="4"/>
    <x v="62"/>
    <n v="3763.2"/>
    <n v="0.56000000000000005"/>
    <x v="4"/>
    <x v="3"/>
    <x v="4"/>
    <n v="19.600000000000001"/>
    <n v="35"/>
    <n v="15.4"/>
  </r>
  <r>
    <x v="337"/>
    <n v="276"/>
    <s v="175AP"/>
    <x v="2"/>
    <x v="84"/>
    <n v="3448.62"/>
    <n v="0.42000000000000004"/>
    <x v="2"/>
    <x v="0"/>
    <x v="3"/>
    <n v="12.495000000000001"/>
    <n v="29.75"/>
    <n v="17.254999999999999"/>
  </r>
  <r>
    <x v="338"/>
    <n v="120"/>
    <s v="175AP"/>
    <x v="0"/>
    <x v="28"/>
    <n v="1499.4"/>
    <n v="0.42000000000000004"/>
    <x v="0"/>
    <x v="0"/>
    <x v="3"/>
    <n v="12.495000000000001"/>
    <n v="29.75"/>
    <n v="17.254999999999999"/>
  </r>
  <r>
    <x v="339"/>
    <n v="156"/>
    <s v="100CR"/>
    <x v="2"/>
    <x v="54"/>
    <n v="3057.6"/>
    <n v="0.56000000000000005"/>
    <x v="2"/>
    <x v="0"/>
    <x v="4"/>
    <n v="19.600000000000001"/>
    <n v="35"/>
    <n v="15.4"/>
  </r>
  <r>
    <x v="340"/>
    <n v="60"/>
    <s v="100CR"/>
    <x v="2"/>
    <x v="35"/>
    <n v="1176"/>
    <n v="0.56000000000000005"/>
    <x v="2"/>
    <x v="0"/>
    <x v="4"/>
    <n v="19.600000000000001"/>
    <n v="35"/>
    <n v="15.4"/>
  </r>
  <r>
    <x v="340"/>
    <n v="24"/>
    <s v="BL579"/>
    <x v="2"/>
    <x v="64"/>
    <n v="440.49600000000021"/>
    <n v="0.42000000000000004"/>
    <x v="2"/>
    <x v="0"/>
    <x v="1"/>
    <n v="18.354000000000003"/>
    <n v="43.7"/>
    <n v="25.346"/>
  </r>
  <r>
    <x v="341"/>
    <n v="132"/>
    <s v="100CR"/>
    <x v="4"/>
    <x v="82"/>
    <n v="2587.1999999999998"/>
    <n v="0.56000000000000005"/>
    <x v="4"/>
    <x v="3"/>
    <x v="4"/>
    <n v="19.600000000000001"/>
    <n v="35"/>
    <n v="15.4"/>
  </r>
  <r>
    <x v="341"/>
    <n v="252"/>
    <s v="175AP"/>
    <x v="1"/>
    <x v="67"/>
    <n v="3148.7400000000007"/>
    <n v="0.42000000000000004"/>
    <x v="1"/>
    <x v="1"/>
    <x v="3"/>
    <n v="12.495000000000001"/>
    <n v="29.75"/>
    <n v="17.254999999999999"/>
  </r>
  <r>
    <x v="342"/>
    <n v="96"/>
    <s v="100CR"/>
    <x v="3"/>
    <x v="16"/>
    <n v="1881.6"/>
    <n v="0.56000000000000005"/>
    <x v="3"/>
    <x v="2"/>
    <x v="4"/>
    <n v="19.600000000000001"/>
    <n v="35"/>
    <n v="15.4"/>
  </r>
  <r>
    <x v="343"/>
    <n v="228"/>
    <s v="100CR"/>
    <x v="2"/>
    <x v="27"/>
    <n v="4468.7999999999993"/>
    <n v="0.56000000000000005"/>
    <x v="2"/>
    <x v="0"/>
    <x v="4"/>
    <n v="19.600000000000001"/>
    <n v="35"/>
    <n v="15.4"/>
  </r>
  <r>
    <x v="343"/>
    <n v="300"/>
    <s v="175AP"/>
    <x v="2"/>
    <x v="90"/>
    <n v="3748.5"/>
    <n v="0.42000000000000004"/>
    <x v="2"/>
    <x v="0"/>
    <x v="3"/>
    <n v="12.495000000000001"/>
    <n v="29.75"/>
    <n v="17.254999999999999"/>
  </r>
  <r>
    <x v="344"/>
    <n v="252"/>
    <s v="175AP"/>
    <x v="3"/>
    <x v="67"/>
    <n v="3148.7400000000007"/>
    <n v="0.42000000000000004"/>
    <x v="3"/>
    <x v="2"/>
    <x v="3"/>
    <n v="12.495000000000001"/>
    <n v="29.75"/>
    <n v="17.254999999999999"/>
  </r>
  <r>
    <x v="344"/>
    <n v="288"/>
    <s v="255YN"/>
    <x v="4"/>
    <x v="65"/>
    <n v="2851.2"/>
    <n v="0.43999999999999995"/>
    <x v="4"/>
    <x v="3"/>
    <x v="0"/>
    <n v="9.8999999999999986"/>
    <n v="22.5"/>
    <n v="12.600000000000001"/>
  </r>
  <r>
    <x v="344"/>
    <n v="168"/>
    <s v="100CR"/>
    <x v="2"/>
    <x v="48"/>
    <n v="3292.7999999999997"/>
    <n v="0.56000000000000005"/>
    <x v="2"/>
    <x v="0"/>
    <x v="4"/>
    <n v="19.600000000000001"/>
    <n v="35"/>
    <n v="15.4"/>
  </r>
  <r>
    <x v="344"/>
    <n v="264"/>
    <s v="255YN"/>
    <x v="1"/>
    <x v="69"/>
    <n v="2613.5999999999995"/>
    <n v="0.43999999999999995"/>
    <x v="1"/>
    <x v="1"/>
    <x v="0"/>
    <n v="9.8999999999999986"/>
    <n v="22.5"/>
    <n v="12.600000000000001"/>
  </r>
  <r>
    <x v="345"/>
    <n v="156"/>
    <s v="255YN"/>
    <x v="1"/>
    <x v="0"/>
    <n v="1544.3999999999999"/>
    <n v="0.43999999999999995"/>
    <x v="1"/>
    <x v="1"/>
    <x v="0"/>
    <n v="9.8999999999999986"/>
    <n v="22.5"/>
    <n v="12.600000000000001"/>
  </r>
  <r>
    <x v="346"/>
    <n v="120"/>
    <s v="BL579"/>
    <x v="0"/>
    <x v="88"/>
    <n v="2202.48"/>
    <n v="0.42000000000000004"/>
    <x v="0"/>
    <x v="0"/>
    <x v="1"/>
    <n v="18.354000000000003"/>
    <n v="43.7"/>
    <n v="25.346"/>
  </r>
  <r>
    <x v="347"/>
    <n v="240"/>
    <s v="BL579"/>
    <x v="0"/>
    <x v="93"/>
    <n v="4404.96"/>
    <n v="0.42000000000000004"/>
    <x v="0"/>
    <x v="0"/>
    <x v="1"/>
    <n v="18.354000000000003"/>
    <n v="43.7"/>
    <n v="25.346"/>
  </r>
  <r>
    <x v="347"/>
    <n v="252"/>
    <s v="QA430"/>
    <x v="1"/>
    <x v="104"/>
    <n v="1455.2999999999997"/>
    <n v="0.3299999999999999"/>
    <x v="1"/>
    <x v="1"/>
    <x v="2"/>
    <n v="5.7749999999999986"/>
    <n v="17.5"/>
    <n v="11.725000000000001"/>
  </r>
  <r>
    <x v="347"/>
    <n v="84"/>
    <s v="QA430"/>
    <x v="1"/>
    <x v="10"/>
    <n v="485.09999999999991"/>
    <n v="0.3299999999999999"/>
    <x v="1"/>
    <x v="1"/>
    <x v="2"/>
    <n v="5.7749999999999986"/>
    <n v="17.5"/>
    <n v="11.725000000000001"/>
  </r>
  <r>
    <x v="348"/>
    <n v="192"/>
    <s v="BL579"/>
    <x v="3"/>
    <x v="74"/>
    <n v="3523.9680000000017"/>
    <n v="0.42000000000000004"/>
    <x v="3"/>
    <x v="2"/>
    <x v="1"/>
    <n v="18.354000000000003"/>
    <n v="43.7"/>
    <n v="25.346"/>
  </r>
  <r>
    <x v="348"/>
    <n v="120"/>
    <s v="QA430"/>
    <x v="1"/>
    <x v="35"/>
    <n v="692.99999999999977"/>
    <n v="0.3299999999999999"/>
    <x v="1"/>
    <x v="1"/>
    <x v="2"/>
    <n v="5.7749999999999986"/>
    <n v="17.5"/>
    <n v="11.725000000000001"/>
  </r>
  <r>
    <x v="348"/>
    <n v="288"/>
    <s v="255YN"/>
    <x v="0"/>
    <x v="65"/>
    <n v="2851.2"/>
    <n v="0.43999999999999995"/>
    <x v="0"/>
    <x v="0"/>
    <x v="0"/>
    <n v="9.8999999999999986"/>
    <n v="22.5"/>
    <n v="12.600000000000001"/>
  </r>
  <r>
    <x v="348"/>
    <n v="192"/>
    <s v="255YN"/>
    <x v="2"/>
    <x v="86"/>
    <n v="1900.7999999999997"/>
    <n v="0.43999999999999995"/>
    <x v="2"/>
    <x v="0"/>
    <x v="0"/>
    <n v="9.8999999999999986"/>
    <n v="22.5"/>
    <n v="12.600000000000001"/>
  </r>
  <r>
    <x v="349"/>
    <n v="180"/>
    <s v="100CR"/>
    <x v="2"/>
    <x v="39"/>
    <n v="3528"/>
    <n v="0.56000000000000005"/>
    <x v="2"/>
    <x v="0"/>
    <x v="4"/>
    <n v="19.600000000000001"/>
    <n v="35"/>
    <n v="15.4"/>
  </r>
  <r>
    <x v="349"/>
    <n v="132"/>
    <s v="255YN"/>
    <x v="2"/>
    <x v="66"/>
    <n v="1306.7999999999997"/>
    <n v="0.43999999999999995"/>
    <x v="2"/>
    <x v="0"/>
    <x v="0"/>
    <n v="9.8999999999999986"/>
    <n v="22.5"/>
    <n v="12.600000000000001"/>
  </r>
  <r>
    <x v="350"/>
    <n v="60"/>
    <s v="255YN"/>
    <x v="3"/>
    <x v="46"/>
    <n v="593.99999999999989"/>
    <n v="0.43999999999999995"/>
    <x v="3"/>
    <x v="2"/>
    <x v="0"/>
    <n v="9.8999999999999986"/>
    <n v="22.5"/>
    <n v="12.600000000000001"/>
  </r>
  <r>
    <x v="351"/>
    <n v="132"/>
    <s v="100CR"/>
    <x v="2"/>
    <x v="82"/>
    <n v="2587.1999999999998"/>
    <n v="0.56000000000000005"/>
    <x v="2"/>
    <x v="0"/>
    <x v="4"/>
    <n v="19.600000000000001"/>
    <n v="35"/>
    <n v="15.4"/>
  </r>
  <r>
    <x v="351"/>
    <n v="192"/>
    <s v="BL579"/>
    <x v="0"/>
    <x v="74"/>
    <n v="3523.9680000000017"/>
    <n v="0.42000000000000004"/>
    <x v="0"/>
    <x v="0"/>
    <x v="1"/>
    <n v="18.354000000000003"/>
    <n v="43.7"/>
    <n v="25.346"/>
  </r>
  <r>
    <x v="352"/>
    <n v="264"/>
    <s v="QA430"/>
    <x v="1"/>
    <x v="82"/>
    <n v="1524.5999999999995"/>
    <n v="0.3299999999999999"/>
    <x v="1"/>
    <x v="1"/>
    <x v="2"/>
    <n v="5.7749999999999986"/>
    <n v="17.5"/>
    <n v="11.725000000000001"/>
  </r>
  <r>
    <x v="353"/>
    <n v="216"/>
    <s v="175AP"/>
    <x v="1"/>
    <x v="98"/>
    <n v="2698.92"/>
    <n v="0.42000000000000004"/>
    <x v="1"/>
    <x v="1"/>
    <x v="3"/>
    <n v="12.495000000000001"/>
    <n v="29.75"/>
    <n v="17.254999999999999"/>
  </r>
  <r>
    <x v="354"/>
    <n v="204"/>
    <s v="255YN"/>
    <x v="4"/>
    <x v="89"/>
    <n v="2019.6"/>
    <n v="0.43999999999999995"/>
    <x v="4"/>
    <x v="3"/>
    <x v="0"/>
    <n v="9.8999999999999986"/>
    <n v="22.5"/>
    <n v="12.600000000000001"/>
  </r>
  <r>
    <x v="355"/>
    <n v="72"/>
    <s v="QA430"/>
    <x v="1"/>
    <x v="3"/>
    <n v="415.79999999999995"/>
    <n v="0.3299999999999999"/>
    <x v="1"/>
    <x v="1"/>
    <x v="2"/>
    <n v="5.7749999999999986"/>
    <n v="17.5"/>
    <n v="11.725000000000001"/>
  </r>
  <r>
    <x v="355"/>
    <n v="252"/>
    <s v="255YN"/>
    <x v="0"/>
    <x v="26"/>
    <n v="2494.7999999999997"/>
    <n v="0.43999999999999995"/>
    <x v="0"/>
    <x v="0"/>
    <x v="0"/>
    <n v="9.8999999999999986"/>
    <n v="22.5"/>
    <n v="12.600000000000001"/>
  </r>
  <r>
    <x v="356"/>
    <n v="240"/>
    <s v="255YN"/>
    <x v="4"/>
    <x v="96"/>
    <n v="2375.9999999999995"/>
    <n v="0.43999999999999995"/>
    <x v="4"/>
    <x v="3"/>
    <x v="0"/>
    <n v="9.8999999999999986"/>
    <n v="22.5"/>
    <n v="12.600000000000001"/>
  </r>
  <r>
    <x v="357"/>
    <n v="288"/>
    <s v="100CR"/>
    <x v="2"/>
    <x v="63"/>
    <n v="5644.8"/>
    <n v="0.56000000000000005"/>
    <x v="2"/>
    <x v="0"/>
    <x v="4"/>
    <n v="19.600000000000001"/>
    <n v="35"/>
    <n v="15.4"/>
  </r>
  <r>
    <x v="357"/>
    <n v="276"/>
    <s v="100CR"/>
    <x v="4"/>
    <x v="87"/>
    <n v="5409.5999999999995"/>
    <n v="0.56000000000000005"/>
    <x v="4"/>
    <x v="3"/>
    <x v="4"/>
    <n v="19.600000000000001"/>
    <n v="35"/>
    <n v="15.4"/>
  </r>
  <r>
    <x v="358"/>
    <n v="264"/>
    <s v="175AP"/>
    <x v="4"/>
    <x v="18"/>
    <n v="3298.6800000000003"/>
    <n v="0.42000000000000004"/>
    <x v="4"/>
    <x v="3"/>
    <x v="3"/>
    <n v="12.495000000000001"/>
    <n v="29.75"/>
    <n v="17.254999999999999"/>
  </r>
  <r>
    <x v="359"/>
    <n v="108"/>
    <s v="BL579"/>
    <x v="1"/>
    <x v="61"/>
    <n v="1982.2320000000004"/>
    <n v="0.42000000000000004"/>
    <x v="1"/>
    <x v="1"/>
    <x v="1"/>
    <n v="18.354000000000003"/>
    <n v="43.7"/>
    <n v="25.346"/>
  </r>
  <r>
    <x v="359"/>
    <n v="216"/>
    <s v="BL579"/>
    <x v="3"/>
    <x v="38"/>
    <n v="3964.4640000000009"/>
    <n v="0.42000000000000004"/>
    <x v="3"/>
    <x v="2"/>
    <x v="1"/>
    <n v="18.354000000000003"/>
    <n v="43.7"/>
    <n v="25.346"/>
  </r>
  <r>
    <x v="359"/>
    <n v="60"/>
    <s v="255YN"/>
    <x v="3"/>
    <x v="46"/>
    <n v="593.99999999999989"/>
    <n v="0.43999999999999995"/>
    <x v="3"/>
    <x v="2"/>
    <x v="0"/>
    <n v="9.8999999999999986"/>
    <n v="22.5"/>
    <n v="12.600000000000001"/>
  </r>
  <r>
    <x v="360"/>
    <n v="72"/>
    <s v="100CR"/>
    <x v="3"/>
    <x v="51"/>
    <n v="1411.2"/>
    <n v="0.56000000000000005"/>
    <x v="3"/>
    <x v="2"/>
    <x v="4"/>
    <n v="19.600000000000001"/>
    <n v="35"/>
    <n v="15.4"/>
  </r>
  <r>
    <x v="360"/>
    <n v="108"/>
    <s v="175AP"/>
    <x v="3"/>
    <x v="95"/>
    <n v="1349.46"/>
    <n v="0.42000000000000004"/>
    <x v="3"/>
    <x v="2"/>
    <x v="3"/>
    <n v="12.495000000000001"/>
    <n v="29.75"/>
    <n v="17.254999999999999"/>
  </r>
  <r>
    <x v="361"/>
    <n v="252"/>
    <s v="175AP"/>
    <x v="0"/>
    <x v="67"/>
    <n v="3148.7400000000007"/>
    <n v="0.42000000000000004"/>
    <x v="0"/>
    <x v="0"/>
    <x v="3"/>
    <n v="12.495000000000001"/>
    <n v="29.75"/>
    <n v="17.254999999999999"/>
  </r>
  <r>
    <x v="362"/>
    <n v="96"/>
    <s v="175AP"/>
    <x v="3"/>
    <x v="29"/>
    <n v="1199.52"/>
    <n v="0.42000000000000004"/>
    <x v="3"/>
    <x v="2"/>
    <x v="3"/>
    <n v="12.495000000000001"/>
    <n v="29.75"/>
    <n v="17.254999999999999"/>
  </r>
  <r>
    <x v="363"/>
    <n v="168"/>
    <s v="BL579"/>
    <x v="3"/>
    <x v="7"/>
    <n v="3083.4720000000007"/>
    <n v="0.42000000000000004"/>
    <x v="3"/>
    <x v="2"/>
    <x v="1"/>
    <n v="18.354000000000003"/>
    <n v="43.7"/>
    <n v="25.346"/>
  </r>
  <r>
    <x v="364"/>
    <n v="216"/>
    <s v="255YN"/>
    <x v="2"/>
    <x v="11"/>
    <n v="2138.3999999999996"/>
    <n v="0.43999999999999995"/>
    <x v="2"/>
    <x v="0"/>
    <x v="0"/>
    <n v="9.8999999999999986"/>
    <n v="22.5"/>
    <n v="12.600000000000001"/>
  </r>
  <r>
    <x v="364"/>
    <n v="36"/>
    <s v="255YN"/>
    <x v="1"/>
    <x v="36"/>
    <n v="356.4"/>
    <n v="0.43999999999999995"/>
    <x v="1"/>
    <x v="1"/>
    <x v="0"/>
    <n v="9.8999999999999986"/>
    <n v="22.5"/>
    <n v="12.600000000000001"/>
  </r>
  <r>
    <x v="364"/>
    <n v="180"/>
    <s v="QA430"/>
    <x v="4"/>
    <x v="101"/>
    <n v="1039.4999999999995"/>
    <n v="0.3299999999999999"/>
    <x v="4"/>
    <x v="3"/>
    <x v="2"/>
    <n v="5.7749999999999986"/>
    <n v="17.5"/>
    <n v="11.725000000000001"/>
  </r>
  <r>
    <x v="364"/>
    <n v="72"/>
    <s v="175AP"/>
    <x v="3"/>
    <x v="19"/>
    <n v="899.6400000000001"/>
    <n v="0.42000000000000004"/>
    <x v="3"/>
    <x v="2"/>
    <x v="3"/>
    <n v="12.495000000000001"/>
    <n v="29.75"/>
    <n v="17.254999999999999"/>
  </r>
  <r>
    <x v="365"/>
    <n v="252"/>
    <s v="175AP"/>
    <x v="2"/>
    <x v="67"/>
    <n v="3148.7400000000007"/>
    <n v="0.42000000000000004"/>
    <x v="2"/>
    <x v="0"/>
    <x v="3"/>
    <n v="12.495000000000001"/>
    <n v="29.75"/>
    <n v="17.254999999999999"/>
  </r>
  <r>
    <x v="365"/>
    <n v="300"/>
    <s v="100CR"/>
    <x v="4"/>
    <x v="56"/>
    <n v="5880"/>
    <n v="0.56000000000000005"/>
    <x v="4"/>
    <x v="3"/>
    <x v="4"/>
    <n v="19.600000000000001"/>
    <n v="35"/>
    <n v="15.4"/>
  </r>
  <r>
    <x v="365"/>
    <n v="24"/>
    <s v="100CR"/>
    <x v="3"/>
    <x v="53"/>
    <n v="470.4"/>
    <n v="0.56000000000000005"/>
    <x v="3"/>
    <x v="2"/>
    <x v="4"/>
    <n v="19.600000000000001"/>
    <n v="35"/>
    <n v="15.4"/>
  </r>
  <r>
    <x v="366"/>
    <n v="204"/>
    <s v="175AP"/>
    <x v="3"/>
    <x v="30"/>
    <n v="2548.98"/>
    <n v="0.42000000000000004"/>
    <x v="3"/>
    <x v="2"/>
    <x v="3"/>
    <n v="12.495000000000001"/>
    <n v="29.75"/>
    <n v="17.254999999999999"/>
  </r>
  <r>
    <x v="366"/>
    <n v="168"/>
    <s v="BL579"/>
    <x v="3"/>
    <x v="7"/>
    <n v="3083.4720000000007"/>
    <n v="0.42000000000000004"/>
    <x v="3"/>
    <x v="2"/>
    <x v="1"/>
    <n v="18.354000000000003"/>
    <n v="43.7"/>
    <n v="25.346"/>
  </r>
  <r>
    <x v="366"/>
    <n v="48"/>
    <s v="BL579"/>
    <x v="2"/>
    <x v="5"/>
    <n v="880.99200000000042"/>
    <n v="0.42000000000000004"/>
    <x v="2"/>
    <x v="0"/>
    <x v="1"/>
    <n v="18.354000000000003"/>
    <n v="43.7"/>
    <n v="25.346"/>
  </r>
  <r>
    <x v="366"/>
    <n v="120"/>
    <s v="QA430"/>
    <x v="3"/>
    <x v="35"/>
    <n v="692.99999999999977"/>
    <n v="0.3299999999999999"/>
    <x v="3"/>
    <x v="2"/>
    <x v="2"/>
    <n v="5.7749999999999986"/>
    <n v="17.5"/>
    <n v="11.725000000000001"/>
  </r>
  <r>
    <x v="367"/>
    <n v="72"/>
    <s v="100CR"/>
    <x v="2"/>
    <x v="51"/>
    <n v="1411.2"/>
    <n v="0.56000000000000005"/>
    <x v="2"/>
    <x v="0"/>
    <x v="4"/>
    <n v="19.600000000000001"/>
    <n v="35"/>
    <n v="15.4"/>
  </r>
  <r>
    <x v="367"/>
    <n v="72"/>
    <s v="QA430"/>
    <x v="4"/>
    <x v="3"/>
    <n v="415.79999999999995"/>
    <n v="0.3299999999999999"/>
    <x v="4"/>
    <x v="3"/>
    <x v="2"/>
    <n v="5.7749999999999986"/>
    <n v="17.5"/>
    <n v="11.725000000000001"/>
  </r>
  <r>
    <x v="367"/>
    <n v="120"/>
    <s v="255YN"/>
    <x v="3"/>
    <x v="58"/>
    <n v="1187.9999999999998"/>
    <n v="0.43999999999999995"/>
    <x v="3"/>
    <x v="2"/>
    <x v="0"/>
    <n v="9.8999999999999986"/>
    <n v="22.5"/>
    <n v="12.600000000000001"/>
  </r>
  <r>
    <x v="367"/>
    <n v="300"/>
    <s v="175AP"/>
    <x v="4"/>
    <x v="90"/>
    <n v="3748.5"/>
    <n v="0.42000000000000004"/>
    <x v="4"/>
    <x v="3"/>
    <x v="3"/>
    <n v="12.495000000000001"/>
    <n v="29.75"/>
    <n v="17.254999999999999"/>
  </r>
  <r>
    <x v="368"/>
    <n v="108"/>
    <s v="255YN"/>
    <x v="3"/>
    <x v="24"/>
    <n v="1069.1999999999998"/>
    <n v="0.43999999999999995"/>
    <x v="3"/>
    <x v="2"/>
    <x v="0"/>
    <n v="9.8999999999999986"/>
    <n v="22.5"/>
    <n v="12.600000000000001"/>
  </r>
  <r>
    <x v="369"/>
    <n v="24"/>
    <s v="255YN"/>
    <x v="0"/>
    <x v="59"/>
    <n v="237.59999999999997"/>
    <n v="0.43999999999999995"/>
    <x v="0"/>
    <x v="0"/>
    <x v="0"/>
    <n v="9.8999999999999986"/>
    <n v="22.5"/>
    <n v="12.600000000000001"/>
  </r>
  <r>
    <x v="370"/>
    <n v="276"/>
    <s v="100CR"/>
    <x v="2"/>
    <x v="87"/>
    <n v="5409.5999999999995"/>
    <n v="0.56000000000000005"/>
    <x v="2"/>
    <x v="0"/>
    <x v="4"/>
    <n v="19.600000000000001"/>
    <n v="35"/>
    <n v="15.4"/>
  </r>
  <r>
    <x v="371"/>
    <n v="36"/>
    <s v="BL579"/>
    <x v="1"/>
    <x v="4"/>
    <n v="660.74400000000003"/>
    <n v="0.42000000000000004"/>
    <x v="1"/>
    <x v="1"/>
    <x v="1"/>
    <n v="18.354000000000003"/>
    <n v="43.7"/>
    <n v="25.346"/>
  </r>
  <r>
    <x v="371"/>
    <n v="228"/>
    <s v="QA430"/>
    <x v="2"/>
    <x v="71"/>
    <n v="1316.6999999999998"/>
    <n v="0.3299999999999999"/>
    <x v="2"/>
    <x v="0"/>
    <x v="2"/>
    <n v="5.7749999999999986"/>
    <n v="17.5"/>
    <n v="11.725000000000001"/>
  </r>
  <r>
    <x v="372"/>
    <n v="228"/>
    <s v="100CR"/>
    <x v="4"/>
    <x v="27"/>
    <n v="4468.7999999999993"/>
    <n v="0.56000000000000005"/>
    <x v="4"/>
    <x v="3"/>
    <x v="4"/>
    <n v="19.600000000000001"/>
    <n v="35"/>
    <n v="15.4"/>
  </r>
  <r>
    <x v="372"/>
    <n v="276"/>
    <s v="QA430"/>
    <x v="1"/>
    <x v="68"/>
    <n v="1593.8999999999996"/>
    <n v="0.3299999999999999"/>
    <x v="1"/>
    <x v="1"/>
    <x v="2"/>
    <n v="5.7749999999999986"/>
    <n v="17.5"/>
    <n v="11.725000000000001"/>
  </r>
  <r>
    <x v="373"/>
    <n v="168"/>
    <s v="100CR"/>
    <x v="0"/>
    <x v="48"/>
    <n v="3292.7999999999997"/>
    <n v="0.56000000000000005"/>
    <x v="0"/>
    <x v="0"/>
    <x v="4"/>
    <n v="19.600000000000001"/>
    <n v="35"/>
    <n v="15.4"/>
  </r>
  <r>
    <x v="374"/>
    <n v="228"/>
    <s v="100CR"/>
    <x v="2"/>
    <x v="27"/>
    <n v="4468.7999999999993"/>
    <n v="0.56000000000000005"/>
    <x v="2"/>
    <x v="0"/>
    <x v="4"/>
    <n v="19.600000000000001"/>
    <n v="35"/>
    <n v="15.4"/>
  </r>
  <r>
    <x v="374"/>
    <n v="144"/>
    <s v="QA430"/>
    <x v="1"/>
    <x v="51"/>
    <n v="831.59999999999991"/>
    <n v="0.3299999999999999"/>
    <x v="1"/>
    <x v="1"/>
    <x v="2"/>
    <n v="5.7749999999999986"/>
    <n v="17.5"/>
    <n v="11.725000000000001"/>
  </r>
  <r>
    <x v="374"/>
    <n v="24"/>
    <s v="255YN"/>
    <x v="2"/>
    <x v="59"/>
    <n v="237.59999999999997"/>
    <n v="0.43999999999999995"/>
    <x v="2"/>
    <x v="0"/>
    <x v="0"/>
    <n v="9.8999999999999986"/>
    <n v="22.5"/>
    <n v="12.600000000000001"/>
  </r>
  <r>
    <x v="375"/>
    <n v="288"/>
    <s v="QA430"/>
    <x v="3"/>
    <x v="91"/>
    <n v="1663.1999999999998"/>
    <n v="0.3299999999999999"/>
    <x v="3"/>
    <x v="2"/>
    <x v="2"/>
    <n v="5.7749999999999986"/>
    <n v="17.5"/>
    <n v="11.725000000000001"/>
  </r>
  <r>
    <x v="376"/>
    <n v="228"/>
    <s v="175AP"/>
    <x v="2"/>
    <x v="100"/>
    <n v="2848.86"/>
    <n v="0.42000000000000004"/>
    <x v="2"/>
    <x v="0"/>
    <x v="3"/>
    <n v="12.495000000000001"/>
    <n v="29.75"/>
    <n v="17.254999999999999"/>
  </r>
  <r>
    <x v="376"/>
    <n v="300"/>
    <s v="175AP"/>
    <x v="1"/>
    <x v="90"/>
    <n v="3748.5"/>
    <n v="0.42000000000000004"/>
    <x v="1"/>
    <x v="1"/>
    <x v="3"/>
    <n v="12.495000000000001"/>
    <n v="29.75"/>
    <n v="17.254999999999999"/>
  </r>
  <r>
    <x v="377"/>
    <n v="24"/>
    <s v="BL579"/>
    <x v="1"/>
    <x v="64"/>
    <n v="440.49600000000021"/>
    <n v="0.42000000000000004"/>
    <x v="1"/>
    <x v="1"/>
    <x v="1"/>
    <n v="18.354000000000003"/>
    <n v="43.7"/>
    <n v="25.346"/>
  </r>
  <r>
    <x v="377"/>
    <n v="60"/>
    <s v="255YN"/>
    <x v="0"/>
    <x v="46"/>
    <n v="593.99999999999989"/>
    <n v="0.43999999999999995"/>
    <x v="0"/>
    <x v="0"/>
    <x v="0"/>
    <n v="9.8999999999999986"/>
    <n v="22.5"/>
    <n v="12.600000000000001"/>
  </r>
  <r>
    <x v="378"/>
    <n v="276"/>
    <s v="175AP"/>
    <x v="0"/>
    <x v="84"/>
    <n v="3448.62"/>
    <n v="0.42000000000000004"/>
    <x v="0"/>
    <x v="0"/>
    <x v="3"/>
    <n v="12.495000000000001"/>
    <n v="29.75"/>
    <n v="17.254999999999999"/>
  </r>
  <r>
    <x v="378"/>
    <n v="168"/>
    <s v="175AP"/>
    <x v="4"/>
    <x v="57"/>
    <n v="2099.1600000000003"/>
    <n v="0.42000000000000004"/>
    <x v="4"/>
    <x v="3"/>
    <x v="3"/>
    <n v="12.495000000000001"/>
    <n v="29.75"/>
    <n v="17.254999999999999"/>
  </r>
  <r>
    <x v="379"/>
    <n v="96"/>
    <s v="QA430"/>
    <x v="1"/>
    <x v="45"/>
    <n v="554.39999999999986"/>
    <n v="0.3299999999999999"/>
    <x v="1"/>
    <x v="1"/>
    <x v="2"/>
    <n v="5.7749999999999986"/>
    <n v="17.5"/>
    <n v="11.725000000000001"/>
  </r>
  <r>
    <x v="379"/>
    <n v="228"/>
    <s v="100CR"/>
    <x v="2"/>
    <x v="27"/>
    <n v="4468.7999999999993"/>
    <n v="0.56000000000000005"/>
    <x v="2"/>
    <x v="0"/>
    <x v="4"/>
    <n v="19.600000000000001"/>
    <n v="35"/>
    <n v="15.4"/>
  </r>
  <r>
    <x v="380"/>
    <n v="132"/>
    <s v="BL579"/>
    <x v="2"/>
    <x v="31"/>
    <n v="2422.7280000000005"/>
    <n v="0.42000000000000004"/>
    <x v="2"/>
    <x v="0"/>
    <x v="1"/>
    <n v="18.354000000000003"/>
    <n v="43.7"/>
    <n v="25.346"/>
  </r>
  <r>
    <x v="380"/>
    <n v="288"/>
    <s v="255YN"/>
    <x v="1"/>
    <x v="65"/>
    <n v="2851.2"/>
    <n v="0.43999999999999995"/>
    <x v="1"/>
    <x v="1"/>
    <x v="0"/>
    <n v="9.8999999999999986"/>
    <n v="22.5"/>
    <n v="12.600000000000001"/>
  </r>
  <r>
    <x v="381"/>
    <n v="48"/>
    <s v="175AP"/>
    <x v="3"/>
    <x v="22"/>
    <n v="599.76"/>
    <n v="0.42000000000000004"/>
    <x v="3"/>
    <x v="2"/>
    <x v="3"/>
    <n v="12.495000000000001"/>
    <n v="29.75"/>
    <n v="17.254999999999999"/>
  </r>
  <r>
    <x v="382"/>
    <n v="84"/>
    <s v="100CR"/>
    <x v="0"/>
    <x v="43"/>
    <n v="1646.3999999999999"/>
    <n v="0.56000000000000005"/>
    <x v="0"/>
    <x v="0"/>
    <x v="4"/>
    <n v="19.600000000000001"/>
    <n v="35"/>
    <n v="15.4"/>
  </r>
  <r>
    <x v="383"/>
    <n v="60"/>
    <s v="100CR"/>
    <x v="4"/>
    <x v="35"/>
    <n v="1176"/>
    <n v="0.56000000000000005"/>
    <x v="4"/>
    <x v="3"/>
    <x v="4"/>
    <n v="19.600000000000001"/>
    <n v="35"/>
    <n v="15.4"/>
  </r>
  <r>
    <x v="384"/>
    <n v="84"/>
    <s v="175AP"/>
    <x v="0"/>
    <x v="6"/>
    <n v="1049.5800000000002"/>
    <n v="0.42000000000000004"/>
    <x v="0"/>
    <x v="0"/>
    <x v="3"/>
    <n v="12.495000000000001"/>
    <n v="29.75"/>
    <n v="17.254999999999999"/>
  </r>
  <r>
    <x v="384"/>
    <n v="120"/>
    <s v="255YN"/>
    <x v="1"/>
    <x v="58"/>
    <n v="1187.9999999999998"/>
    <n v="0.43999999999999995"/>
    <x v="1"/>
    <x v="1"/>
    <x v="0"/>
    <n v="9.8999999999999986"/>
    <n v="22.5"/>
    <n v="12.600000000000001"/>
  </r>
  <r>
    <x v="385"/>
    <n v="84"/>
    <s v="QA430"/>
    <x v="0"/>
    <x v="10"/>
    <n v="485.09999999999991"/>
    <n v="0.3299999999999999"/>
    <x v="0"/>
    <x v="0"/>
    <x v="2"/>
    <n v="5.7749999999999986"/>
    <n v="17.5"/>
    <n v="11.725000000000001"/>
  </r>
  <r>
    <x v="386"/>
    <n v="48"/>
    <s v="255YN"/>
    <x v="2"/>
    <x v="72"/>
    <n v="475.19999999999993"/>
    <n v="0.43999999999999995"/>
    <x v="2"/>
    <x v="0"/>
    <x v="0"/>
    <n v="9.8999999999999986"/>
    <n v="22.5"/>
    <n v="12.600000000000001"/>
  </r>
  <r>
    <x v="386"/>
    <n v="228"/>
    <s v="QA430"/>
    <x v="2"/>
    <x v="71"/>
    <n v="1316.6999999999998"/>
    <n v="0.3299999999999999"/>
    <x v="2"/>
    <x v="0"/>
    <x v="2"/>
    <n v="5.7749999999999986"/>
    <n v="17.5"/>
    <n v="11.725000000000001"/>
  </r>
  <r>
    <x v="386"/>
    <n v="144"/>
    <s v="100CR"/>
    <x v="0"/>
    <x v="91"/>
    <n v="2822.4"/>
    <n v="0.56000000000000005"/>
    <x v="0"/>
    <x v="0"/>
    <x v="4"/>
    <n v="19.600000000000001"/>
    <n v="35"/>
    <n v="15.4"/>
  </r>
  <r>
    <x v="386"/>
    <n v="144"/>
    <s v="100CR"/>
    <x v="4"/>
    <x v="91"/>
    <n v="2822.4"/>
    <n v="0.56000000000000005"/>
    <x v="4"/>
    <x v="3"/>
    <x v="4"/>
    <n v="19.600000000000001"/>
    <n v="35"/>
    <n v="15.4"/>
  </r>
  <r>
    <x v="387"/>
    <n v="168"/>
    <s v="100CR"/>
    <x v="0"/>
    <x v="48"/>
    <n v="3292.7999999999997"/>
    <n v="0.56000000000000005"/>
    <x v="0"/>
    <x v="0"/>
    <x v="4"/>
    <n v="19.600000000000001"/>
    <n v="35"/>
    <n v="15.4"/>
  </r>
  <r>
    <x v="388"/>
    <n v="36"/>
    <s v="100CR"/>
    <x v="1"/>
    <x v="3"/>
    <n v="705.6"/>
    <n v="0.56000000000000005"/>
    <x v="1"/>
    <x v="1"/>
    <x v="4"/>
    <n v="19.600000000000001"/>
    <n v="35"/>
    <n v="15.4"/>
  </r>
  <r>
    <x v="388"/>
    <n v="204"/>
    <s v="BL579"/>
    <x v="2"/>
    <x v="1"/>
    <n v="3744.2160000000013"/>
    <n v="0.42000000000000004"/>
    <x v="2"/>
    <x v="0"/>
    <x v="1"/>
    <n v="18.354000000000003"/>
    <n v="43.7"/>
    <n v="25.346"/>
  </r>
  <r>
    <x v="389"/>
    <n v="228"/>
    <s v="QA430"/>
    <x v="0"/>
    <x v="71"/>
    <n v="1316.6999999999998"/>
    <n v="0.3299999999999999"/>
    <x v="0"/>
    <x v="0"/>
    <x v="2"/>
    <n v="5.7749999999999986"/>
    <n v="17.5"/>
    <n v="11.725000000000001"/>
  </r>
  <r>
    <x v="389"/>
    <n v="216"/>
    <s v="255YN"/>
    <x v="0"/>
    <x v="11"/>
    <n v="2138.3999999999996"/>
    <n v="0.43999999999999995"/>
    <x v="0"/>
    <x v="0"/>
    <x v="0"/>
    <n v="9.8999999999999986"/>
    <n v="22.5"/>
    <n v="12.600000000000001"/>
  </r>
  <r>
    <x v="390"/>
    <n v="180"/>
    <s v="QA430"/>
    <x v="3"/>
    <x v="101"/>
    <n v="1039.4999999999995"/>
    <n v="0.3299999999999999"/>
    <x v="3"/>
    <x v="2"/>
    <x v="2"/>
    <n v="5.7749999999999986"/>
    <n v="17.5"/>
    <n v="11.725000000000001"/>
  </r>
  <r>
    <x v="390"/>
    <n v="72"/>
    <s v="175AP"/>
    <x v="2"/>
    <x v="19"/>
    <n v="899.6400000000001"/>
    <n v="0.42000000000000004"/>
    <x v="2"/>
    <x v="0"/>
    <x v="3"/>
    <n v="12.495000000000001"/>
    <n v="29.75"/>
    <n v="17.254999999999999"/>
  </r>
  <r>
    <x v="391"/>
    <n v="108"/>
    <s v="175AP"/>
    <x v="0"/>
    <x v="95"/>
    <n v="1349.46"/>
    <n v="0.42000000000000004"/>
    <x v="0"/>
    <x v="0"/>
    <x v="3"/>
    <n v="12.495000000000001"/>
    <n v="29.75"/>
    <n v="17.254999999999999"/>
  </r>
  <r>
    <x v="391"/>
    <n v="48"/>
    <s v="255YN"/>
    <x v="1"/>
    <x v="72"/>
    <n v="475.19999999999993"/>
    <n v="0.43999999999999995"/>
    <x v="1"/>
    <x v="1"/>
    <x v="0"/>
    <n v="9.8999999999999986"/>
    <n v="22.5"/>
    <n v="12.600000000000001"/>
  </r>
  <r>
    <x v="392"/>
    <n v="108"/>
    <s v="100CR"/>
    <x v="0"/>
    <x v="12"/>
    <n v="2116.8000000000002"/>
    <n v="0.56000000000000005"/>
    <x v="0"/>
    <x v="0"/>
    <x v="4"/>
    <n v="19.600000000000001"/>
    <n v="35"/>
    <n v="15.4"/>
  </r>
  <r>
    <x v="393"/>
    <n v="288"/>
    <s v="175AP"/>
    <x v="1"/>
    <x v="32"/>
    <n v="3598.5600000000004"/>
    <n v="0.42000000000000004"/>
    <x v="1"/>
    <x v="1"/>
    <x v="3"/>
    <n v="12.495000000000001"/>
    <n v="29.75"/>
    <n v="17.254999999999999"/>
  </r>
  <r>
    <x v="393"/>
    <n v="60"/>
    <s v="BL579"/>
    <x v="4"/>
    <x v="52"/>
    <n v="1101.24"/>
    <n v="0.42000000000000004"/>
    <x v="4"/>
    <x v="3"/>
    <x v="1"/>
    <n v="18.354000000000003"/>
    <n v="43.7"/>
    <n v="25.346"/>
  </r>
  <r>
    <x v="394"/>
    <n v="60"/>
    <s v="100CR"/>
    <x v="3"/>
    <x v="35"/>
    <n v="1176"/>
    <n v="0.56000000000000005"/>
    <x v="3"/>
    <x v="2"/>
    <x v="4"/>
    <n v="19.600000000000001"/>
    <n v="35"/>
    <n v="15.4"/>
  </r>
  <r>
    <x v="395"/>
    <n v="96"/>
    <s v="100CR"/>
    <x v="4"/>
    <x v="16"/>
    <n v="1881.6"/>
    <n v="0.56000000000000005"/>
    <x v="4"/>
    <x v="3"/>
    <x v="4"/>
    <n v="19.600000000000001"/>
    <n v="35"/>
    <n v="15.4"/>
  </r>
  <r>
    <x v="395"/>
    <n v="60"/>
    <s v="175AP"/>
    <x v="2"/>
    <x v="20"/>
    <n v="749.7"/>
    <n v="0.42000000000000004"/>
    <x v="2"/>
    <x v="0"/>
    <x v="3"/>
    <n v="12.495000000000001"/>
    <n v="29.75"/>
    <n v="17.254999999999999"/>
  </r>
  <r>
    <x v="396"/>
    <n v="300"/>
    <s v="QA430"/>
    <x v="3"/>
    <x v="55"/>
    <n v="1732.4999999999995"/>
    <n v="0.3299999999999999"/>
    <x v="3"/>
    <x v="2"/>
    <x v="2"/>
    <n v="5.7749999999999986"/>
    <n v="17.5"/>
    <n v="11.725000000000001"/>
  </r>
  <r>
    <x v="397"/>
    <n v="300"/>
    <s v="175AP"/>
    <x v="2"/>
    <x v="90"/>
    <n v="3748.5"/>
    <n v="0.42000000000000004"/>
    <x v="2"/>
    <x v="0"/>
    <x v="3"/>
    <n v="12.495000000000001"/>
    <n v="29.75"/>
    <n v="17.254999999999999"/>
  </r>
  <r>
    <x v="398"/>
    <n v="264"/>
    <s v="BL579"/>
    <x v="0"/>
    <x v="94"/>
    <n v="4845.456000000001"/>
    <n v="0.42000000000000004"/>
    <x v="0"/>
    <x v="0"/>
    <x v="1"/>
    <n v="18.354000000000003"/>
    <n v="43.7"/>
    <n v="25.346"/>
  </r>
  <r>
    <x v="398"/>
    <n v="240"/>
    <s v="255YN"/>
    <x v="2"/>
    <x v="96"/>
    <n v="2375.9999999999995"/>
    <n v="0.43999999999999995"/>
    <x v="2"/>
    <x v="0"/>
    <x v="0"/>
    <n v="9.8999999999999986"/>
    <n v="22.5"/>
    <n v="12.600000000000001"/>
  </r>
  <r>
    <x v="399"/>
    <n v="168"/>
    <s v="BL579"/>
    <x v="0"/>
    <x v="7"/>
    <n v="3083.4720000000007"/>
    <n v="0.42000000000000004"/>
    <x v="0"/>
    <x v="0"/>
    <x v="1"/>
    <n v="18.354000000000003"/>
    <n v="43.7"/>
    <n v="25.346"/>
  </r>
  <r>
    <x v="399"/>
    <n v="240"/>
    <s v="QA430"/>
    <x v="4"/>
    <x v="79"/>
    <n v="1385.9999999999995"/>
    <n v="0.3299999999999999"/>
    <x v="4"/>
    <x v="3"/>
    <x v="2"/>
    <n v="5.7749999999999986"/>
    <n v="17.5"/>
    <n v="11.725000000000001"/>
  </r>
  <r>
    <x v="400"/>
    <n v="300"/>
    <s v="255YN"/>
    <x v="0"/>
    <x v="99"/>
    <n v="2969.9999999999995"/>
    <n v="0.43999999999999995"/>
    <x v="0"/>
    <x v="0"/>
    <x v="0"/>
    <n v="9.8999999999999986"/>
    <n v="22.5"/>
    <n v="12.600000000000001"/>
  </r>
  <r>
    <x v="401"/>
    <n v="216"/>
    <s v="QA430"/>
    <x v="0"/>
    <x v="12"/>
    <n v="1247.3999999999996"/>
    <n v="0.3299999999999999"/>
    <x v="0"/>
    <x v="0"/>
    <x v="2"/>
    <n v="5.7749999999999986"/>
    <n v="17.5"/>
    <n v="11.725000000000001"/>
  </r>
  <r>
    <x v="401"/>
    <n v="192"/>
    <s v="255YN"/>
    <x v="3"/>
    <x v="86"/>
    <n v="1900.7999999999997"/>
    <n v="0.43999999999999995"/>
    <x v="3"/>
    <x v="2"/>
    <x v="0"/>
    <n v="9.8999999999999986"/>
    <n v="22.5"/>
    <n v="12.600000000000001"/>
  </r>
  <r>
    <x v="401"/>
    <n v="48"/>
    <s v="175AP"/>
    <x v="1"/>
    <x v="22"/>
    <n v="599.76"/>
    <n v="0.42000000000000004"/>
    <x v="1"/>
    <x v="1"/>
    <x v="3"/>
    <n v="12.495000000000001"/>
    <n v="29.75"/>
    <n v="17.254999999999999"/>
  </r>
  <r>
    <x v="402"/>
    <n v="60"/>
    <s v="175AP"/>
    <x v="4"/>
    <x v="20"/>
    <n v="749.7"/>
    <n v="0.42000000000000004"/>
    <x v="4"/>
    <x v="3"/>
    <x v="3"/>
    <n v="12.495000000000001"/>
    <n v="29.75"/>
    <n v="17.254999999999999"/>
  </r>
  <r>
    <x v="403"/>
    <n v="228"/>
    <s v="175AP"/>
    <x v="2"/>
    <x v="100"/>
    <n v="2848.86"/>
    <n v="0.42000000000000004"/>
    <x v="2"/>
    <x v="0"/>
    <x v="3"/>
    <n v="12.495000000000001"/>
    <n v="29.75"/>
    <n v="17.254999999999999"/>
  </r>
  <r>
    <x v="403"/>
    <n v="288"/>
    <s v="100CR"/>
    <x v="0"/>
    <x v="63"/>
    <n v="5644.8"/>
    <n v="0.56000000000000005"/>
    <x v="0"/>
    <x v="0"/>
    <x v="4"/>
    <n v="19.600000000000001"/>
    <n v="35"/>
    <n v="15.4"/>
  </r>
  <r>
    <x v="404"/>
    <n v="228"/>
    <s v="QA430"/>
    <x v="4"/>
    <x v="71"/>
    <n v="1316.6999999999998"/>
    <n v="0.3299999999999999"/>
    <x v="4"/>
    <x v="3"/>
    <x v="2"/>
    <n v="5.7749999999999986"/>
    <n v="17.5"/>
    <n v="11.725000000000001"/>
  </r>
  <r>
    <x v="404"/>
    <n v="36"/>
    <s v="100CR"/>
    <x v="1"/>
    <x v="3"/>
    <n v="705.6"/>
    <n v="0.56000000000000005"/>
    <x v="1"/>
    <x v="1"/>
    <x v="4"/>
    <n v="19.600000000000001"/>
    <n v="35"/>
    <n v="15.4"/>
  </r>
  <r>
    <x v="404"/>
    <n v="108"/>
    <s v="175AP"/>
    <x v="2"/>
    <x v="95"/>
    <n v="1349.46"/>
    <n v="0.42000000000000004"/>
    <x v="2"/>
    <x v="0"/>
    <x v="3"/>
    <n v="12.495000000000001"/>
    <n v="29.75"/>
    <n v="17.254999999999999"/>
  </r>
  <r>
    <x v="405"/>
    <n v="276"/>
    <s v="100CR"/>
    <x v="1"/>
    <x v="87"/>
    <n v="5409.5999999999995"/>
    <n v="0.56000000000000005"/>
    <x v="1"/>
    <x v="1"/>
    <x v="4"/>
    <n v="19.600000000000001"/>
    <n v="35"/>
    <n v="15.4"/>
  </r>
  <r>
    <x v="406"/>
    <n v="216"/>
    <s v="BL579"/>
    <x v="2"/>
    <x v="38"/>
    <n v="3964.4640000000009"/>
    <n v="0.42000000000000004"/>
    <x v="2"/>
    <x v="0"/>
    <x v="1"/>
    <n v="18.354000000000003"/>
    <n v="43.7"/>
    <n v="25.346"/>
  </r>
  <r>
    <x v="407"/>
    <n v="108"/>
    <s v="BL579"/>
    <x v="1"/>
    <x v="61"/>
    <n v="1982.2320000000004"/>
    <n v="0.42000000000000004"/>
    <x v="1"/>
    <x v="1"/>
    <x v="1"/>
    <n v="18.354000000000003"/>
    <n v="43.7"/>
    <n v="25.346"/>
  </r>
  <r>
    <x v="408"/>
    <n v="180"/>
    <s v="QA430"/>
    <x v="0"/>
    <x v="101"/>
    <n v="1039.4999999999995"/>
    <n v="0.3299999999999999"/>
    <x v="0"/>
    <x v="0"/>
    <x v="2"/>
    <n v="5.7749999999999986"/>
    <n v="17.5"/>
    <n v="11.725000000000001"/>
  </r>
  <r>
    <x v="408"/>
    <n v="132"/>
    <s v="175AP"/>
    <x v="2"/>
    <x v="102"/>
    <n v="1649.3400000000001"/>
    <n v="0.42000000000000004"/>
    <x v="2"/>
    <x v="0"/>
    <x v="3"/>
    <n v="12.495000000000001"/>
    <n v="29.75"/>
    <n v="17.254999999999999"/>
  </r>
  <r>
    <x v="409"/>
    <n v="276"/>
    <s v="255YN"/>
    <x v="2"/>
    <x v="9"/>
    <n v="2732.3999999999996"/>
    <n v="0.43999999999999995"/>
    <x v="2"/>
    <x v="0"/>
    <x v="0"/>
    <n v="9.8999999999999986"/>
    <n v="22.5"/>
    <n v="12.600000000000001"/>
  </r>
  <r>
    <x v="409"/>
    <n v="204"/>
    <s v="255YN"/>
    <x v="0"/>
    <x v="89"/>
    <n v="2019.6"/>
    <n v="0.43999999999999995"/>
    <x v="0"/>
    <x v="0"/>
    <x v="0"/>
    <n v="9.8999999999999986"/>
    <n v="22.5"/>
    <n v="12.600000000000001"/>
  </r>
  <r>
    <x v="410"/>
    <n v="108"/>
    <s v="BL579"/>
    <x v="2"/>
    <x v="61"/>
    <n v="1982.2320000000004"/>
    <n v="0.42000000000000004"/>
    <x v="2"/>
    <x v="0"/>
    <x v="1"/>
    <n v="18.354000000000003"/>
    <n v="43.7"/>
    <n v="25.346"/>
  </r>
  <r>
    <x v="410"/>
    <n v="84"/>
    <s v="BL579"/>
    <x v="2"/>
    <x v="77"/>
    <n v="1541.7360000000003"/>
    <n v="0.42000000000000004"/>
    <x v="2"/>
    <x v="0"/>
    <x v="1"/>
    <n v="18.354000000000003"/>
    <n v="43.7"/>
    <n v="25.346"/>
  </r>
  <r>
    <x v="410"/>
    <n v="204"/>
    <s v="QA430"/>
    <x v="0"/>
    <x v="28"/>
    <n v="1178.0999999999999"/>
    <n v="0.3299999999999999"/>
    <x v="0"/>
    <x v="0"/>
    <x v="2"/>
    <n v="5.7749999999999986"/>
    <n v="17.5"/>
    <n v="11.725000000000001"/>
  </r>
  <r>
    <x v="411"/>
    <n v="96"/>
    <s v="QA430"/>
    <x v="1"/>
    <x v="45"/>
    <n v="554.39999999999986"/>
    <n v="0.3299999999999999"/>
    <x v="1"/>
    <x v="1"/>
    <x v="2"/>
    <n v="5.7749999999999986"/>
    <n v="17.5"/>
    <n v="11.725000000000001"/>
  </r>
  <r>
    <x v="411"/>
    <n v="24"/>
    <s v="255YN"/>
    <x v="2"/>
    <x v="59"/>
    <n v="237.59999999999997"/>
    <n v="0.43999999999999995"/>
    <x v="2"/>
    <x v="0"/>
    <x v="0"/>
    <n v="9.8999999999999986"/>
    <n v="22.5"/>
    <n v="12.600000000000001"/>
  </r>
  <r>
    <x v="412"/>
    <n v="144"/>
    <s v="255YN"/>
    <x v="4"/>
    <x v="33"/>
    <n v="1425.6"/>
    <n v="0.43999999999999995"/>
    <x v="4"/>
    <x v="3"/>
    <x v="0"/>
    <n v="9.8999999999999986"/>
    <n v="22.5"/>
    <n v="12.600000000000001"/>
  </r>
  <r>
    <x v="413"/>
    <n v="72"/>
    <s v="175AP"/>
    <x v="1"/>
    <x v="19"/>
    <n v="899.6400000000001"/>
    <n v="0.42000000000000004"/>
    <x v="1"/>
    <x v="1"/>
    <x v="3"/>
    <n v="12.495000000000001"/>
    <n v="29.75"/>
    <n v="17.254999999999999"/>
  </r>
  <r>
    <x v="414"/>
    <n v="276"/>
    <s v="QA430"/>
    <x v="4"/>
    <x v="68"/>
    <n v="1593.8999999999996"/>
    <n v="0.3299999999999999"/>
    <x v="4"/>
    <x v="3"/>
    <x v="2"/>
    <n v="5.7749999999999986"/>
    <n v="17.5"/>
    <n v="11.725000000000001"/>
  </r>
  <r>
    <x v="414"/>
    <n v="204"/>
    <s v="175AP"/>
    <x v="4"/>
    <x v="30"/>
    <n v="2548.98"/>
    <n v="0.42000000000000004"/>
    <x v="4"/>
    <x v="3"/>
    <x v="3"/>
    <n v="12.495000000000001"/>
    <n v="29.75"/>
    <n v="17.254999999999999"/>
  </r>
  <r>
    <x v="414"/>
    <n v="24"/>
    <s v="QA430"/>
    <x v="4"/>
    <x v="23"/>
    <n v="138.59999999999997"/>
    <n v="0.3299999999999999"/>
    <x v="4"/>
    <x v="3"/>
    <x v="2"/>
    <n v="5.7749999999999986"/>
    <n v="17.5"/>
    <n v="11.725000000000001"/>
  </r>
  <r>
    <x v="414"/>
    <n v="228"/>
    <s v="255YN"/>
    <x v="4"/>
    <x v="92"/>
    <n v="2257.1999999999998"/>
    <n v="0.43999999999999995"/>
    <x v="4"/>
    <x v="3"/>
    <x v="0"/>
    <n v="9.8999999999999986"/>
    <n v="22.5"/>
    <n v="12.600000000000001"/>
  </r>
  <r>
    <x v="415"/>
    <n v="288"/>
    <s v="175AP"/>
    <x v="0"/>
    <x v="32"/>
    <n v="3598.5600000000004"/>
    <n v="0.42000000000000004"/>
    <x v="0"/>
    <x v="0"/>
    <x v="3"/>
    <n v="12.495000000000001"/>
    <n v="29.75"/>
    <n v="17.254999999999999"/>
  </r>
  <r>
    <x v="416"/>
    <n v="84"/>
    <s v="QA430"/>
    <x v="2"/>
    <x v="10"/>
    <n v="485.09999999999991"/>
    <n v="0.3299999999999999"/>
    <x v="2"/>
    <x v="0"/>
    <x v="2"/>
    <n v="5.7749999999999986"/>
    <n v="17.5"/>
    <n v="11.725000000000001"/>
  </r>
  <r>
    <x v="417"/>
    <n v="72"/>
    <s v="100CR"/>
    <x v="1"/>
    <x v="51"/>
    <n v="1411.2"/>
    <n v="0.56000000000000005"/>
    <x v="1"/>
    <x v="1"/>
    <x v="4"/>
    <n v="19.600000000000001"/>
    <n v="35"/>
    <n v="15.4"/>
  </r>
  <r>
    <x v="417"/>
    <n v="144"/>
    <s v="QA430"/>
    <x v="4"/>
    <x v="51"/>
    <n v="831.59999999999991"/>
    <n v="0.3299999999999999"/>
    <x v="4"/>
    <x v="3"/>
    <x v="2"/>
    <n v="5.7749999999999986"/>
    <n v="17.5"/>
    <n v="11.725000000000001"/>
  </r>
  <r>
    <x v="418"/>
    <n v="216"/>
    <s v="175AP"/>
    <x v="1"/>
    <x v="98"/>
    <n v="2698.92"/>
    <n v="0.42000000000000004"/>
    <x v="1"/>
    <x v="1"/>
    <x v="3"/>
    <n v="12.495000000000001"/>
    <n v="29.75"/>
    <n v="17.254999999999999"/>
  </r>
  <r>
    <x v="419"/>
    <n v="156"/>
    <s v="BL579"/>
    <x v="0"/>
    <x v="73"/>
    <n v="2863.2240000000006"/>
    <n v="0.42000000000000004"/>
    <x v="0"/>
    <x v="0"/>
    <x v="1"/>
    <n v="18.354000000000003"/>
    <n v="43.7"/>
    <n v="25.346"/>
  </r>
  <r>
    <x v="419"/>
    <n v="228"/>
    <s v="BL579"/>
    <x v="0"/>
    <x v="60"/>
    <n v="4184.7120000000004"/>
    <n v="0.42000000000000004"/>
    <x v="0"/>
    <x v="0"/>
    <x v="1"/>
    <n v="18.354000000000003"/>
    <n v="43.7"/>
    <n v="25.346"/>
  </r>
  <r>
    <x v="420"/>
    <n v="132"/>
    <s v="BL579"/>
    <x v="4"/>
    <x v="31"/>
    <n v="2422.7280000000005"/>
    <n v="0.42000000000000004"/>
    <x v="4"/>
    <x v="3"/>
    <x v="1"/>
    <n v="18.354000000000003"/>
    <n v="43.7"/>
    <n v="25.346"/>
  </r>
  <r>
    <x v="420"/>
    <n v="204"/>
    <s v="BL579"/>
    <x v="4"/>
    <x v="1"/>
    <n v="3744.2160000000013"/>
    <n v="0.42000000000000004"/>
    <x v="4"/>
    <x v="3"/>
    <x v="1"/>
    <n v="18.354000000000003"/>
    <n v="43.7"/>
    <n v="25.346"/>
  </r>
  <r>
    <x v="420"/>
    <n v="144"/>
    <s v="100CR"/>
    <x v="0"/>
    <x v="91"/>
    <n v="2822.4"/>
    <n v="0.56000000000000005"/>
    <x v="0"/>
    <x v="0"/>
    <x v="4"/>
    <n v="19.600000000000001"/>
    <n v="35"/>
    <n v="15.4"/>
  </r>
  <r>
    <x v="420"/>
    <n v="120"/>
    <s v="QA430"/>
    <x v="3"/>
    <x v="35"/>
    <n v="692.99999999999977"/>
    <n v="0.3299999999999999"/>
    <x v="3"/>
    <x v="2"/>
    <x v="2"/>
    <n v="5.7749999999999986"/>
    <n v="17.5"/>
    <n v="11.725000000000001"/>
  </r>
  <r>
    <x v="421"/>
    <n v="288"/>
    <s v="100CR"/>
    <x v="3"/>
    <x v="63"/>
    <n v="5644.8"/>
    <n v="0.56000000000000005"/>
    <x v="3"/>
    <x v="2"/>
    <x v="4"/>
    <n v="19.600000000000001"/>
    <n v="35"/>
    <n v="15.4"/>
  </r>
  <r>
    <x v="421"/>
    <n v="264"/>
    <s v="BL579"/>
    <x v="3"/>
    <x v="94"/>
    <n v="4845.456000000001"/>
    <n v="0.42000000000000004"/>
    <x v="3"/>
    <x v="2"/>
    <x v="1"/>
    <n v="18.354000000000003"/>
    <n v="43.7"/>
    <n v="25.346"/>
  </r>
  <r>
    <x v="422"/>
    <n v="84"/>
    <s v="BL579"/>
    <x v="1"/>
    <x v="77"/>
    <n v="1541.7360000000003"/>
    <n v="0.42000000000000004"/>
    <x v="1"/>
    <x v="1"/>
    <x v="1"/>
    <n v="18.354000000000003"/>
    <n v="43.7"/>
    <n v="25.346"/>
  </r>
  <r>
    <x v="423"/>
    <n v="204"/>
    <s v="175AP"/>
    <x v="2"/>
    <x v="30"/>
    <n v="2548.98"/>
    <n v="0.42000000000000004"/>
    <x v="2"/>
    <x v="0"/>
    <x v="3"/>
    <n v="12.495000000000001"/>
    <n v="29.75"/>
    <n v="17.254999999999999"/>
  </r>
  <r>
    <x v="424"/>
    <n v="144"/>
    <s v="100CR"/>
    <x v="3"/>
    <x v="91"/>
    <n v="2822.4"/>
    <n v="0.56000000000000005"/>
    <x v="3"/>
    <x v="2"/>
    <x v="4"/>
    <n v="19.600000000000001"/>
    <n v="35"/>
    <n v="15.4"/>
  </r>
  <r>
    <x v="425"/>
    <n v="108"/>
    <s v="255YN"/>
    <x v="1"/>
    <x v="24"/>
    <n v="1069.1999999999998"/>
    <n v="0.43999999999999995"/>
    <x v="1"/>
    <x v="1"/>
    <x v="0"/>
    <n v="9.8999999999999986"/>
    <n v="22.5"/>
    <n v="12.600000000000001"/>
  </r>
  <r>
    <x v="426"/>
    <n v="192"/>
    <s v="100CR"/>
    <x v="4"/>
    <x v="62"/>
    <n v="3763.2"/>
    <n v="0.56000000000000005"/>
    <x v="4"/>
    <x v="3"/>
    <x v="4"/>
    <n v="19.600000000000001"/>
    <n v="35"/>
    <n v="15.4"/>
  </r>
  <r>
    <x v="426"/>
    <n v="72"/>
    <s v="175AP"/>
    <x v="2"/>
    <x v="19"/>
    <n v="899.6400000000001"/>
    <n v="0.42000000000000004"/>
    <x v="2"/>
    <x v="0"/>
    <x v="3"/>
    <n v="12.495000000000001"/>
    <n v="29.75"/>
    <n v="17.254999999999999"/>
  </r>
  <r>
    <x v="427"/>
    <n v="108"/>
    <s v="BL579"/>
    <x v="3"/>
    <x v="61"/>
    <n v="1982.2320000000004"/>
    <n v="0.42000000000000004"/>
    <x v="3"/>
    <x v="2"/>
    <x v="1"/>
    <n v="18.354000000000003"/>
    <n v="43.7"/>
    <n v="25.346"/>
  </r>
  <r>
    <x v="427"/>
    <n v="168"/>
    <s v="175AP"/>
    <x v="1"/>
    <x v="57"/>
    <n v="2099.1600000000003"/>
    <n v="0.42000000000000004"/>
    <x v="1"/>
    <x v="1"/>
    <x v="3"/>
    <n v="12.495000000000001"/>
    <n v="29.75"/>
    <n v="17.254999999999999"/>
  </r>
  <r>
    <x v="427"/>
    <n v="204"/>
    <s v="100CR"/>
    <x v="2"/>
    <x v="78"/>
    <n v="3998.4"/>
    <n v="0.56000000000000005"/>
    <x v="2"/>
    <x v="0"/>
    <x v="4"/>
    <n v="19.600000000000001"/>
    <n v="35"/>
    <n v="15.4"/>
  </r>
  <r>
    <x v="428"/>
    <n v="192"/>
    <s v="255YN"/>
    <x v="0"/>
    <x v="86"/>
    <n v="1900.7999999999997"/>
    <n v="0.43999999999999995"/>
    <x v="0"/>
    <x v="0"/>
    <x v="0"/>
    <n v="9.8999999999999986"/>
    <n v="22.5"/>
    <n v="12.600000000000001"/>
  </r>
  <r>
    <x v="428"/>
    <n v="84"/>
    <s v="255YN"/>
    <x v="3"/>
    <x v="85"/>
    <n v="831.59999999999991"/>
    <n v="0.43999999999999995"/>
    <x v="3"/>
    <x v="2"/>
    <x v="0"/>
    <n v="9.8999999999999986"/>
    <n v="22.5"/>
    <n v="12.600000000000001"/>
  </r>
  <r>
    <x v="429"/>
    <n v="192"/>
    <s v="100CR"/>
    <x v="0"/>
    <x v="62"/>
    <n v="3763.2"/>
    <n v="0.56000000000000005"/>
    <x v="0"/>
    <x v="0"/>
    <x v="4"/>
    <n v="19.600000000000001"/>
    <n v="35"/>
    <n v="15.4"/>
  </r>
  <r>
    <x v="429"/>
    <n v="180"/>
    <s v="255YN"/>
    <x v="0"/>
    <x v="21"/>
    <n v="1781.9999999999995"/>
    <n v="0.43999999999999995"/>
    <x v="0"/>
    <x v="0"/>
    <x v="0"/>
    <n v="9.8999999999999986"/>
    <n v="22.5"/>
    <n v="12.600000000000001"/>
  </r>
  <r>
    <x v="430"/>
    <n v="132"/>
    <s v="100CR"/>
    <x v="2"/>
    <x v="82"/>
    <n v="2587.1999999999998"/>
    <n v="0.56000000000000005"/>
    <x v="2"/>
    <x v="0"/>
    <x v="4"/>
    <n v="19.600000000000001"/>
    <n v="35"/>
    <n v="15.4"/>
  </r>
  <r>
    <x v="430"/>
    <n v="300"/>
    <s v="QA430"/>
    <x v="2"/>
    <x v="55"/>
    <n v="1732.4999999999995"/>
    <n v="0.3299999999999999"/>
    <x v="2"/>
    <x v="0"/>
    <x v="2"/>
    <n v="5.7749999999999986"/>
    <n v="17.5"/>
    <n v="11.725000000000001"/>
  </r>
  <r>
    <x v="431"/>
    <n v="132"/>
    <s v="QA430"/>
    <x v="0"/>
    <x v="14"/>
    <n v="762.29999999999973"/>
    <n v="0.3299999999999999"/>
    <x v="0"/>
    <x v="0"/>
    <x v="2"/>
    <n v="5.7749999999999986"/>
    <n v="17.5"/>
    <n v="11.725000000000001"/>
  </r>
  <r>
    <x v="432"/>
    <n v="168"/>
    <s v="BL579"/>
    <x v="2"/>
    <x v="7"/>
    <n v="3083.4720000000007"/>
    <n v="0.42000000000000004"/>
    <x v="2"/>
    <x v="0"/>
    <x v="1"/>
    <n v="18.354000000000003"/>
    <n v="43.7"/>
    <n v="25.346"/>
  </r>
  <r>
    <x v="433"/>
    <n v="192"/>
    <s v="QA430"/>
    <x v="3"/>
    <x v="16"/>
    <n v="1108.7999999999997"/>
    <n v="0.3299999999999999"/>
    <x v="3"/>
    <x v="2"/>
    <x v="2"/>
    <n v="5.7749999999999986"/>
    <n v="17.5"/>
    <n v="11.725000000000001"/>
  </r>
  <r>
    <x v="434"/>
    <n v="108"/>
    <s v="BL579"/>
    <x v="0"/>
    <x v="61"/>
    <n v="1982.2320000000004"/>
    <n v="0.42000000000000004"/>
    <x v="0"/>
    <x v="0"/>
    <x v="1"/>
    <n v="18.354000000000003"/>
    <n v="43.7"/>
    <n v="25.346"/>
  </r>
  <r>
    <x v="435"/>
    <n v="192"/>
    <s v="100CR"/>
    <x v="4"/>
    <x v="62"/>
    <n v="3763.2"/>
    <n v="0.56000000000000005"/>
    <x v="4"/>
    <x v="3"/>
    <x v="4"/>
    <n v="19.600000000000001"/>
    <n v="35"/>
    <n v="15.4"/>
  </r>
  <r>
    <x v="436"/>
    <n v="168"/>
    <s v="100CR"/>
    <x v="0"/>
    <x v="48"/>
    <n v="3292.7999999999997"/>
    <n v="0.56000000000000005"/>
    <x v="0"/>
    <x v="0"/>
    <x v="4"/>
    <n v="19.600000000000001"/>
    <n v="35"/>
    <n v="15.4"/>
  </r>
  <r>
    <x v="436"/>
    <n v="276"/>
    <s v="255YN"/>
    <x v="2"/>
    <x v="9"/>
    <n v="2732.3999999999996"/>
    <n v="0.43999999999999995"/>
    <x v="2"/>
    <x v="0"/>
    <x v="0"/>
    <n v="9.8999999999999986"/>
    <n v="22.5"/>
    <n v="12.600000000000001"/>
  </r>
  <r>
    <x v="437"/>
    <n v="120"/>
    <s v="255YN"/>
    <x v="3"/>
    <x v="58"/>
    <n v="1187.9999999999998"/>
    <n v="0.43999999999999995"/>
    <x v="3"/>
    <x v="2"/>
    <x v="0"/>
    <n v="9.8999999999999986"/>
    <n v="22.5"/>
    <n v="12.600000000000001"/>
  </r>
  <r>
    <x v="437"/>
    <n v="132"/>
    <s v="BL579"/>
    <x v="0"/>
    <x v="31"/>
    <n v="2422.7280000000005"/>
    <n v="0.42000000000000004"/>
    <x v="0"/>
    <x v="0"/>
    <x v="1"/>
    <n v="18.354000000000003"/>
    <n v="43.7"/>
    <n v="25.346"/>
  </r>
  <r>
    <x v="438"/>
    <n v="180"/>
    <s v="BL579"/>
    <x v="4"/>
    <x v="50"/>
    <n v="3303.7200000000012"/>
    <n v="0.42000000000000004"/>
    <x v="4"/>
    <x v="3"/>
    <x v="1"/>
    <n v="18.354000000000003"/>
    <n v="43.7"/>
    <n v="25.346"/>
  </r>
  <r>
    <x v="439"/>
    <n v="84"/>
    <s v="BL579"/>
    <x v="4"/>
    <x v="77"/>
    <n v="1541.7360000000003"/>
    <n v="0.42000000000000004"/>
    <x v="4"/>
    <x v="3"/>
    <x v="1"/>
    <n v="18.354000000000003"/>
    <n v="43.7"/>
    <n v="25.346"/>
  </r>
  <r>
    <x v="439"/>
    <n v="132"/>
    <s v="BL579"/>
    <x v="4"/>
    <x v="31"/>
    <n v="2422.7280000000005"/>
    <n v="0.42000000000000004"/>
    <x v="4"/>
    <x v="3"/>
    <x v="1"/>
    <n v="18.354000000000003"/>
    <n v="43.7"/>
    <n v="25.346"/>
  </r>
  <r>
    <x v="439"/>
    <n v="48"/>
    <s v="100CR"/>
    <x v="2"/>
    <x v="45"/>
    <n v="940.8"/>
    <n v="0.56000000000000005"/>
    <x v="2"/>
    <x v="0"/>
    <x v="4"/>
    <n v="19.600000000000001"/>
    <n v="35"/>
    <n v="15.4"/>
  </r>
  <r>
    <x v="439"/>
    <n v="132"/>
    <s v="BL579"/>
    <x v="3"/>
    <x v="31"/>
    <n v="2422.7280000000005"/>
    <n v="0.42000000000000004"/>
    <x v="3"/>
    <x v="2"/>
    <x v="1"/>
    <n v="18.354000000000003"/>
    <n v="43.7"/>
    <n v="25.346"/>
  </r>
  <r>
    <x v="440"/>
    <n v="276"/>
    <s v="100CR"/>
    <x v="2"/>
    <x v="87"/>
    <n v="5409.5999999999995"/>
    <n v="0.56000000000000005"/>
    <x v="2"/>
    <x v="0"/>
    <x v="4"/>
    <n v="19.600000000000001"/>
    <n v="35"/>
    <n v="15.4"/>
  </r>
  <r>
    <x v="440"/>
    <n v="240"/>
    <s v="BL579"/>
    <x v="3"/>
    <x v="93"/>
    <n v="4404.96"/>
    <n v="0.42000000000000004"/>
    <x v="3"/>
    <x v="2"/>
    <x v="1"/>
    <n v="18.354000000000003"/>
    <n v="43.7"/>
    <n v="25.346"/>
  </r>
  <r>
    <x v="440"/>
    <n v="276"/>
    <s v="QA430"/>
    <x v="0"/>
    <x v="68"/>
    <n v="1593.8999999999996"/>
    <n v="0.3299999999999999"/>
    <x v="0"/>
    <x v="0"/>
    <x v="2"/>
    <n v="5.7749999999999986"/>
    <n v="17.5"/>
    <n v="11.725000000000001"/>
  </r>
  <r>
    <x v="441"/>
    <n v="180"/>
    <s v="255YN"/>
    <x v="0"/>
    <x v="21"/>
    <n v="1781.9999999999995"/>
    <n v="0.43999999999999995"/>
    <x v="0"/>
    <x v="0"/>
    <x v="0"/>
    <n v="9.8999999999999986"/>
    <n v="22.5"/>
    <n v="12.600000000000001"/>
  </r>
  <r>
    <x v="441"/>
    <n v="96"/>
    <s v="100CR"/>
    <x v="2"/>
    <x v="16"/>
    <n v="1881.6"/>
    <n v="0.56000000000000005"/>
    <x v="2"/>
    <x v="0"/>
    <x v="4"/>
    <n v="19.600000000000001"/>
    <n v="35"/>
    <n v="15.4"/>
  </r>
  <r>
    <x v="442"/>
    <n v="144"/>
    <s v="175AP"/>
    <x v="4"/>
    <x v="97"/>
    <n v="1799.2800000000002"/>
    <n v="0.42000000000000004"/>
    <x v="4"/>
    <x v="3"/>
    <x v="3"/>
    <n v="12.495000000000001"/>
    <n v="29.75"/>
    <n v="17.254999999999999"/>
  </r>
  <r>
    <x v="443"/>
    <n v="36"/>
    <s v="BL579"/>
    <x v="3"/>
    <x v="4"/>
    <n v="660.74400000000003"/>
    <n v="0.42000000000000004"/>
    <x v="3"/>
    <x v="2"/>
    <x v="1"/>
    <n v="18.354000000000003"/>
    <n v="43.7"/>
    <n v="25.346"/>
  </r>
  <r>
    <x v="444"/>
    <n v="276"/>
    <s v="QA430"/>
    <x v="4"/>
    <x v="68"/>
    <n v="1593.8999999999996"/>
    <n v="0.3299999999999999"/>
    <x v="4"/>
    <x v="3"/>
    <x v="2"/>
    <n v="5.7749999999999986"/>
    <n v="17.5"/>
    <n v="11.725000000000001"/>
  </r>
  <r>
    <x v="445"/>
    <n v="156"/>
    <s v="QA430"/>
    <x v="3"/>
    <x v="106"/>
    <n v="900.89999999999986"/>
    <n v="0.3299999999999999"/>
    <x v="3"/>
    <x v="2"/>
    <x v="2"/>
    <n v="5.7749999999999986"/>
    <n v="17.5"/>
    <n v="11.725000000000001"/>
  </r>
  <r>
    <x v="445"/>
    <n v="240"/>
    <s v="BL579"/>
    <x v="0"/>
    <x v="93"/>
    <n v="4404.96"/>
    <n v="0.42000000000000004"/>
    <x v="0"/>
    <x v="0"/>
    <x v="1"/>
    <n v="18.354000000000003"/>
    <n v="43.7"/>
    <n v="25.346"/>
  </r>
  <r>
    <x v="446"/>
    <n v="48"/>
    <s v="255YN"/>
    <x v="2"/>
    <x v="72"/>
    <n v="475.19999999999993"/>
    <n v="0.43999999999999995"/>
    <x v="2"/>
    <x v="0"/>
    <x v="0"/>
    <n v="9.8999999999999986"/>
    <n v="22.5"/>
    <n v="12.600000000000001"/>
  </r>
  <r>
    <x v="446"/>
    <n v="216"/>
    <s v="175AP"/>
    <x v="2"/>
    <x v="98"/>
    <n v="2698.92"/>
    <n v="0.42000000000000004"/>
    <x v="2"/>
    <x v="0"/>
    <x v="3"/>
    <n v="12.495000000000001"/>
    <n v="29.75"/>
    <n v="17.254999999999999"/>
  </r>
  <r>
    <x v="446"/>
    <n v="288"/>
    <s v="QA430"/>
    <x v="2"/>
    <x v="91"/>
    <n v="1663.1999999999998"/>
    <n v="0.3299999999999999"/>
    <x v="2"/>
    <x v="0"/>
    <x v="2"/>
    <n v="5.7749999999999986"/>
    <n v="17.5"/>
    <n v="11.725000000000001"/>
  </r>
  <r>
    <x v="447"/>
    <n v="204"/>
    <s v="BL579"/>
    <x v="1"/>
    <x v="1"/>
    <n v="3744.2160000000013"/>
    <n v="0.42000000000000004"/>
    <x v="1"/>
    <x v="1"/>
    <x v="1"/>
    <n v="18.354000000000003"/>
    <n v="43.7"/>
    <n v="25.346"/>
  </r>
  <r>
    <x v="447"/>
    <n v="132"/>
    <s v="QA430"/>
    <x v="1"/>
    <x v="14"/>
    <n v="762.29999999999973"/>
    <n v="0.3299999999999999"/>
    <x v="1"/>
    <x v="1"/>
    <x v="2"/>
    <n v="5.7749999999999986"/>
    <n v="17.5"/>
    <n v="11.725000000000001"/>
  </r>
  <r>
    <x v="447"/>
    <n v="60"/>
    <s v="175AP"/>
    <x v="0"/>
    <x v="20"/>
    <n v="749.7"/>
    <n v="0.42000000000000004"/>
    <x v="0"/>
    <x v="0"/>
    <x v="3"/>
    <n v="12.495000000000001"/>
    <n v="29.75"/>
    <n v="17.254999999999999"/>
  </r>
  <r>
    <x v="447"/>
    <n v="300"/>
    <s v="QA430"/>
    <x v="3"/>
    <x v="55"/>
    <n v="1732.4999999999995"/>
    <n v="0.3299999999999999"/>
    <x v="3"/>
    <x v="2"/>
    <x v="2"/>
    <n v="5.7749999999999986"/>
    <n v="17.5"/>
    <n v="11.725000000000001"/>
  </r>
  <r>
    <x v="447"/>
    <n v="204"/>
    <s v="QA430"/>
    <x v="3"/>
    <x v="28"/>
    <n v="1178.0999999999999"/>
    <n v="0.3299999999999999"/>
    <x v="3"/>
    <x v="2"/>
    <x v="2"/>
    <n v="5.7749999999999986"/>
    <n v="17.5"/>
    <n v="11.725000000000001"/>
  </r>
  <r>
    <x v="448"/>
    <n v="132"/>
    <s v="100CR"/>
    <x v="2"/>
    <x v="82"/>
    <n v="2587.1999999999998"/>
    <n v="0.56000000000000005"/>
    <x v="2"/>
    <x v="0"/>
    <x v="4"/>
    <n v="19.600000000000001"/>
    <n v="35"/>
    <n v="15.4"/>
  </r>
  <r>
    <x v="448"/>
    <n v="264"/>
    <s v="255YN"/>
    <x v="3"/>
    <x v="69"/>
    <n v="2613.5999999999995"/>
    <n v="0.43999999999999995"/>
    <x v="3"/>
    <x v="2"/>
    <x v="0"/>
    <n v="9.8999999999999986"/>
    <n v="22.5"/>
    <n v="12.600000000000001"/>
  </r>
  <r>
    <x v="449"/>
    <n v="288"/>
    <s v="175AP"/>
    <x v="4"/>
    <x v="32"/>
    <n v="3598.5600000000004"/>
    <n v="0.42000000000000004"/>
    <x v="4"/>
    <x v="3"/>
    <x v="3"/>
    <n v="12.495000000000001"/>
    <n v="29.75"/>
    <n v="17.254999999999999"/>
  </r>
  <r>
    <x v="449"/>
    <n v="108"/>
    <s v="BL579"/>
    <x v="4"/>
    <x v="61"/>
    <n v="1982.2320000000004"/>
    <n v="0.42000000000000004"/>
    <x v="4"/>
    <x v="3"/>
    <x v="1"/>
    <n v="18.354000000000003"/>
    <n v="43.7"/>
    <n v="25.346"/>
  </r>
  <r>
    <x v="450"/>
    <n v="204"/>
    <s v="255YN"/>
    <x v="1"/>
    <x v="89"/>
    <n v="2019.6"/>
    <n v="0.43999999999999995"/>
    <x v="1"/>
    <x v="1"/>
    <x v="0"/>
    <n v="9.8999999999999986"/>
    <n v="22.5"/>
    <n v="12.600000000000001"/>
  </r>
  <r>
    <x v="450"/>
    <n v="288"/>
    <s v="100CR"/>
    <x v="2"/>
    <x v="63"/>
    <n v="5644.8"/>
    <n v="0.56000000000000005"/>
    <x v="2"/>
    <x v="0"/>
    <x v="4"/>
    <n v="19.600000000000001"/>
    <n v="35"/>
    <n v="15.4"/>
  </r>
  <r>
    <x v="450"/>
    <n v="276"/>
    <s v="255YN"/>
    <x v="3"/>
    <x v="9"/>
    <n v="2732.3999999999996"/>
    <n v="0.43999999999999995"/>
    <x v="3"/>
    <x v="2"/>
    <x v="0"/>
    <n v="9.8999999999999986"/>
    <n v="22.5"/>
    <n v="12.600000000000001"/>
  </r>
  <r>
    <x v="451"/>
    <n v="228"/>
    <s v="QA430"/>
    <x v="1"/>
    <x v="71"/>
    <n v="1316.6999999999998"/>
    <n v="0.3299999999999999"/>
    <x v="1"/>
    <x v="1"/>
    <x v="2"/>
    <n v="5.7749999999999986"/>
    <n v="17.5"/>
    <n v="11.725000000000001"/>
  </r>
  <r>
    <x v="451"/>
    <n v="288"/>
    <s v="100CR"/>
    <x v="1"/>
    <x v="63"/>
    <n v="5644.8"/>
    <n v="0.56000000000000005"/>
    <x v="1"/>
    <x v="1"/>
    <x v="4"/>
    <n v="19.600000000000001"/>
    <n v="35"/>
    <n v="15.4"/>
  </r>
  <r>
    <x v="452"/>
    <n v="204"/>
    <s v="255YN"/>
    <x v="2"/>
    <x v="89"/>
    <n v="2019.6"/>
    <n v="0.43999999999999995"/>
    <x v="2"/>
    <x v="0"/>
    <x v="0"/>
    <n v="9.8999999999999986"/>
    <n v="22.5"/>
    <n v="12.600000000000001"/>
  </r>
  <r>
    <x v="452"/>
    <n v="72"/>
    <s v="175AP"/>
    <x v="0"/>
    <x v="19"/>
    <n v="899.6400000000001"/>
    <n v="0.42000000000000004"/>
    <x v="0"/>
    <x v="0"/>
    <x v="3"/>
    <n v="12.495000000000001"/>
    <n v="29.75"/>
    <n v="17.254999999999999"/>
  </r>
  <r>
    <x v="453"/>
    <n v="48"/>
    <s v="QA430"/>
    <x v="4"/>
    <x v="53"/>
    <n v="277.19999999999993"/>
    <n v="0.3299999999999999"/>
    <x v="4"/>
    <x v="3"/>
    <x v="2"/>
    <n v="5.7749999999999986"/>
    <n v="17.5"/>
    <n v="11.725000000000001"/>
  </r>
  <r>
    <x v="453"/>
    <n v="252"/>
    <s v="175AP"/>
    <x v="4"/>
    <x v="67"/>
    <n v="3148.7400000000007"/>
    <n v="0.42000000000000004"/>
    <x v="4"/>
    <x v="3"/>
    <x v="3"/>
    <n v="12.495000000000001"/>
    <n v="29.75"/>
    <n v="17.254999999999999"/>
  </r>
  <r>
    <x v="453"/>
    <n v="72"/>
    <s v="255YN"/>
    <x v="2"/>
    <x v="2"/>
    <n v="712.8"/>
    <n v="0.43999999999999995"/>
    <x v="2"/>
    <x v="0"/>
    <x v="0"/>
    <n v="9.8999999999999986"/>
    <n v="22.5"/>
    <n v="12.600000000000001"/>
  </r>
  <r>
    <x v="454"/>
    <n v="216"/>
    <s v="255YN"/>
    <x v="2"/>
    <x v="11"/>
    <n v="2138.3999999999996"/>
    <n v="0.43999999999999995"/>
    <x v="2"/>
    <x v="0"/>
    <x v="0"/>
    <n v="9.8999999999999986"/>
    <n v="22.5"/>
    <n v="12.600000000000001"/>
  </r>
  <r>
    <x v="455"/>
    <n v="276"/>
    <s v="100CR"/>
    <x v="2"/>
    <x v="87"/>
    <n v="5409.5999999999995"/>
    <n v="0.56000000000000005"/>
    <x v="2"/>
    <x v="0"/>
    <x v="4"/>
    <n v="19.600000000000001"/>
    <n v="35"/>
    <n v="15.4"/>
  </r>
  <r>
    <x v="455"/>
    <n v="168"/>
    <s v="BL579"/>
    <x v="0"/>
    <x v="7"/>
    <n v="3083.4720000000007"/>
    <n v="0.42000000000000004"/>
    <x v="0"/>
    <x v="0"/>
    <x v="1"/>
    <n v="18.354000000000003"/>
    <n v="43.7"/>
    <n v="25.346"/>
  </r>
  <r>
    <x v="455"/>
    <n v="180"/>
    <s v="QA430"/>
    <x v="1"/>
    <x v="101"/>
    <n v="1039.4999999999995"/>
    <n v="0.3299999999999999"/>
    <x v="1"/>
    <x v="1"/>
    <x v="2"/>
    <n v="5.7749999999999986"/>
    <n v="17.5"/>
    <n v="11.725000000000001"/>
  </r>
  <r>
    <x v="455"/>
    <n v="264"/>
    <s v="175AP"/>
    <x v="0"/>
    <x v="18"/>
    <n v="3298.6800000000003"/>
    <n v="0.42000000000000004"/>
    <x v="0"/>
    <x v="0"/>
    <x v="3"/>
    <n v="12.495000000000001"/>
    <n v="29.75"/>
    <n v="17.254999999999999"/>
  </r>
  <r>
    <x v="456"/>
    <n v="84"/>
    <s v="BL579"/>
    <x v="1"/>
    <x v="77"/>
    <n v="1541.7360000000003"/>
    <n v="0.42000000000000004"/>
    <x v="1"/>
    <x v="1"/>
    <x v="1"/>
    <n v="18.354000000000003"/>
    <n v="43.7"/>
    <n v="25.346"/>
  </r>
  <r>
    <x v="457"/>
    <n v="96"/>
    <s v="100CR"/>
    <x v="2"/>
    <x v="16"/>
    <n v="1881.6"/>
    <n v="0.56000000000000005"/>
    <x v="2"/>
    <x v="0"/>
    <x v="4"/>
    <n v="19.600000000000001"/>
    <n v="35"/>
    <n v="15.4"/>
  </r>
  <r>
    <x v="458"/>
    <n v="192"/>
    <s v="QA430"/>
    <x v="3"/>
    <x v="16"/>
    <n v="1108.7999999999997"/>
    <n v="0.3299999999999999"/>
    <x v="3"/>
    <x v="2"/>
    <x v="2"/>
    <n v="5.7749999999999986"/>
    <n v="17.5"/>
    <n v="11.725000000000001"/>
  </r>
  <r>
    <x v="458"/>
    <n v="24"/>
    <s v="255YN"/>
    <x v="2"/>
    <x v="59"/>
    <n v="237.59999999999997"/>
    <n v="0.43999999999999995"/>
    <x v="2"/>
    <x v="0"/>
    <x v="0"/>
    <n v="9.8999999999999986"/>
    <n v="22.5"/>
    <n v="12.600000000000001"/>
  </r>
  <r>
    <x v="458"/>
    <n v="276"/>
    <s v="100CR"/>
    <x v="3"/>
    <x v="87"/>
    <n v="5409.5999999999995"/>
    <n v="0.56000000000000005"/>
    <x v="3"/>
    <x v="2"/>
    <x v="4"/>
    <n v="19.600000000000001"/>
    <n v="35"/>
    <n v="15.4"/>
  </r>
  <r>
    <x v="459"/>
    <n v="192"/>
    <s v="QA430"/>
    <x v="4"/>
    <x v="16"/>
    <n v="1108.7999999999997"/>
    <n v="0.3299999999999999"/>
    <x v="4"/>
    <x v="3"/>
    <x v="2"/>
    <n v="5.7749999999999986"/>
    <n v="17.5"/>
    <n v="11.725000000000001"/>
  </r>
  <r>
    <x v="460"/>
    <n v="24"/>
    <s v="100CR"/>
    <x v="2"/>
    <x v="53"/>
    <n v="470.4"/>
    <n v="0.56000000000000005"/>
    <x v="2"/>
    <x v="0"/>
    <x v="4"/>
    <n v="19.600000000000001"/>
    <n v="35"/>
    <n v="15.4"/>
  </r>
  <r>
    <x v="460"/>
    <n v="288"/>
    <s v="QA430"/>
    <x v="3"/>
    <x v="91"/>
    <n v="1663.1999999999998"/>
    <n v="0.3299999999999999"/>
    <x v="3"/>
    <x v="2"/>
    <x v="2"/>
    <n v="5.7749999999999986"/>
    <n v="17.5"/>
    <n v="11.725000000000001"/>
  </r>
  <r>
    <x v="460"/>
    <n v="120"/>
    <s v="BL579"/>
    <x v="2"/>
    <x v="88"/>
    <n v="2202.48"/>
    <n v="0.42000000000000004"/>
    <x v="2"/>
    <x v="0"/>
    <x v="1"/>
    <n v="18.354000000000003"/>
    <n v="43.7"/>
    <n v="25.346"/>
  </r>
  <r>
    <x v="461"/>
    <n v="240"/>
    <s v="100CR"/>
    <x v="2"/>
    <x v="70"/>
    <n v="4704"/>
    <n v="0.56000000000000005"/>
    <x v="2"/>
    <x v="0"/>
    <x v="4"/>
    <n v="19.600000000000001"/>
    <n v="35"/>
    <n v="15.4"/>
  </r>
  <r>
    <x v="461"/>
    <n v="108"/>
    <s v="175AP"/>
    <x v="3"/>
    <x v="95"/>
    <n v="1349.46"/>
    <n v="0.42000000000000004"/>
    <x v="3"/>
    <x v="2"/>
    <x v="3"/>
    <n v="12.495000000000001"/>
    <n v="29.75"/>
    <n v="17.254999999999999"/>
  </r>
  <r>
    <x v="462"/>
    <n v="168"/>
    <s v="175AP"/>
    <x v="2"/>
    <x v="57"/>
    <n v="2099.1600000000003"/>
    <n v="0.42000000000000004"/>
    <x v="2"/>
    <x v="0"/>
    <x v="3"/>
    <n v="12.495000000000001"/>
    <n v="29.75"/>
    <n v="17.254999999999999"/>
  </r>
  <r>
    <x v="463"/>
    <n v="96"/>
    <s v="175AP"/>
    <x v="3"/>
    <x v="29"/>
    <n v="1199.52"/>
    <n v="0.42000000000000004"/>
    <x v="3"/>
    <x v="2"/>
    <x v="3"/>
    <n v="12.495000000000001"/>
    <n v="29.75"/>
    <n v="17.254999999999999"/>
  </r>
  <r>
    <x v="463"/>
    <n v="72"/>
    <s v="BL579"/>
    <x v="1"/>
    <x v="44"/>
    <n v="1321.4880000000001"/>
    <n v="0.42000000000000004"/>
    <x v="1"/>
    <x v="1"/>
    <x v="1"/>
    <n v="18.354000000000003"/>
    <n v="43.7"/>
    <n v="25.346"/>
  </r>
  <r>
    <x v="464"/>
    <n v="252"/>
    <s v="BL579"/>
    <x v="1"/>
    <x v="17"/>
    <n v="4625.2080000000014"/>
    <n v="0.42000000000000004"/>
    <x v="1"/>
    <x v="1"/>
    <x v="1"/>
    <n v="18.354000000000003"/>
    <n v="43.7"/>
    <n v="25.346"/>
  </r>
  <r>
    <x v="465"/>
    <n v="240"/>
    <s v="175AP"/>
    <x v="4"/>
    <x v="78"/>
    <n v="2998.8"/>
    <n v="0.42000000000000004"/>
    <x v="4"/>
    <x v="3"/>
    <x v="3"/>
    <n v="12.495000000000001"/>
    <n v="29.75"/>
    <n v="17.254999999999999"/>
  </r>
  <r>
    <x v="465"/>
    <n v="132"/>
    <s v="255YN"/>
    <x v="3"/>
    <x v="66"/>
    <n v="1306.7999999999997"/>
    <n v="0.43999999999999995"/>
    <x v="3"/>
    <x v="2"/>
    <x v="0"/>
    <n v="9.8999999999999986"/>
    <n v="22.5"/>
    <n v="12.600000000000001"/>
  </r>
  <r>
    <x v="465"/>
    <n v="180"/>
    <s v="255YN"/>
    <x v="2"/>
    <x v="21"/>
    <n v="1781.9999999999995"/>
    <n v="0.43999999999999995"/>
    <x v="2"/>
    <x v="0"/>
    <x v="0"/>
    <n v="9.8999999999999986"/>
    <n v="22.5"/>
    <n v="12.600000000000001"/>
  </r>
  <r>
    <x v="466"/>
    <n v="144"/>
    <s v="QA430"/>
    <x v="3"/>
    <x v="51"/>
    <n v="831.59999999999991"/>
    <n v="0.3299999999999999"/>
    <x v="3"/>
    <x v="2"/>
    <x v="2"/>
    <n v="5.7749999999999986"/>
    <n v="17.5"/>
    <n v="11.725000000000001"/>
  </r>
  <r>
    <x v="466"/>
    <n v="144"/>
    <s v="100CR"/>
    <x v="2"/>
    <x v="91"/>
    <n v="2822.4"/>
    <n v="0.56000000000000005"/>
    <x v="2"/>
    <x v="0"/>
    <x v="4"/>
    <n v="19.600000000000001"/>
    <n v="35"/>
    <n v="15.4"/>
  </r>
  <r>
    <x v="467"/>
    <n v="288"/>
    <s v="100CR"/>
    <x v="4"/>
    <x v="63"/>
    <n v="5644.8"/>
    <n v="0.56000000000000005"/>
    <x v="4"/>
    <x v="3"/>
    <x v="4"/>
    <n v="19.600000000000001"/>
    <n v="35"/>
    <n v="15.4"/>
  </r>
  <r>
    <x v="467"/>
    <n v="120"/>
    <s v="175AP"/>
    <x v="3"/>
    <x v="28"/>
    <n v="1499.4"/>
    <n v="0.42000000000000004"/>
    <x v="3"/>
    <x v="2"/>
    <x v="3"/>
    <n v="12.495000000000001"/>
    <n v="29.75"/>
    <n v="17.254999999999999"/>
  </r>
  <r>
    <x v="467"/>
    <n v="180"/>
    <s v="QA430"/>
    <x v="1"/>
    <x v="101"/>
    <n v="1039.4999999999995"/>
    <n v="0.3299999999999999"/>
    <x v="1"/>
    <x v="1"/>
    <x v="2"/>
    <n v="5.7749999999999986"/>
    <n v="17.5"/>
    <n v="11.725000000000001"/>
  </r>
  <r>
    <x v="468"/>
    <n v="276"/>
    <s v="BL579"/>
    <x v="4"/>
    <x v="103"/>
    <n v="5065.7040000000006"/>
    <n v="0.42000000000000004"/>
    <x v="4"/>
    <x v="3"/>
    <x v="1"/>
    <n v="18.354000000000003"/>
    <n v="43.7"/>
    <n v="25.346"/>
  </r>
  <r>
    <x v="469"/>
    <n v="300"/>
    <s v="QA430"/>
    <x v="4"/>
    <x v="55"/>
    <n v="1732.4999999999995"/>
    <n v="0.3299999999999999"/>
    <x v="4"/>
    <x v="3"/>
    <x v="2"/>
    <n v="5.7749999999999986"/>
    <n v="17.5"/>
    <n v="11.725000000000001"/>
  </r>
  <r>
    <x v="470"/>
    <n v="156"/>
    <s v="175AP"/>
    <x v="0"/>
    <x v="76"/>
    <n v="1949.2200000000003"/>
    <n v="0.42000000000000004"/>
    <x v="0"/>
    <x v="0"/>
    <x v="3"/>
    <n v="12.495000000000001"/>
    <n v="29.75"/>
    <n v="17.254999999999999"/>
  </r>
  <r>
    <x v="471"/>
    <n v="60"/>
    <s v="BL579"/>
    <x v="1"/>
    <x v="52"/>
    <n v="1101.24"/>
    <n v="0.42000000000000004"/>
    <x v="1"/>
    <x v="1"/>
    <x v="1"/>
    <n v="18.354000000000003"/>
    <n v="43.7"/>
    <n v="25.346"/>
  </r>
  <r>
    <x v="471"/>
    <n v="264"/>
    <s v="175AP"/>
    <x v="1"/>
    <x v="18"/>
    <n v="3298.6800000000003"/>
    <n v="0.42000000000000004"/>
    <x v="1"/>
    <x v="1"/>
    <x v="3"/>
    <n v="12.495000000000001"/>
    <n v="29.75"/>
    <n v="17.254999999999999"/>
  </r>
  <r>
    <x v="472"/>
    <n v="144"/>
    <s v="QA430"/>
    <x v="4"/>
    <x v="51"/>
    <n v="831.59999999999991"/>
    <n v="0.3299999999999999"/>
    <x v="4"/>
    <x v="3"/>
    <x v="2"/>
    <n v="5.7749999999999986"/>
    <n v="17.5"/>
    <n v="11.725000000000001"/>
  </r>
  <r>
    <x v="472"/>
    <n v="96"/>
    <s v="255YN"/>
    <x v="1"/>
    <x v="83"/>
    <n v="950.39999999999986"/>
    <n v="0.43999999999999995"/>
    <x v="1"/>
    <x v="1"/>
    <x v="0"/>
    <n v="9.8999999999999986"/>
    <n v="22.5"/>
    <n v="12.600000000000001"/>
  </r>
  <r>
    <x v="472"/>
    <n v="60"/>
    <s v="BL579"/>
    <x v="1"/>
    <x v="52"/>
    <n v="1101.24"/>
    <n v="0.42000000000000004"/>
    <x v="1"/>
    <x v="1"/>
    <x v="1"/>
    <n v="18.354000000000003"/>
    <n v="43.7"/>
    <n v="25.346"/>
  </r>
  <r>
    <x v="473"/>
    <n v="216"/>
    <s v="QA430"/>
    <x v="2"/>
    <x v="12"/>
    <n v="1247.3999999999996"/>
    <n v="0.3299999999999999"/>
    <x v="2"/>
    <x v="0"/>
    <x v="2"/>
    <n v="5.7749999999999986"/>
    <n v="17.5"/>
    <n v="11.725000000000001"/>
  </r>
  <r>
    <x v="473"/>
    <n v="72"/>
    <s v="QA430"/>
    <x v="2"/>
    <x v="3"/>
    <n v="415.79999999999995"/>
    <n v="0.3299999999999999"/>
    <x v="2"/>
    <x v="0"/>
    <x v="2"/>
    <n v="5.7749999999999986"/>
    <n v="17.5"/>
    <n v="11.725000000000001"/>
  </r>
  <r>
    <x v="474"/>
    <n v="192"/>
    <s v="175AP"/>
    <x v="0"/>
    <x v="42"/>
    <n v="2399.04"/>
    <n v="0.42000000000000004"/>
    <x v="0"/>
    <x v="0"/>
    <x v="3"/>
    <n v="12.495000000000001"/>
    <n v="29.75"/>
    <n v="17.254999999999999"/>
  </r>
  <r>
    <x v="474"/>
    <n v="264"/>
    <s v="BL579"/>
    <x v="3"/>
    <x v="94"/>
    <n v="4845.456000000001"/>
    <n v="0.42000000000000004"/>
    <x v="3"/>
    <x v="2"/>
    <x v="1"/>
    <n v="18.354000000000003"/>
    <n v="43.7"/>
    <n v="25.346"/>
  </r>
  <r>
    <x v="475"/>
    <n v="24"/>
    <s v="255YN"/>
    <x v="4"/>
    <x v="59"/>
    <n v="237.59999999999997"/>
    <n v="0.43999999999999995"/>
    <x v="4"/>
    <x v="3"/>
    <x v="0"/>
    <n v="9.8999999999999986"/>
    <n v="22.5"/>
    <n v="12.600000000000001"/>
  </r>
  <r>
    <x v="475"/>
    <n v="276"/>
    <s v="255YN"/>
    <x v="0"/>
    <x v="9"/>
    <n v="2732.3999999999996"/>
    <n v="0.43999999999999995"/>
    <x v="0"/>
    <x v="0"/>
    <x v="0"/>
    <n v="9.8999999999999986"/>
    <n v="22.5"/>
    <n v="12.600000000000001"/>
  </r>
  <r>
    <x v="476"/>
    <n v="36"/>
    <s v="QA430"/>
    <x v="1"/>
    <x v="80"/>
    <n v="207.89999999999998"/>
    <n v="0.3299999999999999"/>
    <x v="1"/>
    <x v="1"/>
    <x v="2"/>
    <n v="5.7749999999999986"/>
    <n v="17.5"/>
    <n v="11.725000000000001"/>
  </r>
  <r>
    <x v="476"/>
    <n v="276"/>
    <s v="175AP"/>
    <x v="0"/>
    <x v="84"/>
    <n v="3448.62"/>
    <n v="0.42000000000000004"/>
    <x v="0"/>
    <x v="0"/>
    <x v="3"/>
    <n v="12.495000000000001"/>
    <n v="29.75"/>
    <n v="17.254999999999999"/>
  </r>
  <r>
    <x v="476"/>
    <n v="228"/>
    <s v="QA430"/>
    <x v="0"/>
    <x v="71"/>
    <n v="1316.6999999999998"/>
    <n v="0.3299999999999999"/>
    <x v="0"/>
    <x v="0"/>
    <x v="2"/>
    <n v="5.7749999999999986"/>
    <n v="17.5"/>
    <n v="11.725000000000001"/>
  </r>
  <r>
    <x v="477"/>
    <n v="288"/>
    <s v="100CR"/>
    <x v="1"/>
    <x v="63"/>
    <n v="5644.8"/>
    <n v="0.56000000000000005"/>
    <x v="1"/>
    <x v="1"/>
    <x v="4"/>
    <n v="19.600000000000001"/>
    <n v="35"/>
    <n v="15.4"/>
  </r>
  <r>
    <x v="478"/>
    <n v="24"/>
    <s v="255YN"/>
    <x v="0"/>
    <x v="59"/>
    <n v="237.59999999999997"/>
    <n v="0.43999999999999995"/>
    <x v="0"/>
    <x v="0"/>
    <x v="0"/>
    <n v="9.8999999999999986"/>
    <n v="22.5"/>
    <n v="12.600000000000001"/>
  </r>
  <r>
    <x v="478"/>
    <n v="108"/>
    <s v="255YN"/>
    <x v="4"/>
    <x v="24"/>
    <n v="1069.1999999999998"/>
    <n v="0.43999999999999995"/>
    <x v="4"/>
    <x v="3"/>
    <x v="0"/>
    <n v="9.8999999999999986"/>
    <n v="22.5"/>
    <n v="12.600000000000001"/>
  </r>
  <r>
    <x v="479"/>
    <n v="156"/>
    <s v="175AP"/>
    <x v="0"/>
    <x v="76"/>
    <n v="1949.2200000000003"/>
    <n v="0.42000000000000004"/>
    <x v="0"/>
    <x v="0"/>
    <x v="3"/>
    <n v="12.495000000000001"/>
    <n v="29.75"/>
    <n v="17.254999999999999"/>
  </r>
  <r>
    <x v="479"/>
    <n v="144"/>
    <s v="BL579"/>
    <x v="0"/>
    <x v="13"/>
    <n v="2642.9760000000001"/>
    <n v="0.42000000000000004"/>
    <x v="0"/>
    <x v="0"/>
    <x v="1"/>
    <n v="18.354000000000003"/>
    <n v="43.7"/>
    <n v="25.346"/>
  </r>
  <r>
    <x v="479"/>
    <n v="204"/>
    <s v="255YN"/>
    <x v="3"/>
    <x v="89"/>
    <n v="2019.6"/>
    <n v="0.43999999999999995"/>
    <x v="3"/>
    <x v="2"/>
    <x v="0"/>
    <n v="9.8999999999999986"/>
    <n v="22.5"/>
    <n v="12.600000000000001"/>
  </r>
  <r>
    <x v="480"/>
    <n v="36"/>
    <s v="BL579"/>
    <x v="4"/>
    <x v="4"/>
    <n v="660.74400000000003"/>
    <n v="0.42000000000000004"/>
    <x v="4"/>
    <x v="3"/>
    <x v="1"/>
    <n v="18.354000000000003"/>
    <n v="43.7"/>
    <n v="25.346"/>
  </r>
  <r>
    <x v="481"/>
    <n v="168"/>
    <s v="BL579"/>
    <x v="3"/>
    <x v="7"/>
    <n v="3083.4720000000007"/>
    <n v="0.42000000000000004"/>
    <x v="3"/>
    <x v="2"/>
    <x v="1"/>
    <n v="18.354000000000003"/>
    <n v="43.7"/>
    <n v="25.346"/>
  </r>
  <r>
    <x v="482"/>
    <n v="144"/>
    <s v="175AP"/>
    <x v="0"/>
    <x v="97"/>
    <n v="1799.2800000000002"/>
    <n v="0.42000000000000004"/>
    <x v="0"/>
    <x v="0"/>
    <x v="3"/>
    <n v="12.495000000000001"/>
    <n v="29.75"/>
    <n v="17.254999999999999"/>
  </r>
  <r>
    <x v="483"/>
    <n v="228"/>
    <s v="QA430"/>
    <x v="3"/>
    <x v="71"/>
    <n v="1316.6999999999998"/>
    <n v="0.3299999999999999"/>
    <x v="3"/>
    <x v="2"/>
    <x v="2"/>
    <n v="5.7749999999999986"/>
    <n v="17.5"/>
    <n v="11.725000000000001"/>
  </r>
  <r>
    <x v="484"/>
    <n v="168"/>
    <s v="QA430"/>
    <x v="4"/>
    <x v="43"/>
    <n v="970.19999999999982"/>
    <n v="0.3299999999999999"/>
    <x v="4"/>
    <x v="3"/>
    <x v="2"/>
    <n v="5.7749999999999986"/>
    <n v="17.5"/>
    <n v="11.725000000000001"/>
  </r>
  <r>
    <x v="484"/>
    <n v="252"/>
    <s v="BL579"/>
    <x v="4"/>
    <x v="17"/>
    <n v="4625.2080000000014"/>
    <n v="0.42000000000000004"/>
    <x v="4"/>
    <x v="3"/>
    <x v="1"/>
    <n v="18.354000000000003"/>
    <n v="43.7"/>
    <n v="25.346"/>
  </r>
  <r>
    <x v="485"/>
    <n v="156"/>
    <s v="BL579"/>
    <x v="2"/>
    <x v="73"/>
    <n v="2863.2240000000006"/>
    <n v="0.42000000000000004"/>
    <x v="2"/>
    <x v="0"/>
    <x v="1"/>
    <n v="18.354000000000003"/>
    <n v="43.7"/>
    <n v="25.346"/>
  </r>
  <r>
    <x v="485"/>
    <n v="48"/>
    <s v="BL579"/>
    <x v="3"/>
    <x v="5"/>
    <n v="880.99200000000042"/>
    <n v="0.42000000000000004"/>
    <x v="3"/>
    <x v="2"/>
    <x v="1"/>
    <n v="18.354000000000003"/>
    <n v="43.7"/>
    <n v="25.346"/>
  </r>
  <r>
    <x v="485"/>
    <n v="264"/>
    <s v="175AP"/>
    <x v="1"/>
    <x v="18"/>
    <n v="3298.6800000000003"/>
    <n v="0.42000000000000004"/>
    <x v="1"/>
    <x v="1"/>
    <x v="3"/>
    <n v="12.495000000000001"/>
    <n v="29.75"/>
    <n v="17.254999999999999"/>
  </r>
  <r>
    <x v="485"/>
    <n v="84"/>
    <s v="100CR"/>
    <x v="0"/>
    <x v="43"/>
    <n v="1646.3999999999999"/>
    <n v="0.56000000000000005"/>
    <x v="0"/>
    <x v="0"/>
    <x v="4"/>
    <n v="19.600000000000001"/>
    <n v="35"/>
    <n v="15.4"/>
  </r>
  <r>
    <x v="485"/>
    <n v="60"/>
    <s v="BL579"/>
    <x v="1"/>
    <x v="52"/>
    <n v="1101.24"/>
    <n v="0.42000000000000004"/>
    <x v="1"/>
    <x v="1"/>
    <x v="1"/>
    <n v="18.354000000000003"/>
    <n v="43.7"/>
    <n v="25.346"/>
  </r>
  <r>
    <x v="486"/>
    <n v="192"/>
    <s v="175AP"/>
    <x v="2"/>
    <x v="42"/>
    <n v="2399.04"/>
    <n v="0.42000000000000004"/>
    <x v="2"/>
    <x v="0"/>
    <x v="3"/>
    <n v="12.495000000000001"/>
    <n v="29.75"/>
    <n v="17.254999999999999"/>
  </r>
  <r>
    <x v="486"/>
    <n v="96"/>
    <s v="QA430"/>
    <x v="3"/>
    <x v="45"/>
    <n v="554.39999999999986"/>
    <n v="0.3299999999999999"/>
    <x v="3"/>
    <x v="2"/>
    <x v="2"/>
    <n v="5.7749999999999986"/>
    <n v="17.5"/>
    <n v="11.725000000000001"/>
  </r>
  <r>
    <x v="487"/>
    <n v="156"/>
    <s v="100CR"/>
    <x v="4"/>
    <x v="54"/>
    <n v="3057.6"/>
    <n v="0.56000000000000005"/>
    <x v="4"/>
    <x v="3"/>
    <x v="4"/>
    <n v="19.600000000000001"/>
    <n v="35"/>
    <n v="15.4"/>
  </r>
  <r>
    <x v="487"/>
    <n v="36"/>
    <s v="175AP"/>
    <x v="4"/>
    <x v="37"/>
    <n v="449.82000000000005"/>
    <n v="0.42000000000000004"/>
    <x v="4"/>
    <x v="3"/>
    <x v="3"/>
    <n v="12.495000000000001"/>
    <n v="29.75"/>
    <n v="17.254999999999999"/>
  </r>
  <r>
    <x v="488"/>
    <n v="96"/>
    <s v="100CR"/>
    <x v="1"/>
    <x v="16"/>
    <n v="1881.6"/>
    <n v="0.56000000000000005"/>
    <x v="1"/>
    <x v="1"/>
    <x v="4"/>
    <n v="19.600000000000001"/>
    <n v="35"/>
    <n v="15.4"/>
  </r>
  <r>
    <x v="488"/>
    <n v="252"/>
    <s v="100CR"/>
    <x v="2"/>
    <x v="34"/>
    <n v="4939.2"/>
    <n v="0.56000000000000005"/>
    <x v="2"/>
    <x v="0"/>
    <x v="4"/>
    <n v="19.600000000000001"/>
    <n v="35"/>
    <n v="15.4"/>
  </r>
  <r>
    <x v="488"/>
    <n v="216"/>
    <s v="100CR"/>
    <x v="2"/>
    <x v="40"/>
    <n v="4233.6000000000004"/>
    <n v="0.56000000000000005"/>
    <x v="2"/>
    <x v="0"/>
    <x v="4"/>
    <n v="19.600000000000001"/>
    <n v="35"/>
    <n v="15.4"/>
  </r>
  <r>
    <x v="488"/>
    <n v="240"/>
    <s v="255YN"/>
    <x v="3"/>
    <x v="96"/>
    <n v="2375.9999999999995"/>
    <n v="0.43999999999999995"/>
    <x v="3"/>
    <x v="2"/>
    <x v="0"/>
    <n v="9.8999999999999986"/>
    <n v="22.5"/>
    <n v="12.600000000000001"/>
  </r>
  <r>
    <x v="488"/>
    <n v="132"/>
    <s v="BL579"/>
    <x v="2"/>
    <x v="31"/>
    <n v="2422.7280000000005"/>
    <n v="0.42000000000000004"/>
    <x v="2"/>
    <x v="0"/>
    <x v="1"/>
    <n v="18.354000000000003"/>
    <n v="43.7"/>
    <n v="25.346"/>
  </r>
  <r>
    <x v="488"/>
    <n v="264"/>
    <s v="100CR"/>
    <x v="4"/>
    <x v="41"/>
    <n v="5174.3999999999996"/>
    <n v="0.56000000000000005"/>
    <x v="4"/>
    <x v="3"/>
    <x v="4"/>
    <n v="19.600000000000001"/>
    <n v="35"/>
    <n v="15.4"/>
  </r>
  <r>
    <x v="488"/>
    <n v="84"/>
    <s v="100CR"/>
    <x v="0"/>
    <x v="43"/>
    <n v="1646.3999999999999"/>
    <n v="0.56000000000000005"/>
    <x v="0"/>
    <x v="0"/>
    <x v="4"/>
    <n v="19.600000000000001"/>
    <n v="35"/>
    <n v="15.4"/>
  </r>
  <r>
    <x v="489"/>
    <n v="240"/>
    <s v="BL579"/>
    <x v="2"/>
    <x v="93"/>
    <n v="4404.96"/>
    <n v="0.42000000000000004"/>
    <x v="2"/>
    <x v="0"/>
    <x v="1"/>
    <n v="18.354000000000003"/>
    <n v="43.7"/>
    <n v="25.346"/>
  </r>
  <r>
    <x v="490"/>
    <n v="60"/>
    <s v="100CR"/>
    <x v="2"/>
    <x v="35"/>
    <n v="1176"/>
    <n v="0.56000000000000005"/>
    <x v="2"/>
    <x v="0"/>
    <x v="4"/>
    <n v="19.600000000000001"/>
    <n v="35"/>
    <n v="15.4"/>
  </r>
  <r>
    <x v="490"/>
    <n v="72"/>
    <s v="100CR"/>
    <x v="3"/>
    <x v="51"/>
    <n v="1411.2"/>
    <n v="0.56000000000000005"/>
    <x v="3"/>
    <x v="2"/>
    <x v="4"/>
    <n v="19.600000000000001"/>
    <n v="35"/>
    <n v="15.4"/>
  </r>
  <r>
    <x v="490"/>
    <n v="72"/>
    <s v="100CR"/>
    <x v="4"/>
    <x v="51"/>
    <n v="1411.2"/>
    <n v="0.56000000000000005"/>
    <x v="4"/>
    <x v="3"/>
    <x v="4"/>
    <n v="19.600000000000001"/>
    <n v="35"/>
    <n v="15.4"/>
  </r>
  <r>
    <x v="491"/>
    <n v="84"/>
    <s v="100CR"/>
    <x v="3"/>
    <x v="43"/>
    <n v="1646.3999999999999"/>
    <n v="0.56000000000000005"/>
    <x v="3"/>
    <x v="2"/>
    <x v="4"/>
    <n v="19.600000000000001"/>
    <n v="35"/>
    <n v="15.4"/>
  </r>
  <r>
    <x v="492"/>
    <n v="180"/>
    <s v="175AP"/>
    <x v="0"/>
    <x v="8"/>
    <n v="2249.1000000000004"/>
    <n v="0.42000000000000004"/>
    <x v="0"/>
    <x v="0"/>
    <x v="3"/>
    <n v="12.495000000000001"/>
    <n v="29.75"/>
    <n v="17.254999999999999"/>
  </r>
  <r>
    <x v="492"/>
    <n v="276"/>
    <s v="BL579"/>
    <x v="1"/>
    <x v="103"/>
    <n v="5065.7040000000006"/>
    <n v="0.42000000000000004"/>
    <x v="1"/>
    <x v="1"/>
    <x v="1"/>
    <n v="18.354000000000003"/>
    <n v="43.7"/>
    <n v="25.346"/>
  </r>
  <r>
    <x v="493"/>
    <n v="60"/>
    <s v="100CR"/>
    <x v="2"/>
    <x v="35"/>
    <n v="1176"/>
    <n v="0.56000000000000005"/>
    <x v="2"/>
    <x v="0"/>
    <x v="4"/>
    <n v="19.600000000000001"/>
    <n v="35"/>
    <n v="15.4"/>
  </r>
  <r>
    <x v="494"/>
    <n v="72"/>
    <s v="255YN"/>
    <x v="3"/>
    <x v="2"/>
    <n v="712.8"/>
    <n v="0.43999999999999995"/>
    <x v="3"/>
    <x v="2"/>
    <x v="0"/>
    <n v="9.8999999999999986"/>
    <n v="22.5"/>
    <n v="12.600000000000001"/>
  </r>
  <r>
    <x v="495"/>
    <n v="156"/>
    <s v="BL579"/>
    <x v="2"/>
    <x v="73"/>
    <n v="2863.2240000000006"/>
    <n v="0.42000000000000004"/>
    <x v="2"/>
    <x v="0"/>
    <x v="1"/>
    <n v="18.354000000000003"/>
    <n v="43.7"/>
    <n v="25.346"/>
  </r>
  <r>
    <x v="495"/>
    <n v="84"/>
    <s v="100CR"/>
    <x v="1"/>
    <x v="43"/>
    <n v="1646.3999999999999"/>
    <n v="0.56000000000000005"/>
    <x v="1"/>
    <x v="1"/>
    <x v="4"/>
    <n v="19.600000000000001"/>
    <n v="35"/>
    <n v="15.4"/>
  </r>
  <r>
    <x v="496"/>
    <n v="60"/>
    <s v="BL579"/>
    <x v="0"/>
    <x v="52"/>
    <n v="1101.24"/>
    <n v="0.42000000000000004"/>
    <x v="0"/>
    <x v="0"/>
    <x v="1"/>
    <n v="18.354000000000003"/>
    <n v="43.7"/>
    <n v="25.346"/>
  </r>
  <r>
    <x v="497"/>
    <n v="144"/>
    <s v="QA430"/>
    <x v="2"/>
    <x v="51"/>
    <n v="831.59999999999991"/>
    <n v="0.3299999999999999"/>
    <x v="2"/>
    <x v="0"/>
    <x v="2"/>
    <n v="5.7749999999999986"/>
    <n v="17.5"/>
    <n v="11.725000000000001"/>
  </r>
  <r>
    <x v="497"/>
    <n v="276"/>
    <s v="255YN"/>
    <x v="0"/>
    <x v="9"/>
    <n v="2732.3999999999996"/>
    <n v="0.43999999999999995"/>
    <x v="0"/>
    <x v="0"/>
    <x v="0"/>
    <n v="9.8999999999999986"/>
    <n v="22.5"/>
    <n v="12.600000000000001"/>
  </r>
  <r>
    <x v="498"/>
    <n v="252"/>
    <s v="100CR"/>
    <x v="4"/>
    <x v="34"/>
    <n v="4939.2"/>
    <n v="0.56000000000000005"/>
    <x v="4"/>
    <x v="3"/>
    <x v="4"/>
    <n v="19.600000000000001"/>
    <n v="35"/>
    <n v="15.4"/>
  </r>
  <r>
    <x v="498"/>
    <n v="24"/>
    <s v="QA430"/>
    <x v="3"/>
    <x v="23"/>
    <n v="138.59999999999997"/>
    <n v="0.3299999999999999"/>
    <x v="3"/>
    <x v="2"/>
    <x v="2"/>
    <n v="5.7749999999999986"/>
    <n v="17.5"/>
    <n v="11.725000000000001"/>
  </r>
  <r>
    <x v="499"/>
    <n v="288"/>
    <s v="BL579"/>
    <x v="1"/>
    <x v="49"/>
    <n v="5285.9520000000002"/>
    <n v="0.42000000000000004"/>
    <x v="1"/>
    <x v="1"/>
    <x v="1"/>
    <n v="18.354000000000003"/>
    <n v="43.7"/>
    <n v="25.346"/>
  </r>
  <r>
    <x v="500"/>
    <n v="276"/>
    <s v="255YN"/>
    <x v="1"/>
    <x v="9"/>
    <n v="2732.3999999999996"/>
    <n v="0.43999999999999995"/>
    <x v="1"/>
    <x v="1"/>
    <x v="0"/>
    <n v="9.8999999999999986"/>
    <n v="22.5"/>
    <n v="12.600000000000001"/>
  </r>
  <r>
    <x v="501"/>
    <n v="264"/>
    <s v="BL579"/>
    <x v="4"/>
    <x v="94"/>
    <n v="4845.456000000001"/>
    <n v="0.42000000000000004"/>
    <x v="4"/>
    <x v="3"/>
    <x v="1"/>
    <n v="18.354000000000003"/>
    <n v="43.7"/>
    <n v="25.346"/>
  </r>
  <r>
    <x v="501"/>
    <n v="276"/>
    <s v="QA430"/>
    <x v="4"/>
    <x v="68"/>
    <n v="1593.8999999999996"/>
    <n v="0.3299999999999999"/>
    <x v="4"/>
    <x v="3"/>
    <x v="2"/>
    <n v="5.7749999999999986"/>
    <n v="17.5"/>
    <n v="11.725000000000001"/>
  </r>
  <r>
    <x v="502"/>
    <n v="120"/>
    <s v="BL579"/>
    <x v="4"/>
    <x v="88"/>
    <n v="2202.48"/>
    <n v="0.42000000000000004"/>
    <x v="4"/>
    <x v="3"/>
    <x v="1"/>
    <n v="18.354000000000003"/>
    <n v="43.7"/>
    <n v="25.346"/>
  </r>
  <r>
    <x v="502"/>
    <n v="168"/>
    <s v="BL579"/>
    <x v="2"/>
    <x v="7"/>
    <n v="3083.4720000000007"/>
    <n v="0.42000000000000004"/>
    <x v="2"/>
    <x v="0"/>
    <x v="1"/>
    <n v="18.354000000000003"/>
    <n v="43.7"/>
    <n v="25.346"/>
  </r>
  <r>
    <x v="503"/>
    <n v="108"/>
    <s v="100CR"/>
    <x v="3"/>
    <x v="12"/>
    <n v="2116.8000000000002"/>
    <n v="0.56000000000000005"/>
    <x v="3"/>
    <x v="2"/>
    <x v="4"/>
    <n v="19.600000000000001"/>
    <n v="35"/>
    <n v="15.4"/>
  </r>
  <r>
    <x v="504"/>
    <n v="204"/>
    <s v="BL579"/>
    <x v="1"/>
    <x v="1"/>
    <n v="3744.2160000000013"/>
    <n v="0.42000000000000004"/>
    <x v="1"/>
    <x v="1"/>
    <x v="1"/>
    <n v="18.354000000000003"/>
    <n v="43.7"/>
    <n v="25.346"/>
  </r>
  <r>
    <x v="504"/>
    <n v="204"/>
    <s v="255YN"/>
    <x v="0"/>
    <x v="89"/>
    <n v="2019.6"/>
    <n v="0.43999999999999995"/>
    <x v="0"/>
    <x v="0"/>
    <x v="0"/>
    <n v="9.8999999999999986"/>
    <n v="22.5"/>
    <n v="12.600000000000001"/>
  </r>
  <r>
    <x v="504"/>
    <n v="60"/>
    <s v="BL579"/>
    <x v="3"/>
    <x v="52"/>
    <n v="1101.24"/>
    <n v="0.42000000000000004"/>
    <x v="3"/>
    <x v="2"/>
    <x v="1"/>
    <n v="18.354000000000003"/>
    <n v="43.7"/>
    <n v="25.346"/>
  </r>
  <r>
    <x v="504"/>
    <n v="180"/>
    <s v="100CR"/>
    <x v="1"/>
    <x v="39"/>
    <n v="3528"/>
    <n v="0.56000000000000005"/>
    <x v="1"/>
    <x v="1"/>
    <x v="4"/>
    <n v="19.600000000000001"/>
    <n v="35"/>
    <n v="15.4"/>
  </r>
  <r>
    <x v="505"/>
    <n v="300"/>
    <s v="100CR"/>
    <x v="0"/>
    <x v="56"/>
    <n v="5880"/>
    <n v="0.56000000000000005"/>
    <x v="0"/>
    <x v="0"/>
    <x v="4"/>
    <n v="19.600000000000001"/>
    <n v="35"/>
    <n v="15.4"/>
  </r>
  <r>
    <x v="505"/>
    <n v="252"/>
    <s v="QA430"/>
    <x v="3"/>
    <x v="104"/>
    <n v="1455.2999999999997"/>
    <n v="0.3299999999999999"/>
    <x v="3"/>
    <x v="2"/>
    <x v="2"/>
    <n v="5.7749999999999986"/>
    <n v="17.5"/>
    <n v="11.725000000000001"/>
  </r>
  <r>
    <x v="505"/>
    <n v="204"/>
    <s v="BL579"/>
    <x v="1"/>
    <x v="1"/>
    <n v="3744.2160000000013"/>
    <n v="0.42000000000000004"/>
    <x v="1"/>
    <x v="1"/>
    <x v="1"/>
    <n v="18.354000000000003"/>
    <n v="43.7"/>
    <n v="25.346"/>
  </r>
  <r>
    <x v="505"/>
    <n v="276"/>
    <s v="175AP"/>
    <x v="2"/>
    <x v="84"/>
    <n v="3448.62"/>
    <n v="0.42000000000000004"/>
    <x v="2"/>
    <x v="0"/>
    <x v="3"/>
    <n v="12.495000000000001"/>
    <n v="29.75"/>
    <n v="17.254999999999999"/>
  </r>
  <r>
    <x v="505"/>
    <n v="288"/>
    <s v="175AP"/>
    <x v="2"/>
    <x v="32"/>
    <n v="3598.5600000000004"/>
    <n v="0.42000000000000004"/>
    <x v="2"/>
    <x v="0"/>
    <x v="3"/>
    <n v="12.495000000000001"/>
    <n v="29.75"/>
    <n v="17.254999999999999"/>
  </r>
  <r>
    <x v="506"/>
    <n v="132"/>
    <s v="100CR"/>
    <x v="3"/>
    <x v="82"/>
    <n v="2587.1999999999998"/>
    <n v="0.56000000000000005"/>
    <x v="3"/>
    <x v="2"/>
    <x v="4"/>
    <n v="19.600000000000001"/>
    <n v="35"/>
    <n v="15.4"/>
  </r>
  <r>
    <x v="507"/>
    <n v="264"/>
    <s v="BL579"/>
    <x v="0"/>
    <x v="94"/>
    <n v="4845.456000000001"/>
    <n v="0.42000000000000004"/>
    <x v="0"/>
    <x v="0"/>
    <x v="1"/>
    <n v="18.354000000000003"/>
    <n v="43.7"/>
    <n v="25.346"/>
  </r>
  <r>
    <x v="508"/>
    <n v="48"/>
    <s v="255YN"/>
    <x v="4"/>
    <x v="72"/>
    <n v="475.19999999999993"/>
    <n v="0.43999999999999995"/>
    <x v="4"/>
    <x v="3"/>
    <x v="0"/>
    <n v="9.8999999999999986"/>
    <n v="22.5"/>
    <n v="12.600000000000001"/>
  </r>
  <r>
    <x v="508"/>
    <n v="240"/>
    <s v="255YN"/>
    <x v="4"/>
    <x v="96"/>
    <n v="2375.9999999999995"/>
    <n v="0.43999999999999995"/>
    <x v="4"/>
    <x v="3"/>
    <x v="0"/>
    <n v="9.8999999999999986"/>
    <n v="22.5"/>
    <n v="12.600000000000001"/>
  </r>
  <r>
    <x v="509"/>
    <n v="288"/>
    <s v="100CR"/>
    <x v="4"/>
    <x v="63"/>
    <n v="5644.8"/>
    <n v="0.56000000000000005"/>
    <x v="4"/>
    <x v="3"/>
    <x v="4"/>
    <n v="19.600000000000001"/>
    <n v="35"/>
    <n v="15.4"/>
  </r>
  <r>
    <x v="509"/>
    <n v="36"/>
    <s v="175AP"/>
    <x v="2"/>
    <x v="37"/>
    <n v="449.82000000000005"/>
    <n v="0.42000000000000004"/>
    <x v="2"/>
    <x v="0"/>
    <x v="3"/>
    <n v="12.495000000000001"/>
    <n v="29.75"/>
    <n v="17.254999999999999"/>
  </r>
  <r>
    <x v="509"/>
    <n v="60"/>
    <s v="QA430"/>
    <x v="3"/>
    <x v="47"/>
    <n v="346.49999999999989"/>
    <n v="0.3299999999999999"/>
    <x v="3"/>
    <x v="2"/>
    <x v="2"/>
    <n v="5.7749999999999986"/>
    <n v="17.5"/>
    <n v="11.725000000000001"/>
  </r>
  <r>
    <x v="510"/>
    <n v="84"/>
    <s v="255YN"/>
    <x v="1"/>
    <x v="85"/>
    <n v="831.59999999999991"/>
    <n v="0.43999999999999995"/>
    <x v="1"/>
    <x v="1"/>
    <x v="0"/>
    <n v="9.8999999999999986"/>
    <n v="22.5"/>
    <n v="12.600000000000001"/>
  </r>
  <r>
    <x v="510"/>
    <n v="36"/>
    <s v="BL579"/>
    <x v="3"/>
    <x v="4"/>
    <n v="660.74400000000003"/>
    <n v="0.42000000000000004"/>
    <x v="3"/>
    <x v="2"/>
    <x v="1"/>
    <n v="18.354000000000003"/>
    <n v="43.7"/>
    <n v="25.346"/>
  </r>
  <r>
    <x v="511"/>
    <n v="216"/>
    <s v="100CR"/>
    <x v="1"/>
    <x v="40"/>
    <n v="4233.6000000000004"/>
    <n v="0.56000000000000005"/>
    <x v="1"/>
    <x v="1"/>
    <x v="4"/>
    <n v="19.600000000000001"/>
    <n v="35"/>
    <n v="15.4"/>
  </r>
  <r>
    <x v="512"/>
    <n v="276"/>
    <s v="255YN"/>
    <x v="0"/>
    <x v="9"/>
    <n v="2732.3999999999996"/>
    <n v="0.43999999999999995"/>
    <x v="0"/>
    <x v="0"/>
    <x v="0"/>
    <n v="9.8999999999999986"/>
    <n v="22.5"/>
    <n v="12.600000000000001"/>
  </r>
  <r>
    <x v="512"/>
    <n v="228"/>
    <s v="175AP"/>
    <x v="3"/>
    <x v="100"/>
    <n v="2848.86"/>
    <n v="0.42000000000000004"/>
    <x v="3"/>
    <x v="2"/>
    <x v="3"/>
    <n v="12.495000000000001"/>
    <n v="29.75"/>
    <n v="17.254999999999999"/>
  </r>
  <r>
    <x v="512"/>
    <n v="264"/>
    <s v="255YN"/>
    <x v="2"/>
    <x v="69"/>
    <n v="2613.5999999999995"/>
    <n v="0.43999999999999995"/>
    <x v="2"/>
    <x v="0"/>
    <x v="0"/>
    <n v="9.8999999999999986"/>
    <n v="22.5"/>
    <n v="12.600000000000001"/>
  </r>
  <r>
    <x v="512"/>
    <n v="276"/>
    <s v="255YN"/>
    <x v="1"/>
    <x v="9"/>
    <n v="2732.3999999999996"/>
    <n v="0.43999999999999995"/>
    <x v="1"/>
    <x v="1"/>
    <x v="0"/>
    <n v="9.8999999999999986"/>
    <n v="22.5"/>
    <n v="12.600000000000001"/>
  </r>
  <r>
    <x v="512"/>
    <n v="204"/>
    <s v="BL579"/>
    <x v="1"/>
    <x v="1"/>
    <n v="3744.2160000000013"/>
    <n v="0.42000000000000004"/>
    <x v="1"/>
    <x v="1"/>
    <x v="1"/>
    <n v="18.354000000000003"/>
    <n v="43.7"/>
    <n v="25.346"/>
  </r>
  <r>
    <x v="513"/>
    <n v="288"/>
    <s v="175AP"/>
    <x v="0"/>
    <x v="32"/>
    <n v="3598.5600000000004"/>
    <n v="0.42000000000000004"/>
    <x v="0"/>
    <x v="0"/>
    <x v="3"/>
    <n v="12.495000000000001"/>
    <n v="29.75"/>
    <n v="17.254999999999999"/>
  </r>
  <r>
    <x v="513"/>
    <n v="300"/>
    <s v="BL579"/>
    <x v="1"/>
    <x v="75"/>
    <n v="5506.2"/>
    <n v="0.42000000000000004"/>
    <x v="1"/>
    <x v="1"/>
    <x v="1"/>
    <n v="18.354000000000003"/>
    <n v="43.7"/>
    <n v="25.346"/>
  </r>
  <r>
    <x v="514"/>
    <n v="24"/>
    <s v="100CR"/>
    <x v="4"/>
    <x v="53"/>
    <n v="470.4"/>
    <n v="0.56000000000000005"/>
    <x v="4"/>
    <x v="3"/>
    <x v="4"/>
    <n v="19.600000000000001"/>
    <n v="35"/>
    <n v="15.4"/>
  </r>
  <r>
    <x v="515"/>
    <n v="96"/>
    <s v="QA430"/>
    <x v="3"/>
    <x v="45"/>
    <n v="554.39999999999986"/>
    <n v="0.3299999999999999"/>
    <x v="3"/>
    <x v="2"/>
    <x v="2"/>
    <n v="5.7749999999999986"/>
    <n v="17.5"/>
    <n v="11.725000000000001"/>
  </r>
  <r>
    <x v="515"/>
    <n v="276"/>
    <s v="255YN"/>
    <x v="0"/>
    <x v="9"/>
    <n v="2732.3999999999996"/>
    <n v="0.43999999999999995"/>
    <x v="0"/>
    <x v="0"/>
    <x v="0"/>
    <n v="9.8999999999999986"/>
    <n v="22.5"/>
    <n v="12.600000000000001"/>
  </r>
  <r>
    <x v="515"/>
    <n v="84"/>
    <s v="BL579"/>
    <x v="3"/>
    <x v="77"/>
    <n v="1541.7360000000003"/>
    <n v="0.42000000000000004"/>
    <x v="3"/>
    <x v="2"/>
    <x v="1"/>
    <n v="18.354000000000003"/>
    <n v="43.7"/>
    <n v="25.346"/>
  </r>
  <r>
    <x v="516"/>
    <n v="84"/>
    <s v="BL579"/>
    <x v="1"/>
    <x v="77"/>
    <n v="1541.7360000000003"/>
    <n v="0.42000000000000004"/>
    <x v="1"/>
    <x v="1"/>
    <x v="1"/>
    <n v="18.354000000000003"/>
    <n v="43.7"/>
    <n v="25.346"/>
  </r>
  <r>
    <x v="517"/>
    <n v="60"/>
    <s v="BL579"/>
    <x v="4"/>
    <x v="52"/>
    <n v="1101.24"/>
    <n v="0.42000000000000004"/>
    <x v="4"/>
    <x v="3"/>
    <x v="1"/>
    <n v="18.354000000000003"/>
    <n v="43.7"/>
    <n v="25.346"/>
  </r>
  <r>
    <x v="518"/>
    <n v="276"/>
    <s v="BL579"/>
    <x v="0"/>
    <x v="103"/>
    <n v="5065.7040000000006"/>
    <n v="0.42000000000000004"/>
    <x v="0"/>
    <x v="0"/>
    <x v="1"/>
    <n v="18.354000000000003"/>
    <n v="43.7"/>
    <n v="25.346"/>
  </r>
  <r>
    <x v="518"/>
    <n v="96"/>
    <s v="QA430"/>
    <x v="4"/>
    <x v="45"/>
    <n v="554.39999999999986"/>
    <n v="0.3299999999999999"/>
    <x v="4"/>
    <x v="3"/>
    <x v="2"/>
    <n v="5.7749999999999986"/>
    <n v="17.5"/>
    <n v="11.725000000000001"/>
  </r>
  <r>
    <x v="518"/>
    <n v="252"/>
    <s v="100CR"/>
    <x v="3"/>
    <x v="34"/>
    <n v="4939.2"/>
    <n v="0.56000000000000005"/>
    <x v="3"/>
    <x v="2"/>
    <x v="4"/>
    <n v="19.600000000000001"/>
    <n v="35"/>
    <n v="15.4"/>
  </r>
  <r>
    <x v="519"/>
    <n v="36"/>
    <s v="255YN"/>
    <x v="3"/>
    <x v="36"/>
    <n v="356.4"/>
    <n v="0.43999999999999995"/>
    <x v="3"/>
    <x v="2"/>
    <x v="0"/>
    <n v="9.8999999999999986"/>
    <n v="22.5"/>
    <n v="12.600000000000001"/>
  </r>
  <r>
    <x v="520"/>
    <n v="24"/>
    <s v="BL579"/>
    <x v="1"/>
    <x v="64"/>
    <n v="440.49600000000021"/>
    <n v="0.42000000000000004"/>
    <x v="1"/>
    <x v="1"/>
    <x v="1"/>
    <n v="18.354000000000003"/>
    <n v="43.7"/>
    <n v="25.346"/>
  </r>
  <r>
    <x v="521"/>
    <n v="168"/>
    <s v="175AP"/>
    <x v="1"/>
    <x v="57"/>
    <n v="2099.1600000000003"/>
    <n v="0.42000000000000004"/>
    <x v="1"/>
    <x v="1"/>
    <x v="3"/>
    <n v="12.495000000000001"/>
    <n v="29.75"/>
    <n v="17.254999999999999"/>
  </r>
  <r>
    <x v="521"/>
    <n v="36"/>
    <s v="100CR"/>
    <x v="4"/>
    <x v="3"/>
    <n v="705.6"/>
    <n v="0.56000000000000005"/>
    <x v="4"/>
    <x v="3"/>
    <x v="4"/>
    <n v="19.600000000000001"/>
    <n v="35"/>
    <n v="15.4"/>
  </r>
  <r>
    <x v="522"/>
    <n v="300"/>
    <s v="QA430"/>
    <x v="4"/>
    <x v="55"/>
    <n v="1732.4999999999995"/>
    <n v="0.3299999999999999"/>
    <x v="4"/>
    <x v="3"/>
    <x v="2"/>
    <n v="5.7749999999999986"/>
    <n v="17.5"/>
    <n v="11.725000000000001"/>
  </r>
  <r>
    <x v="522"/>
    <n v="276"/>
    <s v="255YN"/>
    <x v="0"/>
    <x v="9"/>
    <n v="2732.3999999999996"/>
    <n v="0.43999999999999995"/>
    <x v="0"/>
    <x v="0"/>
    <x v="0"/>
    <n v="9.8999999999999986"/>
    <n v="22.5"/>
    <n v="12.600000000000001"/>
  </r>
  <r>
    <x v="522"/>
    <n v="264"/>
    <s v="BL579"/>
    <x v="1"/>
    <x v="94"/>
    <n v="4845.456000000001"/>
    <n v="0.42000000000000004"/>
    <x v="1"/>
    <x v="1"/>
    <x v="1"/>
    <n v="18.354000000000003"/>
    <n v="43.7"/>
    <n v="25.346"/>
  </r>
  <r>
    <x v="523"/>
    <n v="192"/>
    <s v="BL579"/>
    <x v="1"/>
    <x v="74"/>
    <n v="3523.9680000000017"/>
    <n v="0.42000000000000004"/>
    <x v="1"/>
    <x v="1"/>
    <x v="1"/>
    <n v="18.354000000000003"/>
    <n v="43.7"/>
    <n v="25.346"/>
  </r>
  <r>
    <x v="524"/>
    <n v="120"/>
    <s v="100CR"/>
    <x v="0"/>
    <x v="79"/>
    <n v="2352"/>
    <n v="0.56000000000000005"/>
    <x v="0"/>
    <x v="0"/>
    <x v="4"/>
    <n v="19.600000000000001"/>
    <n v="35"/>
    <n v="15.4"/>
  </r>
  <r>
    <x v="525"/>
    <n v="72"/>
    <s v="QA430"/>
    <x v="2"/>
    <x v="3"/>
    <n v="415.79999999999995"/>
    <n v="0.3299999999999999"/>
    <x v="2"/>
    <x v="0"/>
    <x v="2"/>
    <n v="5.7749999999999986"/>
    <n v="17.5"/>
    <n v="11.725000000000001"/>
  </r>
  <r>
    <x v="525"/>
    <n v="180"/>
    <s v="255YN"/>
    <x v="3"/>
    <x v="21"/>
    <n v="1781.9999999999995"/>
    <n v="0.43999999999999995"/>
    <x v="3"/>
    <x v="2"/>
    <x v="0"/>
    <n v="9.8999999999999986"/>
    <n v="22.5"/>
    <n v="12.600000000000001"/>
  </r>
  <r>
    <x v="525"/>
    <n v="288"/>
    <s v="255YN"/>
    <x v="0"/>
    <x v="65"/>
    <n v="2851.2"/>
    <n v="0.43999999999999995"/>
    <x v="0"/>
    <x v="0"/>
    <x v="0"/>
    <n v="9.8999999999999986"/>
    <n v="22.5"/>
    <n v="12.600000000000001"/>
  </r>
  <r>
    <x v="526"/>
    <n v="72"/>
    <s v="255YN"/>
    <x v="3"/>
    <x v="2"/>
    <n v="712.8"/>
    <n v="0.43999999999999995"/>
    <x v="3"/>
    <x v="2"/>
    <x v="0"/>
    <n v="9.8999999999999986"/>
    <n v="22.5"/>
    <n v="12.600000000000001"/>
  </r>
  <r>
    <x v="526"/>
    <n v="168"/>
    <s v="100CR"/>
    <x v="2"/>
    <x v="48"/>
    <n v="3292.7999999999997"/>
    <n v="0.56000000000000005"/>
    <x v="2"/>
    <x v="0"/>
    <x v="4"/>
    <n v="19.600000000000001"/>
    <n v="35"/>
    <n v="15.4"/>
  </r>
  <r>
    <x v="527"/>
    <n v="132"/>
    <s v="255YN"/>
    <x v="2"/>
    <x v="66"/>
    <n v="1306.7999999999997"/>
    <n v="0.43999999999999995"/>
    <x v="2"/>
    <x v="0"/>
    <x v="0"/>
    <n v="9.8999999999999986"/>
    <n v="22.5"/>
    <n v="12.600000000000001"/>
  </r>
  <r>
    <x v="528"/>
    <n v="108"/>
    <s v="BL579"/>
    <x v="4"/>
    <x v="61"/>
    <n v="1982.2320000000004"/>
    <n v="0.42000000000000004"/>
    <x v="4"/>
    <x v="3"/>
    <x v="1"/>
    <n v="18.354000000000003"/>
    <n v="43.7"/>
    <n v="25.346"/>
  </r>
  <r>
    <x v="528"/>
    <n v="36"/>
    <s v="QA430"/>
    <x v="2"/>
    <x v="80"/>
    <n v="207.89999999999998"/>
    <n v="0.3299999999999999"/>
    <x v="2"/>
    <x v="0"/>
    <x v="2"/>
    <n v="5.7749999999999986"/>
    <n v="17.5"/>
    <n v="11.725000000000001"/>
  </r>
  <r>
    <x v="529"/>
    <n v="216"/>
    <s v="255YN"/>
    <x v="4"/>
    <x v="11"/>
    <n v="2138.3999999999996"/>
    <n v="0.43999999999999995"/>
    <x v="4"/>
    <x v="3"/>
    <x v="0"/>
    <n v="9.8999999999999986"/>
    <n v="22.5"/>
    <n v="12.600000000000001"/>
  </r>
  <r>
    <x v="530"/>
    <n v="264"/>
    <s v="QA430"/>
    <x v="1"/>
    <x v="82"/>
    <n v="1524.5999999999995"/>
    <n v="0.3299999999999999"/>
    <x v="1"/>
    <x v="1"/>
    <x v="2"/>
    <n v="5.7749999999999986"/>
    <n v="17.5"/>
    <n v="11.725000000000001"/>
  </r>
  <r>
    <x v="531"/>
    <n v="216"/>
    <s v="175AP"/>
    <x v="0"/>
    <x v="98"/>
    <n v="2698.92"/>
    <n v="0.42000000000000004"/>
    <x v="0"/>
    <x v="0"/>
    <x v="3"/>
    <n v="12.495000000000001"/>
    <n v="29.75"/>
    <n v="17.254999999999999"/>
  </r>
  <r>
    <x v="532"/>
    <n v="180"/>
    <s v="100CR"/>
    <x v="1"/>
    <x v="39"/>
    <n v="3528"/>
    <n v="0.56000000000000005"/>
    <x v="1"/>
    <x v="1"/>
    <x v="4"/>
    <n v="19.600000000000001"/>
    <n v="35"/>
    <n v="15.4"/>
  </r>
  <r>
    <x v="533"/>
    <n v="24"/>
    <s v="100CR"/>
    <x v="3"/>
    <x v="53"/>
    <n v="470.4"/>
    <n v="0.56000000000000005"/>
    <x v="3"/>
    <x v="2"/>
    <x v="4"/>
    <n v="19.600000000000001"/>
    <n v="35"/>
    <n v="15.4"/>
  </r>
  <r>
    <x v="534"/>
    <n v="48"/>
    <s v="255YN"/>
    <x v="0"/>
    <x v="72"/>
    <n v="475.19999999999993"/>
    <n v="0.43999999999999995"/>
    <x v="0"/>
    <x v="0"/>
    <x v="0"/>
    <n v="9.8999999999999986"/>
    <n v="22.5"/>
    <n v="12.600000000000001"/>
  </r>
  <r>
    <x v="534"/>
    <n v="288"/>
    <s v="175AP"/>
    <x v="2"/>
    <x v="32"/>
    <n v="3598.5600000000004"/>
    <n v="0.42000000000000004"/>
    <x v="2"/>
    <x v="0"/>
    <x v="3"/>
    <n v="12.495000000000001"/>
    <n v="29.75"/>
    <n v="17.254999999999999"/>
  </r>
  <r>
    <x v="535"/>
    <n v="156"/>
    <s v="175AP"/>
    <x v="1"/>
    <x v="76"/>
    <n v="1949.2200000000003"/>
    <n v="0.42000000000000004"/>
    <x v="1"/>
    <x v="1"/>
    <x v="3"/>
    <n v="12.495000000000001"/>
    <n v="29.75"/>
    <n v="17.254999999999999"/>
  </r>
  <r>
    <x v="536"/>
    <n v="108"/>
    <s v="100CR"/>
    <x v="2"/>
    <x v="12"/>
    <n v="2116.8000000000002"/>
    <n v="0.56000000000000005"/>
    <x v="2"/>
    <x v="0"/>
    <x v="4"/>
    <n v="19.600000000000001"/>
    <n v="35"/>
    <n v="15.4"/>
  </r>
  <r>
    <x v="536"/>
    <n v="264"/>
    <s v="255YN"/>
    <x v="2"/>
    <x v="69"/>
    <n v="2613.5999999999995"/>
    <n v="0.43999999999999995"/>
    <x v="2"/>
    <x v="0"/>
    <x v="0"/>
    <n v="9.8999999999999986"/>
    <n v="22.5"/>
    <n v="12.600000000000001"/>
  </r>
  <r>
    <x v="537"/>
    <n v="144"/>
    <s v="BL579"/>
    <x v="4"/>
    <x v="13"/>
    <n v="2642.9760000000001"/>
    <n v="0.42000000000000004"/>
    <x v="4"/>
    <x v="3"/>
    <x v="1"/>
    <n v="18.354000000000003"/>
    <n v="43.7"/>
    <n v="25.346"/>
  </r>
  <r>
    <x v="537"/>
    <n v="240"/>
    <s v="100CR"/>
    <x v="4"/>
    <x v="70"/>
    <n v="4704"/>
    <n v="0.56000000000000005"/>
    <x v="4"/>
    <x v="3"/>
    <x v="4"/>
    <n v="19.600000000000001"/>
    <n v="35"/>
    <n v="15.4"/>
  </r>
  <r>
    <x v="537"/>
    <n v="168"/>
    <s v="BL579"/>
    <x v="2"/>
    <x v="7"/>
    <n v="3083.4720000000007"/>
    <n v="0.42000000000000004"/>
    <x v="2"/>
    <x v="0"/>
    <x v="1"/>
    <n v="18.354000000000003"/>
    <n v="43.7"/>
    <n v="25.346"/>
  </r>
  <r>
    <x v="538"/>
    <n v="96"/>
    <s v="QA430"/>
    <x v="3"/>
    <x v="45"/>
    <n v="554.39999999999986"/>
    <n v="0.3299999999999999"/>
    <x v="3"/>
    <x v="2"/>
    <x v="2"/>
    <n v="5.7749999999999986"/>
    <n v="17.5"/>
    <n v="11.725000000000001"/>
  </r>
  <r>
    <x v="539"/>
    <n v="264"/>
    <s v="QA430"/>
    <x v="4"/>
    <x v="82"/>
    <n v="1524.5999999999995"/>
    <n v="0.3299999999999999"/>
    <x v="4"/>
    <x v="3"/>
    <x v="2"/>
    <n v="5.7749999999999986"/>
    <n v="17.5"/>
    <n v="11.725000000000001"/>
  </r>
  <r>
    <x v="539"/>
    <n v="288"/>
    <s v="100CR"/>
    <x v="0"/>
    <x v="63"/>
    <n v="5644.8"/>
    <n v="0.56000000000000005"/>
    <x v="0"/>
    <x v="0"/>
    <x v="4"/>
    <n v="19.600000000000001"/>
    <n v="35"/>
    <n v="15.4"/>
  </r>
  <r>
    <x v="539"/>
    <n v="108"/>
    <s v="QA430"/>
    <x v="1"/>
    <x v="85"/>
    <n v="623.69999999999982"/>
    <n v="0.3299999999999999"/>
    <x v="1"/>
    <x v="1"/>
    <x v="2"/>
    <n v="5.7749999999999986"/>
    <n v="17.5"/>
    <n v="11.725000000000001"/>
  </r>
  <r>
    <x v="540"/>
    <n v="132"/>
    <s v="255YN"/>
    <x v="3"/>
    <x v="66"/>
    <n v="1306.7999999999997"/>
    <n v="0.43999999999999995"/>
    <x v="3"/>
    <x v="2"/>
    <x v="0"/>
    <n v="9.8999999999999986"/>
    <n v="22.5"/>
    <n v="12.600000000000001"/>
  </r>
  <r>
    <x v="541"/>
    <n v="72"/>
    <s v="BL579"/>
    <x v="4"/>
    <x v="44"/>
    <n v="1321.4880000000001"/>
    <n v="0.42000000000000004"/>
    <x v="4"/>
    <x v="3"/>
    <x v="1"/>
    <n v="18.354000000000003"/>
    <n v="43.7"/>
    <n v="25.346"/>
  </r>
  <r>
    <x v="541"/>
    <n v="108"/>
    <s v="QA430"/>
    <x v="3"/>
    <x v="85"/>
    <n v="623.69999999999982"/>
    <n v="0.3299999999999999"/>
    <x v="3"/>
    <x v="2"/>
    <x v="2"/>
    <n v="5.7749999999999986"/>
    <n v="17.5"/>
    <n v="11.725000000000001"/>
  </r>
  <r>
    <x v="542"/>
    <n v="156"/>
    <s v="175AP"/>
    <x v="4"/>
    <x v="76"/>
    <n v="1949.2200000000003"/>
    <n v="0.42000000000000004"/>
    <x v="4"/>
    <x v="3"/>
    <x v="3"/>
    <n v="12.495000000000001"/>
    <n v="29.75"/>
    <n v="17.254999999999999"/>
  </r>
  <r>
    <x v="542"/>
    <n v="300"/>
    <s v="100CR"/>
    <x v="0"/>
    <x v="56"/>
    <n v="5880"/>
    <n v="0.56000000000000005"/>
    <x v="0"/>
    <x v="0"/>
    <x v="4"/>
    <n v="19.600000000000001"/>
    <n v="35"/>
    <n v="15.4"/>
  </r>
  <r>
    <x v="543"/>
    <n v="228"/>
    <s v="100CR"/>
    <x v="0"/>
    <x v="27"/>
    <n v="4468.7999999999993"/>
    <n v="0.56000000000000005"/>
    <x v="0"/>
    <x v="0"/>
    <x v="4"/>
    <n v="19.600000000000001"/>
    <n v="35"/>
    <n v="15.4"/>
  </r>
  <r>
    <x v="543"/>
    <n v="24"/>
    <s v="255YN"/>
    <x v="3"/>
    <x v="59"/>
    <n v="237.59999999999997"/>
    <n v="0.43999999999999995"/>
    <x v="3"/>
    <x v="2"/>
    <x v="0"/>
    <n v="9.8999999999999986"/>
    <n v="22.5"/>
    <n v="12.600000000000001"/>
  </r>
  <r>
    <x v="543"/>
    <n v="60"/>
    <s v="100CR"/>
    <x v="3"/>
    <x v="35"/>
    <n v="1176"/>
    <n v="0.56000000000000005"/>
    <x v="3"/>
    <x v="2"/>
    <x v="4"/>
    <n v="19.600000000000001"/>
    <n v="35"/>
    <n v="15.4"/>
  </r>
  <r>
    <x v="543"/>
    <n v="84"/>
    <s v="QA430"/>
    <x v="4"/>
    <x v="10"/>
    <n v="485.09999999999991"/>
    <n v="0.3299999999999999"/>
    <x v="4"/>
    <x v="3"/>
    <x v="2"/>
    <n v="5.7749999999999986"/>
    <n v="17.5"/>
    <n v="11.725000000000001"/>
  </r>
  <r>
    <x v="543"/>
    <n v="60"/>
    <s v="175AP"/>
    <x v="1"/>
    <x v="20"/>
    <n v="749.7"/>
    <n v="0.42000000000000004"/>
    <x v="1"/>
    <x v="1"/>
    <x v="3"/>
    <n v="12.495000000000001"/>
    <n v="29.75"/>
    <n v="17.254999999999999"/>
  </r>
  <r>
    <x v="544"/>
    <n v="156"/>
    <s v="255YN"/>
    <x v="0"/>
    <x v="0"/>
    <n v="1544.3999999999999"/>
    <n v="0.43999999999999995"/>
    <x v="0"/>
    <x v="0"/>
    <x v="0"/>
    <n v="9.8999999999999986"/>
    <n v="22.5"/>
    <n v="12.600000000000001"/>
  </r>
  <r>
    <x v="544"/>
    <n v="204"/>
    <s v="255YN"/>
    <x v="4"/>
    <x v="89"/>
    <n v="2019.6"/>
    <n v="0.43999999999999995"/>
    <x v="4"/>
    <x v="3"/>
    <x v="0"/>
    <n v="9.8999999999999986"/>
    <n v="22.5"/>
    <n v="12.6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1BDC0F-7042-4BAE-8ED9-8E64A4DA2E40}"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22:AC39" firstHeaderRow="1" firstDataRow="1" firstDataCol="0"/>
  <pivotFields count="22">
    <pivotField numFmtId="14" showAll="0">
      <items count="5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h="1" x="1"/>
        <item h="1" x="2"/>
        <item x="3"/>
        <item x="4"/>
        <item t="default"/>
      </items>
    </pivotField>
    <pivotField dragToRow="0" dragToCol="0" dragToPage="0" showAll="0" defaultSubtotal="0"/>
    <pivotField dragToRow="0" dragToCol="0" dragToPage="0" showAll="0" defaultSubtota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3E1B32-CAF3-41B9-8A30-F4BFDF6A2BEA}"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8:Y43" firstHeaderRow="0" firstDataRow="1" firstDataCol="1"/>
  <pivotFields count="22">
    <pivotField numFmtId="14" showAll="0">
      <items count="5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dataField="1" showAll="0"/>
    <pivotField showAll="0"/>
    <pivotField showAll="0"/>
    <pivotField dataField="1" showAll="0"/>
    <pivotField dataField="1" showAll="0"/>
    <pivotField showAll="0"/>
    <pivotField showAll="0"/>
    <pivotField axis="axisRow" showAll="0">
      <items count="5">
        <item x="0"/>
        <item x="3"/>
        <item x="2"/>
        <item x="1"/>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8"/>
  </rowFields>
  <rowItems count="5">
    <i>
      <x/>
    </i>
    <i>
      <x v="1"/>
    </i>
    <i>
      <x v="2"/>
    </i>
    <i>
      <x v="3"/>
    </i>
    <i t="grand">
      <x/>
    </i>
  </rowItems>
  <colFields count="1">
    <field x="-2"/>
  </colFields>
  <colItems count="3">
    <i>
      <x/>
    </i>
    <i i="1">
      <x v="1"/>
    </i>
    <i i="2">
      <x v="2"/>
    </i>
  </colItems>
  <dataFields count="3">
    <dataField name="Sum of Units" fld="1" baseField="0" baseItem="0"/>
    <dataField name="Sum of Total sales" fld="4" baseField="0" baseItem="0"/>
    <dataField name="Sum of profi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972CBF-C137-422B-9630-5A1E0C16F602}" name="PivotTable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V126:W139" firstHeaderRow="1" firstDataRow="1" firstDataCol="1"/>
  <pivotFields count="22">
    <pivotField axis="axisRow" numFmtId="14" showAll="0">
      <items count="5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showAll="0"/>
    <pivotField showAll="0"/>
    <pivotField showAll="0">
      <items count="6">
        <item x="1"/>
        <item x="3"/>
        <item x="2"/>
        <item x="0"/>
        <item x="4"/>
        <item t="default"/>
      </items>
    </pivotField>
    <pivotField dataField="1" showAll="0">
      <items count="108">
        <item x="81"/>
        <item x="23"/>
        <item x="105"/>
        <item x="59"/>
        <item x="80"/>
        <item x="15"/>
        <item x="36"/>
        <item x="53"/>
        <item x="64"/>
        <item x="47"/>
        <item x="37"/>
        <item x="72"/>
        <item x="3"/>
        <item x="46"/>
        <item x="22"/>
        <item x="10"/>
        <item x="4"/>
        <item x="2"/>
        <item x="45"/>
        <item x="20"/>
        <item x="85"/>
        <item x="5"/>
        <item x="35"/>
        <item x="19"/>
        <item x="83"/>
        <item x="14"/>
        <item x="24"/>
        <item x="6"/>
        <item x="51"/>
        <item x="52"/>
        <item x="58"/>
        <item x="106"/>
        <item x="29"/>
        <item x="43"/>
        <item x="66"/>
        <item x="44"/>
        <item x="101"/>
        <item x="95"/>
        <item x="33"/>
        <item x="16"/>
        <item x="0"/>
        <item x="28"/>
        <item x="77"/>
        <item x="12"/>
        <item x="102"/>
        <item x="71"/>
        <item x="21"/>
        <item x="25"/>
        <item x="79"/>
        <item x="97"/>
        <item x="86"/>
        <item x="104"/>
        <item x="89"/>
        <item x="82"/>
        <item x="76"/>
        <item x="61"/>
        <item x="68"/>
        <item x="11"/>
        <item x="57"/>
        <item x="91"/>
        <item x="92"/>
        <item x="88"/>
        <item x="55"/>
        <item x="8"/>
        <item x="96"/>
        <item x="54"/>
        <item x="26"/>
        <item x="42"/>
        <item x="31"/>
        <item x="48"/>
        <item x="69"/>
        <item x="30"/>
        <item x="9"/>
        <item x="13"/>
        <item x="39"/>
        <item x="98"/>
        <item x="65"/>
        <item x="62"/>
        <item x="99"/>
        <item x="100"/>
        <item x="73"/>
        <item x="78"/>
        <item x="7"/>
        <item x="67"/>
        <item x="40"/>
        <item x="18"/>
        <item x="50"/>
        <item x="27"/>
        <item x="84"/>
        <item x="74"/>
        <item x="70"/>
        <item x="32"/>
        <item x="34"/>
        <item x="1"/>
        <item x="90"/>
        <item x="41"/>
        <item x="38"/>
        <item x="87"/>
        <item x="60"/>
        <item x="63"/>
        <item x="93"/>
        <item x="56"/>
        <item x="17"/>
        <item x="94"/>
        <item x="103"/>
        <item x="49"/>
        <item x="75"/>
        <item t="default"/>
      </items>
    </pivotField>
    <pivotField showAll="0"/>
    <pivotField showAll="0"/>
    <pivotField showAll="0">
      <items count="6">
        <item x="3"/>
        <item x="2"/>
        <item x="1"/>
        <item x="4"/>
        <item x="0"/>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 dragToRow="0" dragToCol="0" dragToPage="0" showAll="0" defaultSubtotal="0"/>
    <pivotField dragToRow="0" dragToCol="0" dragToPage="0" showAll="0" defaultSubtotal="0"/>
    <pivotField dragToRow="0" dragToCol="0" dragToPage="0" showAll="0" defaultSubtotal="0"/>
  </pivotFields>
  <rowFields count="2">
    <field x="16"/>
    <field x="0"/>
  </rowFields>
  <rowItems count="13">
    <i>
      <x v="1"/>
    </i>
    <i>
      <x v="2"/>
    </i>
    <i>
      <x v="3"/>
    </i>
    <i>
      <x v="4"/>
    </i>
    <i>
      <x v="5"/>
    </i>
    <i>
      <x v="6"/>
    </i>
    <i>
      <x v="7"/>
    </i>
    <i>
      <x v="8"/>
    </i>
    <i>
      <x v="9"/>
    </i>
    <i>
      <x v="10"/>
    </i>
    <i>
      <x v="11"/>
    </i>
    <i>
      <x v="12"/>
    </i>
    <i t="grand">
      <x/>
    </i>
  </rowItems>
  <colItems count="1">
    <i/>
  </colItems>
  <dataFields count="1">
    <dataField name="Sum of Total sales" fld="4"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A18806-1338-491D-8B09-84A2ED4DE89D}"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91:X101" firstHeaderRow="0" firstDataRow="1" firstDataCol="1"/>
  <pivotFields count="22">
    <pivotField numFmtId="14" showAll="0">
      <items count="5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dataField="1" showAll="0"/>
    <pivotField showAll="0"/>
    <pivotField showAll="0"/>
    <pivotField showAll="0"/>
    <pivotField showAll="0"/>
    <pivotField showAll="0"/>
    <pivotField axis="axisRow" showAll="0">
      <items count="6">
        <item x="3"/>
        <item h="1" x="2"/>
        <item h="1" x="1"/>
        <item h="1" x="4"/>
        <item h="1" x="0"/>
        <item t="default"/>
      </items>
    </pivotField>
    <pivotField axis="axisRow" showAll="0">
      <items count="5">
        <item x="0"/>
        <item x="3"/>
        <item x="2"/>
        <item x="1"/>
        <item t="default"/>
      </items>
    </pivotField>
    <pivotField axis="axisRow" showAll="0">
      <items count="6">
        <item x="4"/>
        <item x="2"/>
        <item sd="0" x="1"/>
        <item sd="0" x="0"/>
        <item sd="0" x="3"/>
        <item t="default"/>
      </items>
    </pivotField>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s>
  <rowFields count="3">
    <field x="9"/>
    <field x="7"/>
    <field x="8"/>
  </rowFields>
  <rowItems count="10">
    <i>
      <x/>
    </i>
    <i r="1">
      <x/>
    </i>
    <i r="2">
      <x v="2"/>
    </i>
    <i>
      <x v="1"/>
    </i>
    <i r="1">
      <x/>
    </i>
    <i r="2">
      <x v="2"/>
    </i>
    <i>
      <x v="2"/>
    </i>
    <i>
      <x v="3"/>
    </i>
    <i>
      <x v="4"/>
    </i>
    <i t="grand">
      <x/>
    </i>
  </rowItems>
  <colFields count="1">
    <field x="-2"/>
  </colFields>
  <colItems count="2">
    <i>
      <x/>
    </i>
    <i i="1">
      <x v="1"/>
    </i>
  </colItems>
  <dataFields count="2">
    <dataField name="Sum of Units" fld="1" baseField="0" baseItem="0"/>
    <dataField name="Sum of margin"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D95978-421A-4849-9EDB-E30E5A31087A}"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25:Y31" firstHeaderRow="0" firstDataRow="1" firstDataCol="1"/>
  <pivotFields count="22">
    <pivotField numFmtId="14" showAll="0">
      <items count="5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dataField="1" showAll="0"/>
    <pivotField showAll="0"/>
    <pivotField showAll="0"/>
    <pivotField dataField="1" showAll="0"/>
    <pivotField dataField="1" showAll="0"/>
    <pivotField showAll="0"/>
    <pivotField axis="axisRow" showAll="0">
      <items count="6">
        <item x="3"/>
        <item x="2"/>
        <item x="1"/>
        <item x="4"/>
        <item x="0"/>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7"/>
  </rowFields>
  <rowItems count="6">
    <i>
      <x/>
    </i>
    <i>
      <x v="1"/>
    </i>
    <i>
      <x v="2"/>
    </i>
    <i>
      <x v="3"/>
    </i>
    <i>
      <x v="4"/>
    </i>
    <i t="grand">
      <x/>
    </i>
  </rowItems>
  <colFields count="1">
    <field x="-2"/>
  </colFields>
  <colItems count="3">
    <i>
      <x/>
    </i>
    <i i="1">
      <x v="1"/>
    </i>
    <i i="2">
      <x v="2"/>
    </i>
  </colItems>
  <dataFields count="3">
    <dataField name="Sum of Units" fld="1" baseField="0" baseItem="0"/>
    <dataField name="Sum of Total sales" fld="4" baseField="0" baseItem="0"/>
    <dataField name="Sum of profi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FD1C07-8EBE-4F96-BC40-8EF1B16D51D4}"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162:X198" firstHeaderRow="0" firstDataRow="1" firstDataCol="1"/>
  <pivotFields count="22">
    <pivotField numFmtId="14" showAll="0">
      <items count="5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showAll="0"/>
    <pivotField showAll="0"/>
    <pivotField showAll="0">
      <items count="6">
        <item x="1"/>
        <item x="3"/>
        <item x="2"/>
        <item x="0"/>
        <item x="4"/>
        <item t="default"/>
      </items>
    </pivotField>
    <pivotField dataField="1" showAll="0"/>
    <pivotField dataField="1" showAll="0"/>
    <pivotField showAll="0"/>
    <pivotField axis="axisRow" showAll="0">
      <items count="6">
        <item x="3"/>
        <item x="2"/>
        <item x="1"/>
        <item x="4"/>
        <item x="0"/>
        <item t="default"/>
      </items>
    </pivotField>
    <pivotField axis="axisRow" showAll="0">
      <items count="5">
        <item x="0"/>
        <item x="3"/>
        <item x="2"/>
        <item x="1"/>
        <item t="default"/>
      </items>
    </pivotField>
    <pivotField axis="axisRow" showAll="0">
      <items count="6">
        <item x="4"/>
        <item x="2"/>
        <item x="1"/>
        <item x="0"/>
        <item x="3"/>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s>
  <rowFields count="3">
    <field x="7"/>
    <field x="8"/>
    <field x="9"/>
  </rowFields>
  <rowItems count="36">
    <i>
      <x/>
    </i>
    <i r="1">
      <x v="2"/>
    </i>
    <i r="2">
      <x/>
    </i>
    <i r="2">
      <x v="1"/>
    </i>
    <i r="2">
      <x v="2"/>
    </i>
    <i r="2">
      <x v="3"/>
    </i>
    <i r="2">
      <x v="4"/>
    </i>
    <i>
      <x v="1"/>
    </i>
    <i r="1">
      <x/>
    </i>
    <i r="2">
      <x/>
    </i>
    <i r="2">
      <x v="1"/>
    </i>
    <i r="2">
      <x v="2"/>
    </i>
    <i r="2">
      <x v="3"/>
    </i>
    <i r="2">
      <x v="4"/>
    </i>
    <i>
      <x v="2"/>
    </i>
    <i r="1">
      <x v="3"/>
    </i>
    <i r="2">
      <x/>
    </i>
    <i r="2">
      <x v="1"/>
    </i>
    <i r="2">
      <x v="2"/>
    </i>
    <i r="2">
      <x v="3"/>
    </i>
    <i r="2">
      <x v="4"/>
    </i>
    <i>
      <x v="3"/>
    </i>
    <i r="1">
      <x v="1"/>
    </i>
    <i r="2">
      <x/>
    </i>
    <i r="2">
      <x v="1"/>
    </i>
    <i r="2">
      <x v="2"/>
    </i>
    <i r="2">
      <x v="3"/>
    </i>
    <i r="2">
      <x v="4"/>
    </i>
    <i>
      <x v="4"/>
    </i>
    <i r="1">
      <x/>
    </i>
    <i r="2">
      <x/>
    </i>
    <i r="2">
      <x v="1"/>
    </i>
    <i r="2">
      <x v="2"/>
    </i>
    <i r="2">
      <x v="3"/>
    </i>
    <i r="2">
      <x v="4"/>
    </i>
    <i t="grand">
      <x/>
    </i>
  </rowItems>
  <colFields count="1">
    <field x="-2"/>
  </colFields>
  <colItems count="2">
    <i>
      <x/>
    </i>
    <i i="1">
      <x v="1"/>
    </i>
  </colItems>
  <dataFields count="2">
    <dataField name="Sum of Total sales" fld="4" baseField="0" baseItem="0"/>
    <dataField name="Sum of profit" fld="5" baseField="0" baseItem="0"/>
  </dataFields>
  <chartFormats count="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22CBC4-6AFD-4DCE-97B5-D615D39B69D7}"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12:Y18" firstHeaderRow="0" firstDataRow="1" firstDataCol="1"/>
  <pivotFields count="22">
    <pivotField numFmtId="14" showAll="0">
      <items count="5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dataField="1" showAll="0"/>
    <pivotField showAll="0"/>
    <pivotField showAll="0"/>
    <pivotField dataField="1" showAll="0"/>
    <pivotField dataField="1" showAll="0"/>
    <pivotField showAll="0"/>
    <pivotField showAll="0"/>
    <pivotField showAll="0"/>
    <pivotField axis="axisRow" showAll="0">
      <items count="6">
        <item x="4"/>
        <item x="2"/>
        <item x="1"/>
        <item x="0"/>
        <item x="3"/>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9"/>
  </rowFields>
  <rowItems count="6">
    <i>
      <x/>
    </i>
    <i>
      <x v="1"/>
    </i>
    <i>
      <x v="2"/>
    </i>
    <i>
      <x v="3"/>
    </i>
    <i>
      <x v="4"/>
    </i>
    <i t="grand">
      <x/>
    </i>
  </rowItems>
  <colFields count="1">
    <field x="-2"/>
  </colFields>
  <colItems count="3">
    <i>
      <x/>
    </i>
    <i i="1">
      <x v="1"/>
    </i>
    <i i="2">
      <x v="2"/>
    </i>
  </colItems>
  <dataFields count="3">
    <dataField name="Sum of Units" fld="1" baseField="0" baseItem="0"/>
    <dataField name="Sum of Total sales" fld="4" baseField="0" baseItem="0"/>
    <dataField name="Sum of profi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CA647A-084D-4AC3-99AF-CADC04B45A1D}"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15:AB16" firstHeaderRow="1" firstDataRow="1" firstDataCol="0"/>
  <pivotFields count="22">
    <pivotField numFmtId="14" showAll="0">
      <items count="5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Total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42CF3B-30E7-4131-9A15-68144D920054}" name="PivotTable9"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16:AD17" firstHeaderRow="1" firstDataRow="1" firstDataCol="0"/>
  <pivotFields count="22">
    <pivotField numFmtId="14" showAll="0">
      <items count="5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profi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75FDB0-548C-4C67-A4E0-F0C9E9E6F53C}" name="PivotTable10"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E24:AF30" firstHeaderRow="1" firstDataRow="1" firstDataCol="1"/>
  <pivotFields count="22">
    <pivotField numFmtId="14" showAll="0">
      <items count="5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showAll="0"/>
    <pivotField showAll="0"/>
    <pivotField showAll="0"/>
    <pivotField dataField="1" showAll="0"/>
    <pivotField showAll="0"/>
    <pivotField showAll="0"/>
    <pivotField showAll="0"/>
    <pivotField showAll="0"/>
    <pivotField axis="axisRow" showAll="0">
      <items count="6">
        <item x="4"/>
        <item x="2"/>
        <item x="1"/>
        <item x="0"/>
        <item x="3"/>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9"/>
  </rowFields>
  <rowItems count="6">
    <i>
      <x/>
    </i>
    <i>
      <x v="1"/>
    </i>
    <i>
      <x v="2"/>
    </i>
    <i>
      <x v="3"/>
    </i>
    <i>
      <x v="4"/>
    </i>
    <i t="grand">
      <x/>
    </i>
  </rowItems>
  <colItems count="1">
    <i/>
  </colItems>
  <dataFields count="1">
    <dataField name="Total sales per product" fld="4" baseField="9" baseItem="0"/>
  </dataFields>
  <chartFormats count="13">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9" count="1" selected="0">
            <x v="0"/>
          </reference>
        </references>
      </pivotArea>
    </chartFormat>
    <chartFormat chart="3" format="9">
      <pivotArea type="data" outline="0" fieldPosition="0">
        <references count="2">
          <reference field="4294967294" count="1" selected="0">
            <x v="0"/>
          </reference>
          <reference field="9" count="1" selected="0">
            <x v="1"/>
          </reference>
        </references>
      </pivotArea>
    </chartFormat>
    <chartFormat chart="3" format="10">
      <pivotArea type="data" outline="0" fieldPosition="0">
        <references count="2">
          <reference field="4294967294" count="1" selected="0">
            <x v="0"/>
          </reference>
          <reference field="9" count="1" selected="0">
            <x v="2"/>
          </reference>
        </references>
      </pivotArea>
    </chartFormat>
    <chartFormat chart="3" format="11">
      <pivotArea type="data" outline="0" fieldPosition="0">
        <references count="2">
          <reference field="4294967294" count="1" selected="0">
            <x v="0"/>
          </reference>
          <reference field="9" count="1" selected="0">
            <x v="3"/>
          </reference>
        </references>
      </pivotArea>
    </chartFormat>
    <chartFormat chart="3" format="12">
      <pivotArea type="data" outline="0" fieldPosition="0">
        <references count="2">
          <reference field="4294967294" count="1" selected="0">
            <x v="0"/>
          </reference>
          <reference field="9" count="1" selected="0">
            <x v="4"/>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9" count="1" selected="0">
            <x v="0"/>
          </reference>
        </references>
      </pivotArea>
    </chartFormat>
    <chartFormat chart="4" format="3">
      <pivotArea type="data" outline="0" fieldPosition="0">
        <references count="2">
          <reference field="4294967294" count="1" selected="0">
            <x v="0"/>
          </reference>
          <reference field="9" count="1" selected="0">
            <x v="1"/>
          </reference>
        </references>
      </pivotArea>
    </chartFormat>
    <chartFormat chart="4" format="4">
      <pivotArea type="data" outline="0" fieldPosition="0">
        <references count="2">
          <reference field="4294967294" count="1" selected="0">
            <x v="0"/>
          </reference>
          <reference field="9" count="1" selected="0">
            <x v="2"/>
          </reference>
        </references>
      </pivotArea>
    </chartFormat>
    <chartFormat chart="4" format="5">
      <pivotArea type="data" outline="0" fieldPosition="0">
        <references count="2">
          <reference field="4294967294" count="1" selected="0">
            <x v="0"/>
          </reference>
          <reference field="9" count="1" selected="0">
            <x v="3"/>
          </reference>
        </references>
      </pivotArea>
    </chartFormat>
    <chartFormat chart="4" format="6">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B6E54B-56E8-47FE-85B6-57B74CDCED6B}" name="PivotTable1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E37:AF43" firstHeaderRow="1" firstDataRow="1" firstDataCol="1"/>
  <pivotFields count="22">
    <pivotField numFmtId="14" showAll="0">
      <items count="5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showAll="0"/>
    <pivotField showAll="0"/>
    <pivotField showAll="0"/>
    <pivotField dataField="1" showAll="0"/>
    <pivotField showAll="0"/>
    <pivotField showAll="0"/>
    <pivotField axis="axisRow" showAll="0">
      <items count="6">
        <item x="3"/>
        <item x="2"/>
        <item x="1"/>
        <item x="4"/>
        <item x="0"/>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7"/>
  </rowFields>
  <rowItems count="6">
    <i>
      <x/>
    </i>
    <i>
      <x v="1"/>
    </i>
    <i>
      <x v="2"/>
    </i>
    <i>
      <x v="3"/>
    </i>
    <i>
      <x v="4"/>
    </i>
    <i t="grand">
      <x/>
    </i>
  </rowItems>
  <colItems count="1">
    <i/>
  </colItems>
  <dataFields count="1">
    <dataField name="Total sales  per sales rep " fld="4" baseField="0" baseItem="0"/>
  </dataFields>
  <chartFormats count="13">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7" count="1" selected="0">
            <x v="0"/>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2"/>
          </reference>
        </references>
      </pivotArea>
    </chartFormat>
    <chartFormat chart="3" format="11">
      <pivotArea type="data" outline="0" fieldPosition="0">
        <references count="2">
          <reference field="4294967294" count="1" selected="0">
            <x v="0"/>
          </reference>
          <reference field="7" count="1" selected="0">
            <x v="3"/>
          </reference>
        </references>
      </pivotArea>
    </chartFormat>
    <chartFormat chart="3" format="12">
      <pivotArea type="data" outline="0" fieldPosition="0">
        <references count="2">
          <reference field="4294967294" count="1" selected="0">
            <x v="0"/>
          </reference>
          <reference field="7" count="1" selected="0">
            <x v="4"/>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7" count="1" selected="0">
            <x v="0"/>
          </reference>
        </references>
      </pivotArea>
    </chartFormat>
    <chartFormat chart="4" format="3">
      <pivotArea type="data" outline="0" fieldPosition="0">
        <references count="2">
          <reference field="4294967294" count="1" selected="0">
            <x v="0"/>
          </reference>
          <reference field="7" count="1" selected="0">
            <x v="1"/>
          </reference>
        </references>
      </pivotArea>
    </chartFormat>
    <chartFormat chart="4" format="4">
      <pivotArea type="data" outline="0" fieldPosition="0">
        <references count="2">
          <reference field="4294967294" count="1" selected="0">
            <x v="0"/>
          </reference>
          <reference field="7" count="1" selected="0">
            <x v="2"/>
          </reference>
        </references>
      </pivotArea>
    </chartFormat>
    <chartFormat chart="4" format="5">
      <pivotArea type="data" outline="0" fieldPosition="0">
        <references count="2">
          <reference field="4294967294" count="1" selected="0">
            <x v="0"/>
          </reference>
          <reference field="7" count="1" selected="0">
            <x v="3"/>
          </reference>
        </references>
      </pivotArea>
    </chartFormat>
    <chartFormat chart="4" format="6">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0E7C79A-F0BD-4F0F-9C7A-78DF75A0F29C}" name="PivotTable1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F49:AG54" firstHeaderRow="1" firstDataRow="1" firstDataCol="1"/>
  <pivotFields count="22">
    <pivotField numFmtId="14" showAll="0">
      <items count="5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showAll="0"/>
    <pivotField showAll="0"/>
    <pivotField showAll="0"/>
    <pivotField dataField="1" showAll="0"/>
    <pivotField showAll="0"/>
    <pivotField showAll="0"/>
    <pivotField showAll="0"/>
    <pivotField axis="axisRow" showAll="0">
      <items count="5">
        <item x="0"/>
        <item x="3"/>
        <item x="2"/>
        <item x="1"/>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8"/>
  </rowFields>
  <rowItems count="5">
    <i>
      <x/>
    </i>
    <i>
      <x v="1"/>
    </i>
    <i>
      <x v="2"/>
    </i>
    <i>
      <x v="3"/>
    </i>
    <i t="grand">
      <x/>
    </i>
  </rowItems>
  <colItems count="1">
    <i/>
  </colItems>
  <dataFields count="1">
    <dataField name="Total sales per region" fld="4" baseField="8" baseItem="0"/>
  </dataFields>
  <chartFormats count="11">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3" format="9">
      <pivotArea type="data" outline="0" fieldPosition="0">
        <references count="2">
          <reference field="4294967294" count="1" selected="0">
            <x v="0"/>
          </reference>
          <reference field="8" count="1" selected="0">
            <x v="2"/>
          </reference>
        </references>
      </pivotArea>
    </chartFormat>
    <chartFormat chart="3" format="10">
      <pivotArea type="data" outline="0" fieldPosition="0">
        <references count="2">
          <reference field="4294967294" count="1" selected="0">
            <x v="0"/>
          </reference>
          <reference field="8" count="1" selected="0">
            <x v="3"/>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8" count="1" selected="0">
            <x v="0"/>
          </reference>
        </references>
      </pivotArea>
    </chartFormat>
    <chartFormat chart="5" format="3">
      <pivotArea type="data" outline="0" fieldPosition="0">
        <references count="2">
          <reference field="4294967294" count="1" selected="0">
            <x v="0"/>
          </reference>
          <reference field="8" count="1" selected="0">
            <x v="1"/>
          </reference>
        </references>
      </pivotArea>
    </chartFormat>
    <chartFormat chart="5" format="4">
      <pivotArea type="data" outline="0" fieldPosition="0">
        <references count="2">
          <reference field="4294967294" count="1" selected="0">
            <x v="0"/>
          </reference>
          <reference field="8" count="1" selected="0">
            <x v="2"/>
          </reference>
        </references>
      </pivotArea>
    </chartFormat>
    <chartFormat chart="5" format="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F19EE3-BC31-4C8A-96AA-C3A71119B3C1}" name="PivotTable1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G14:AH20" firstHeaderRow="1" firstDataRow="1" firstDataCol="1"/>
  <pivotFields count="22">
    <pivotField numFmtId="14" showAll="0">
      <items count="5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showAll="0"/>
    <pivotField showAll="0"/>
    <pivotField showAll="0"/>
    <pivotField showAll="0"/>
    <pivotField showAll="0"/>
    <pivotField showAll="0"/>
    <pivotField showAll="0"/>
    <pivotField showAll="0"/>
    <pivotField axis="axisRow" showAll="0" sortType="descending">
      <items count="6">
        <item x="4"/>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ataField="1" dragToRow="0" dragToCol="0" dragToPage="0" showAll="0" defaultSubtotal="0"/>
    <pivotField dragToRow="0" dragToCol="0" dragToPage="0" showAll="0" defaultSubtotal="0"/>
  </pivotFields>
  <rowFields count="1">
    <field x="9"/>
  </rowFields>
  <rowItems count="6">
    <i>
      <x/>
    </i>
    <i>
      <x v="3"/>
    </i>
    <i>
      <x v="4"/>
    </i>
    <i>
      <x v="2"/>
    </i>
    <i>
      <x v="1"/>
    </i>
    <i t="grand">
      <x/>
    </i>
  </rowItems>
  <colItems count="1">
    <i/>
  </colItems>
  <dataFields count="1">
    <dataField name="Sum of profability" fld="20"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AF52468-4407-4FCD-B18E-743430809B37}" name="PivotTable1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18:AF19" firstHeaderRow="1" firstDataRow="1" firstDataCol="0"/>
  <pivotFields count="22">
    <pivotField numFmtId="14" showAll="0">
      <items count="5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profi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4DB780F-F631-44F6-BF46-87EF60EF57FC}" name="PivotTable1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7:AG8" firstHeaderRow="1" firstDataRow="1" firstDataCol="0"/>
  <pivotFields count="22">
    <pivotField numFmtId="14" showAll="0">
      <items count="5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 dataField="1" dragToRow="0" dragToCol="0" dragToPage="0" showAll="0" defaultSubtotal="0"/>
    <pivotField dragToRow="0" dragToCol="0" dragToPage="0" showAll="0" defaultSubtotal="0"/>
  </pivotFields>
  <rowItems count="1">
    <i/>
  </rowItems>
  <colItems count="1">
    <i/>
  </colItems>
  <dataFields count="1">
    <dataField name="Sum of profability" fld="20"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A7A91F0E-6345-42C5-81B5-71231CB435CE}" sourceName="Years (Date)">
  <data>
    <tabular pivotCacheId="19004669">
      <items count="5">
        <i x="0" s="1"/>
        <i x="4"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b" xr10:uid="{4E5485A2-C61A-41B7-A6AB-84EB951FAA2C}" sourceName="sales reb">
  <data>
    <tabular pivotCacheId="19004669">
      <items count="5">
        <i x="3" s="1"/>
        <i x="2"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D6DE5035-1831-4AD3-8388-B6632F94437F}" cache="Slicer_Years__Date" caption="Years " style="SlicerStyleDark2" rowHeight="257175"/>
  <slicer name="sales reb" xr10:uid="{38AE8DE8-46E4-45C6-88D4-B1F206DBC466}" cache="Slicer_sales_reb" caption="sales reb" style="SlicerStyleDark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0D8622-1C88-4D05-8F3E-04EAFCCAC779}" name="dProduct" displayName="dProduct" ref="B4:E9" totalsRowShown="0" headerRowDxfId="12">
  <autoFilter ref="B4:E9" xr:uid="{E43B8146-B68B-4989-9487-72E47EABA15D}"/>
  <tableColumns count="4">
    <tableColumn id="1" xr3:uid="{46485FE8-EE00-495D-90C6-6E83FA17E4DC}" name="ProductID"/>
    <tableColumn id="2" xr3:uid="{74782F93-94BB-4E28-955E-27FEFAB79BE8}" name="Product"/>
    <tableColumn id="3" xr3:uid="{3DE0C9FD-2D9B-44EB-A7E6-33A8560B6DA1}" name="CratePrice"/>
    <tableColumn id="4" xr3:uid="{1C4BD9F8-0483-4F8C-86C4-A5BEAB4555DB}" name="CrateCos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D74BF4-A7B0-4D54-AD22-E3C943954217}" name="dPSalesRep" displayName="dPSalesRep" ref="B13:D18" totalsRowShown="0" headerRowDxfId="11">
  <autoFilter ref="B13:D18" xr:uid="{84BDBB69-5A27-49D9-A379-E130A9120C23}"/>
  <tableColumns count="3">
    <tableColumn id="1" xr3:uid="{A9809151-D493-486A-893C-9C0E1EE05224}" name="SalesRepID"/>
    <tableColumn id="2" xr3:uid="{A99599C7-685B-45CF-8A23-AA9235E294C3}" name="SalesRep"/>
    <tableColumn id="3" xr3:uid="{FA143807-3F73-4C79-9007-565D2CCEED51}" name="Reg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D6A9E6-97D9-4B76-9595-FAB892F2AF70}" name="fSales" displayName="fSales" ref="G4:S1059" totalsRowShown="0" headerRowDxfId="10">
  <autoFilter ref="G4:S1059" xr:uid="{028D8B4D-0EC6-4F2A-856A-B9220370FB8D}"/>
  <sortState xmlns:xlrd2="http://schemas.microsoft.com/office/spreadsheetml/2017/richdata2" ref="G5:J1059">
    <sortCondition ref="G4:G1059"/>
  </sortState>
  <tableColumns count="13">
    <tableColumn id="1" xr3:uid="{B6DC745B-8A86-4CFB-A111-3E9ABAF34434}" name="Date" dataDxfId="9"/>
    <tableColumn id="2" xr3:uid="{72534826-4D31-430B-A3BE-A3F8CFF82B9B}" name="Units"/>
    <tableColumn id="3" xr3:uid="{1B29CCE1-73F4-4A1A-944B-4BA9FCE01188}" name="ProductID"/>
    <tableColumn id="4" xr3:uid="{40E24657-ED76-405D-90C0-8600EA0A720A}" name="SalesRepID"/>
    <tableColumn id="5" xr3:uid="{792AC0A0-100D-476F-9CE2-B6A4E79DE021}" name="Total sales" dataDxfId="8">
      <calculatedColumnFormula>_xlfn.XLOOKUP(fSales[[#This Row],[ProductID]],dProduct[ProductID],dProduct[CratePrice])*fSales[[#This Row],[Units]]</calculatedColumnFormula>
    </tableColumn>
    <tableColumn id="6" xr3:uid="{8072B7AD-F10F-4671-A416-6D0F7798085A}" name="profit" dataDxfId="7">
      <calculatedColumnFormula>fSales[[#This Row],[Total sales]]-_xlfn.XLOOKUP(fSales[[#This Row],[ProductID]],dProduct[ProductID],dProduct[CrateCost])*fSales[[#This Row],[Units]]</calculatedColumnFormula>
    </tableColumn>
    <tableColumn id="7" xr3:uid="{4005A86D-0DB1-46F9-951A-F33845556DE8}" name="Contribution Margin Ratio" dataDxfId="6">
      <calculatedColumnFormula>(_xlfn.XLOOKUP(fSales[[#This Row],[ProductID]],dProduct[ProductID],dProduct[CratePrice])-_xlfn.XLOOKUP(fSales[[#This Row],[ProductID]],dProduct[ProductID],dProduct[CrateCost]))/_xlfn.XLOOKUP(fSales[[#This Row],[ProductID]],dProduct[ProductID],dProduct[CratePrice])</calculatedColumnFormula>
    </tableColumn>
    <tableColumn id="8" xr3:uid="{00576525-0CDC-408E-9D40-BD853C787BF5}" name="sales reb" dataDxfId="5">
      <calculatedColumnFormula>_xlfn.XLOOKUP(fSales[[#This Row],[SalesRepID]],dPSalesRep[SalesRepID],dPSalesRep[SalesRep])</calculatedColumnFormula>
    </tableColumn>
    <tableColumn id="9" xr3:uid="{C574A392-E272-4A6A-BC36-769170465C85}" name="Region" dataDxfId="4">
      <calculatedColumnFormula>_xlfn.XLOOKUP(fSales[[#This Row],[SalesRepID]],dPSalesRep[SalesRepID],dPSalesRep[Region])</calculatedColumnFormula>
    </tableColumn>
    <tableColumn id="10" xr3:uid="{EA21CE65-0A51-4442-B934-347F050011EC}" name="product" dataDxfId="3">
      <calculatedColumnFormula>_xlfn.XLOOKUP(fSales[[#This Row],[ProductID]],dProduct[ProductID],dProduct[Product])</calculatedColumnFormula>
    </tableColumn>
    <tableColumn id="11" xr3:uid="{ACB2BB38-888B-45E4-BC77-80371A2BDCCA}" name="profability " dataDxfId="2">
      <calculatedColumnFormula>_xlfn.XLOOKUP(fSales[[#This Row],[ProductID]],dProduct[ProductID],dProduct[CratePrice])-_xlfn.XLOOKUP(fSales[[#This Row],[ProductID]],dProduct[ProductID],dProduct[CrateCost])</calculatedColumnFormula>
    </tableColumn>
    <tableColumn id="12" xr3:uid="{F7B4F248-9033-4679-8EB9-664A688835B4}" name="Price" dataDxfId="1">
      <calculatedColumnFormula>_xlfn.XLOOKUP(fSales[[#This Row],[ProductID]],dProduct[ProductID],dProduct[CratePrice])</calculatedColumnFormula>
    </tableColumn>
    <tableColumn id="13" xr3:uid="{5FB3E379-0254-474A-9F71-18DB02451EFA}" name="Cost" dataDxfId="0">
      <calculatedColumnFormula>_xlfn.XLOOKUP(fSales[[#This Row],[ProductID]],dProduct[ProductID],dProduct[CrateCost])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3101C8-6386-4733-8D07-DD1BD4E99B8E}" name="Table5" displayName="Table5" ref="W3:X9" totalsRowShown="0">
  <autoFilter ref="W3:X9" xr:uid="{683470DB-5CF9-4EEA-930A-9378BBAAD718}"/>
  <tableColumns count="2">
    <tableColumn id="1" xr3:uid="{B5ED005F-798F-4639-BAA0-334A094D31A6}" name="Product"/>
    <tableColumn id="2" xr3:uid="{2146CF69-5306-4A82-B34F-E0395712BE9E}" name=" Contribution Margin Rati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2.xml"/><Relationship Id="rId3" Type="http://schemas.openxmlformats.org/officeDocument/2006/relationships/pivotTable" Target="../pivotTables/pivotTable3.xml"/><Relationship Id="rId21" Type="http://schemas.microsoft.com/office/2007/relationships/slicer" Target="../slicers/slicer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table" Target="../tables/table1.xml"/><Relationship Id="rId2" Type="http://schemas.openxmlformats.org/officeDocument/2006/relationships/pivotTable" Target="../pivotTables/pivotTable2.xml"/><Relationship Id="rId16" Type="http://schemas.openxmlformats.org/officeDocument/2006/relationships/drawing" Target="../drawings/drawing1.xml"/><Relationship Id="rId20" Type="http://schemas.openxmlformats.org/officeDocument/2006/relationships/table" Target="../tables/table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A437D-C6C2-480D-8E04-4A8259A32422}">
  <sheetPr>
    <tabColor rgb="FF0000FF"/>
  </sheetPr>
  <dimension ref="B2:AI1059"/>
  <sheetViews>
    <sheetView tabSelected="1" topLeftCell="Z28" zoomScale="70" zoomScaleNormal="70" workbookViewId="0">
      <selection activeCell="AF42" sqref="AF42"/>
    </sheetView>
  </sheetViews>
  <sheetFormatPr defaultRowHeight="15" x14ac:dyDescent="0.25"/>
  <cols>
    <col min="1" max="1" width="2.28515625" customWidth="1"/>
    <col min="2" max="2" width="12.140625" customWidth="1"/>
    <col min="3" max="5" width="11.42578125" customWidth="1"/>
    <col min="7" max="7" width="12.5703125" customWidth="1"/>
    <col min="8" max="8" width="10.42578125" customWidth="1"/>
    <col min="9" max="9" width="14" customWidth="1"/>
    <col min="10" max="10" width="16" customWidth="1"/>
    <col min="11" max="11" width="12.85546875" bestFit="1" customWidth="1"/>
    <col min="12" max="12" width="13.7109375" bestFit="1" customWidth="1"/>
    <col min="13" max="13" width="26.85546875" bestFit="1" customWidth="1"/>
    <col min="14" max="14" width="14.5703125" bestFit="1" customWidth="1"/>
    <col min="15" max="16" width="11.28515625" customWidth="1"/>
    <col min="17" max="17" width="13" bestFit="1" customWidth="1"/>
    <col min="22" max="22" width="21" bestFit="1" customWidth="1"/>
    <col min="23" max="23" width="22.85546875" bestFit="1" customWidth="1"/>
    <col min="24" max="24" width="17.7109375" bestFit="1" customWidth="1"/>
    <col min="25" max="25" width="12.7109375" bestFit="1" customWidth="1"/>
    <col min="26" max="26" width="32" bestFit="1" customWidth="1"/>
    <col min="27" max="27" width="14" bestFit="1" customWidth="1"/>
    <col min="28" max="29" width="17.5703125" bestFit="1" customWidth="1"/>
    <col min="30" max="30" width="12.7109375" bestFit="1" customWidth="1"/>
    <col min="31" max="32" width="17.85546875" bestFit="1" customWidth="1"/>
    <col min="33" max="33" width="26.7109375" bestFit="1" customWidth="1"/>
    <col min="34" max="34" width="21.7109375" bestFit="1" customWidth="1"/>
    <col min="35" max="35" width="17.28515625" bestFit="1" customWidth="1"/>
    <col min="36" max="36" width="32" bestFit="1" customWidth="1"/>
  </cols>
  <sheetData>
    <row r="2" spans="2:35" x14ac:dyDescent="0.25">
      <c r="B2" t="s">
        <v>0</v>
      </c>
      <c r="G2" t="s">
        <v>1</v>
      </c>
    </row>
    <row r="3" spans="2:35" x14ac:dyDescent="0.25">
      <c r="W3" t="s">
        <v>2</v>
      </c>
      <c r="X3" t="s">
        <v>3</v>
      </c>
    </row>
    <row r="4" spans="2:35" x14ac:dyDescent="0.25">
      <c r="B4" s="1" t="s">
        <v>4</v>
      </c>
      <c r="C4" s="1" t="s">
        <v>2</v>
      </c>
      <c r="D4" s="1" t="s">
        <v>5</v>
      </c>
      <c r="E4" s="1" t="s">
        <v>6</v>
      </c>
      <c r="G4" s="1" t="s">
        <v>7</v>
      </c>
      <c r="H4" s="1" t="s">
        <v>8</v>
      </c>
      <c r="I4" s="1" t="s">
        <v>4</v>
      </c>
      <c r="J4" s="1" t="s">
        <v>9</v>
      </c>
      <c r="K4" s="1" t="s">
        <v>10</v>
      </c>
      <c r="L4" s="1" t="s">
        <v>11</v>
      </c>
      <c r="M4" s="1" t="s">
        <v>12</v>
      </c>
      <c r="N4" s="1" t="s">
        <v>13</v>
      </c>
      <c r="O4" s="1" t="s">
        <v>14</v>
      </c>
      <c r="P4" s="1" t="s">
        <v>15</v>
      </c>
      <c r="Q4" s="1" t="s">
        <v>16</v>
      </c>
      <c r="R4" s="1" t="s">
        <v>17</v>
      </c>
      <c r="S4" s="1" t="s">
        <v>18</v>
      </c>
      <c r="T4" s="1"/>
      <c r="U4" s="1"/>
      <c r="W4" t="s">
        <v>2</v>
      </c>
      <c r="X4" t="s">
        <v>3</v>
      </c>
    </row>
    <row r="5" spans="2:35" x14ac:dyDescent="0.25">
      <c r="B5" t="s">
        <v>19</v>
      </c>
      <c r="C5" t="s">
        <v>20</v>
      </c>
      <c r="D5">
        <v>35</v>
      </c>
      <c r="E5">
        <v>15.4</v>
      </c>
      <c r="G5" s="2">
        <v>45293</v>
      </c>
      <c r="H5">
        <v>156</v>
      </c>
      <c r="I5" t="s">
        <v>21</v>
      </c>
      <c r="J5" t="s">
        <v>22</v>
      </c>
      <c r="K5">
        <f>_xlfn.XLOOKUP(fSales[[#This Row],[ProductID]],dProduct[ProductID],dProduct[CratePrice])*fSales[[#This Row],[Units]]</f>
        <v>3510</v>
      </c>
      <c r="L5">
        <f>fSales[[#This Row],[Total sales]]-_xlfn.XLOOKUP(fSales[[#This Row],[ProductID]],dProduct[ProductID],dProduct[CrateCost])*fSales[[#This Row],[Units]]</f>
        <v>1544.3999999999999</v>
      </c>
      <c r="M5">
        <f>(_xlfn.XLOOKUP(fSales[[#This Row],[ProductID]],dProduct[ProductID],dProduct[CratePrice])-_xlfn.XLOOKUP(fSales[[#This Row],[ProductID]],dProduct[ProductID],dProduct[CrateCost]))/_xlfn.XLOOKUP(fSales[[#This Row],[ProductID]],dProduct[ProductID],dProduct[CratePrice])</f>
        <v>0.43999999999999995</v>
      </c>
      <c r="N5" t="str">
        <f>_xlfn.XLOOKUP(fSales[[#This Row],[SalesRepID]],dPSalesRep[SalesRepID],dPSalesRep[SalesRep])</f>
        <v>Timmy Kips</v>
      </c>
      <c r="O5" t="str">
        <f>_xlfn.XLOOKUP(fSales[[#This Row],[SalesRepID]],dPSalesRep[SalesRepID],dPSalesRep[Region])</f>
        <v>East</v>
      </c>
      <c r="P5" t="str">
        <f>_xlfn.XLOOKUP(fSales[[#This Row],[ProductID]],dProduct[ProductID],dProduct[Product])</f>
        <v>Kiwi</v>
      </c>
      <c r="Q5">
        <f>_xlfn.XLOOKUP(fSales[[#This Row],[ProductID]],dProduct[ProductID],dProduct[CratePrice])-_xlfn.XLOOKUP(fSales[[#This Row],[ProductID]],dProduct[ProductID],dProduct[CrateCost])</f>
        <v>9.8999999999999986</v>
      </c>
      <c r="R5">
        <f>_xlfn.XLOOKUP(fSales[[#This Row],[ProductID]],dProduct[ProductID],dProduct[CratePrice])</f>
        <v>22.5</v>
      </c>
      <c r="S5">
        <f>_xlfn.XLOOKUP(fSales[[#This Row],[ProductID]],dProduct[ProductID],dProduct[CrateCost])</f>
        <v>12.600000000000001</v>
      </c>
      <c r="W5" t="s">
        <v>2</v>
      </c>
      <c r="X5" t="s">
        <v>3</v>
      </c>
      <c r="AB5" t="s">
        <v>15</v>
      </c>
      <c r="AC5" t="s">
        <v>23</v>
      </c>
      <c r="AD5" t="s">
        <v>24</v>
      </c>
      <c r="AE5" t="s">
        <v>25</v>
      </c>
    </row>
    <row r="6" spans="2:35" x14ac:dyDescent="0.25">
      <c r="B6" t="s">
        <v>26</v>
      </c>
      <c r="C6" t="s">
        <v>27</v>
      </c>
      <c r="D6">
        <v>29.75</v>
      </c>
      <c r="E6">
        <v>17.254999999999999</v>
      </c>
      <c r="G6" s="2">
        <v>45293</v>
      </c>
      <c r="H6">
        <v>204</v>
      </c>
      <c r="I6" t="s">
        <v>28</v>
      </c>
      <c r="J6" t="s">
        <v>29</v>
      </c>
      <c r="K6">
        <f>_xlfn.XLOOKUP(fSales[[#This Row],[ProductID]],dProduct[ProductID],dProduct[CratePrice])*fSales[[#This Row],[Units]]</f>
        <v>8914.8000000000011</v>
      </c>
      <c r="L6">
        <f>fSales[[#This Row],[Total sales]]-_xlfn.XLOOKUP(fSales[[#This Row],[ProductID]],dProduct[ProductID],dProduct[CrateCost])*fSales[[#This Row],[Units]]</f>
        <v>3744.2160000000013</v>
      </c>
      <c r="M6">
        <f>(_xlfn.XLOOKUP(fSales[[#This Row],[ProductID]],dProduct[ProductID],dProduct[CratePrice])-_xlfn.XLOOKUP(fSales[[#This Row],[ProductID]],dProduct[ProductID],dProduct[CrateCost]))/_xlfn.XLOOKUP(fSales[[#This Row],[ProductID]],dProduct[ProductID],dProduct[CratePrice])</f>
        <v>0.42000000000000004</v>
      </c>
      <c r="N6" t="str">
        <f>_xlfn.XLOOKUP(fSales[[#This Row],[SalesRepID]],dPSalesRep[SalesRepID],dPSalesRep[SalesRep])</f>
        <v>Sioux Best</v>
      </c>
      <c r="O6" t="str">
        <f>_xlfn.XLOOKUP(fSales[[#This Row],[SalesRepID]],dPSalesRep[SalesRepID],dPSalesRep[Region])</f>
        <v>West</v>
      </c>
      <c r="P6" t="str">
        <f>_xlfn.XLOOKUP(fSales[[#This Row],[ProductID]],dProduct[ProductID],dProduct[Product])</f>
        <v>Cherry</v>
      </c>
      <c r="Q6">
        <f>_xlfn.XLOOKUP(fSales[[#This Row],[ProductID]],dProduct[ProductID],dProduct[CratePrice])-_xlfn.XLOOKUP(fSales[[#This Row],[ProductID]],dProduct[ProductID],dProduct[CrateCost])</f>
        <v>18.354000000000003</v>
      </c>
      <c r="R6">
        <f>_xlfn.XLOOKUP(fSales[[#This Row],[ProductID]],dProduct[ProductID],dProduct[CratePrice])</f>
        <v>43.7</v>
      </c>
      <c r="S6">
        <f>_xlfn.XLOOKUP(fSales[[#This Row],[ProductID]],dProduct[ProductID],dProduct[CrateCost])</f>
        <v>25.346</v>
      </c>
      <c r="W6" t="s">
        <v>2</v>
      </c>
      <c r="X6" t="s">
        <v>3</v>
      </c>
      <c r="AB6" t="str" cm="1">
        <f t="array" ref="AB6:AB10">_xlfn._xlws.SORT(_xlfn.UNIQUE(fSales[product]))</f>
        <v>Apple</v>
      </c>
      <c r="AC6">
        <f>SUMIFS(fSales[Total sales],fSales[product],AB6)</f>
        <v>1260420</v>
      </c>
      <c r="AD6">
        <f>SUMIF(fSales[product],AB6,fSales[Total sales])</f>
        <v>1260420</v>
      </c>
      <c r="AE6" s="3">
        <f>AD6/$AC$11</f>
        <v>0.24383372970194755</v>
      </c>
      <c r="AG6" t="s">
        <v>30</v>
      </c>
    </row>
    <row r="7" spans="2:35" x14ac:dyDescent="0.25">
      <c r="B7" t="s">
        <v>21</v>
      </c>
      <c r="C7" t="s">
        <v>31</v>
      </c>
      <c r="D7">
        <v>22.5</v>
      </c>
      <c r="E7">
        <v>12.600000000000001</v>
      </c>
      <c r="G7" s="2">
        <v>45294</v>
      </c>
      <c r="H7">
        <v>72</v>
      </c>
      <c r="I7" t="s">
        <v>21</v>
      </c>
      <c r="J7" t="s">
        <v>32</v>
      </c>
      <c r="K7">
        <f>_xlfn.XLOOKUP(fSales[[#This Row],[ProductID]],dProduct[ProductID],dProduct[CratePrice])*fSales[[#This Row],[Units]]</f>
        <v>1620</v>
      </c>
      <c r="L7">
        <f>fSales[[#This Row],[Total sales]]-_xlfn.XLOOKUP(fSales[[#This Row],[ProductID]],dProduct[ProductID],dProduct[CrateCost])*fSales[[#This Row],[Units]]</f>
        <v>712.8</v>
      </c>
      <c r="M7">
        <f>(_xlfn.XLOOKUP(fSales[[#This Row],[ProductID]],dProduct[ProductID],dProduct[CratePrice])-_xlfn.XLOOKUP(fSales[[#This Row],[ProductID]],dProduct[ProductID],dProduct[CrateCost]))/_xlfn.XLOOKUP(fSales[[#This Row],[ProductID]],dProduct[ProductID],dProduct[CratePrice])</f>
        <v>0.43999999999999995</v>
      </c>
      <c r="N7" t="str">
        <f>_xlfn.XLOOKUP(fSales[[#This Row],[SalesRepID]],dPSalesRep[SalesRepID],dPSalesRep[SalesRep])</f>
        <v>Shihara Fazzaa</v>
      </c>
      <c r="O7" t="str">
        <f>_xlfn.XLOOKUP(fSales[[#This Row],[SalesRepID]],dPSalesRep[SalesRepID],dPSalesRep[Region])</f>
        <v>East</v>
      </c>
      <c r="P7" t="str">
        <f>_xlfn.XLOOKUP(fSales[[#This Row],[ProductID]],dProduct[ProductID],dProduct[Product])</f>
        <v>Kiwi</v>
      </c>
      <c r="Q7">
        <f>_xlfn.XLOOKUP(fSales[[#This Row],[ProductID]],dProduct[ProductID],dProduct[CratePrice])-_xlfn.XLOOKUP(fSales[[#This Row],[ProductID]],dProduct[ProductID],dProduct[CrateCost])</f>
        <v>9.8999999999999986</v>
      </c>
      <c r="R7">
        <f>_xlfn.XLOOKUP(fSales[[#This Row],[ProductID]],dProduct[ProductID],dProduct[CratePrice])</f>
        <v>22.5</v>
      </c>
      <c r="S7">
        <f>_xlfn.XLOOKUP(fSales[[#This Row],[ProductID]],dProduct[ProductID],dProduct[CrateCost])</f>
        <v>12.600000000000001</v>
      </c>
      <c r="W7" t="s">
        <v>2</v>
      </c>
      <c r="X7" t="s">
        <v>3</v>
      </c>
      <c r="AB7" t="str">
        <v>Banana</v>
      </c>
      <c r="AC7">
        <f>SUMIFS(fSales[Total sales],fSales[product],AB7)</f>
        <v>548940</v>
      </c>
      <c r="AD7">
        <f>SUMIF(fSales[product],AB7,fSales[Total sales])</f>
        <v>548940</v>
      </c>
      <c r="AE7" s="3">
        <f t="shared" ref="AE7:AE10" si="0">AD7/$AC$11</f>
        <v>0.10619482996349398</v>
      </c>
      <c r="AG7" t="s">
        <v>33</v>
      </c>
    </row>
    <row r="8" spans="2:35" x14ac:dyDescent="0.25">
      <c r="B8" t="s">
        <v>34</v>
      </c>
      <c r="C8" t="s">
        <v>35</v>
      </c>
      <c r="D8">
        <v>17.5</v>
      </c>
      <c r="E8">
        <v>11.725000000000001</v>
      </c>
      <c r="G8" s="2">
        <v>45294</v>
      </c>
      <c r="H8">
        <v>72</v>
      </c>
      <c r="I8" t="s">
        <v>34</v>
      </c>
      <c r="J8" t="s">
        <v>32</v>
      </c>
      <c r="K8">
        <f>_xlfn.XLOOKUP(fSales[[#This Row],[ProductID]],dProduct[ProductID],dProduct[CratePrice])*fSales[[#This Row],[Units]]</f>
        <v>1260</v>
      </c>
      <c r="L8">
        <f>fSales[[#This Row],[Total sales]]-_xlfn.XLOOKUP(fSales[[#This Row],[ProductID]],dProduct[ProductID],dProduct[CrateCost])*fSales[[#This Row],[Units]]</f>
        <v>415.79999999999995</v>
      </c>
      <c r="M8">
        <f>(_xlfn.XLOOKUP(fSales[[#This Row],[ProductID]],dProduct[ProductID],dProduct[CratePrice])-_xlfn.XLOOKUP(fSales[[#This Row],[ProductID]],dProduct[ProductID],dProduct[CrateCost]))/_xlfn.XLOOKUP(fSales[[#This Row],[ProductID]],dProduct[ProductID],dProduct[CratePrice])</f>
        <v>0.3299999999999999</v>
      </c>
      <c r="N8" t="str">
        <f>_xlfn.XLOOKUP(fSales[[#This Row],[SalesRepID]],dPSalesRep[SalesRepID],dPSalesRep[SalesRep])</f>
        <v>Shihara Fazzaa</v>
      </c>
      <c r="O8" t="str">
        <f>_xlfn.XLOOKUP(fSales[[#This Row],[SalesRepID]],dPSalesRep[SalesRepID],dPSalesRep[Region])</f>
        <v>East</v>
      </c>
      <c r="P8" t="str">
        <f>_xlfn.XLOOKUP(fSales[[#This Row],[ProductID]],dProduct[ProductID],dProduct[Product])</f>
        <v>Banana</v>
      </c>
      <c r="Q8">
        <f>_xlfn.XLOOKUP(fSales[[#This Row],[ProductID]],dProduct[ProductID],dProduct[CratePrice])-_xlfn.XLOOKUP(fSales[[#This Row],[ProductID]],dProduct[ProductID],dProduct[CrateCost])</f>
        <v>5.7749999999999986</v>
      </c>
      <c r="R8">
        <f>_xlfn.XLOOKUP(fSales[[#This Row],[ProductID]],dProduct[ProductID],dProduct[CratePrice])</f>
        <v>17.5</v>
      </c>
      <c r="S8">
        <f>_xlfn.XLOOKUP(fSales[[#This Row],[ProductID]],dProduct[ProductID],dProduct[CrateCost])</f>
        <v>11.725000000000001</v>
      </c>
      <c r="W8" t="s">
        <v>2</v>
      </c>
      <c r="X8" t="s">
        <v>3</v>
      </c>
      <c r="AB8" t="str">
        <v>Cherry</v>
      </c>
      <c r="AC8">
        <f>SUMIFS(fSales[Total sales],fSales[product],AB8)</f>
        <v>1635079.2000000009</v>
      </c>
      <c r="AD8">
        <f>SUMIF(fSales[product],AB8,fSales[Total sales])</f>
        <v>1635079.2000000009</v>
      </c>
      <c r="AE8" s="3">
        <f t="shared" si="0"/>
        <v>0.31631318107779693</v>
      </c>
      <c r="AG8" s="3">
        <v>0.44772046047861158</v>
      </c>
      <c r="AI8" s="4">
        <f>GETPIVOTDATA("profability",$AG$7)</f>
        <v>0.44772046047861158</v>
      </c>
    </row>
    <row r="9" spans="2:35" x14ac:dyDescent="0.25">
      <c r="B9" t="s">
        <v>28</v>
      </c>
      <c r="C9" t="s">
        <v>36</v>
      </c>
      <c r="D9">
        <v>43.7</v>
      </c>
      <c r="E9">
        <v>25.346</v>
      </c>
      <c r="G9" s="2">
        <v>45294</v>
      </c>
      <c r="H9">
        <v>36</v>
      </c>
      <c r="I9" t="s">
        <v>28</v>
      </c>
      <c r="J9" t="s">
        <v>37</v>
      </c>
      <c r="K9">
        <f>_xlfn.XLOOKUP(fSales[[#This Row],[ProductID]],dProduct[ProductID],dProduct[CratePrice])*fSales[[#This Row],[Units]]</f>
        <v>1573.2</v>
      </c>
      <c r="L9">
        <f>fSales[[#This Row],[Total sales]]-_xlfn.XLOOKUP(fSales[[#This Row],[ProductID]],dProduct[ProductID],dProduct[CrateCost])*fSales[[#This Row],[Units]]</f>
        <v>660.74400000000003</v>
      </c>
      <c r="M9">
        <f>(_xlfn.XLOOKUP(fSales[[#This Row],[ProductID]],dProduct[ProductID],dProduct[CratePrice])-_xlfn.XLOOKUP(fSales[[#This Row],[ProductID]],dProduct[ProductID],dProduct[CrateCost]))/_xlfn.XLOOKUP(fSales[[#This Row],[ProductID]],dProduct[ProductID],dProduct[CratePrice])</f>
        <v>0.42000000000000004</v>
      </c>
      <c r="N9" t="str">
        <f>_xlfn.XLOOKUP(fSales[[#This Row],[SalesRepID]],dPSalesRep[SalesRepID],dPSalesRep[SalesRep])</f>
        <v>Chantel Mims</v>
      </c>
      <c r="O9" t="str">
        <f>_xlfn.XLOOKUP(fSales[[#This Row],[SalesRepID]],dPSalesRep[SalesRepID],dPSalesRep[Region])</f>
        <v>NW</v>
      </c>
      <c r="P9" t="str">
        <f>_xlfn.XLOOKUP(fSales[[#This Row],[ProductID]],dProduct[ProductID],dProduct[Product])</f>
        <v>Cherry</v>
      </c>
      <c r="Q9">
        <f>_xlfn.XLOOKUP(fSales[[#This Row],[ProductID]],dProduct[ProductID],dProduct[CratePrice])-_xlfn.XLOOKUP(fSales[[#This Row],[ProductID]],dProduct[ProductID],dProduct[CrateCost])</f>
        <v>18.354000000000003</v>
      </c>
      <c r="R9">
        <f>_xlfn.XLOOKUP(fSales[[#This Row],[ProductID]],dProduct[ProductID],dProduct[CratePrice])</f>
        <v>43.7</v>
      </c>
      <c r="S9">
        <f>_xlfn.XLOOKUP(fSales[[#This Row],[ProductID]],dProduct[ProductID],dProduct[CrateCost])</f>
        <v>25.346</v>
      </c>
      <c r="W9" t="s">
        <v>2</v>
      </c>
      <c r="X9" t="s">
        <v>3</v>
      </c>
      <c r="AB9" t="str">
        <v>Kiwi</v>
      </c>
      <c r="AC9">
        <f>SUMIFS(fSales[Total sales],fSales[product],AB9)</f>
        <v>811890</v>
      </c>
      <c r="AD9">
        <f>SUMIF(fSales[product],AB9,fSales[Total sales])</f>
        <v>811890</v>
      </c>
      <c r="AE9" s="3">
        <f t="shared" si="0"/>
        <v>0.15706365085266355</v>
      </c>
    </row>
    <row r="10" spans="2:35" x14ac:dyDescent="0.25">
      <c r="G10" s="2">
        <v>45297</v>
      </c>
      <c r="H10">
        <v>48</v>
      </c>
      <c r="I10" t="s">
        <v>28</v>
      </c>
      <c r="J10" t="s">
        <v>29</v>
      </c>
      <c r="K10">
        <f>_xlfn.XLOOKUP(fSales[[#This Row],[ProductID]],dProduct[ProductID],dProduct[CratePrice])*fSales[[#This Row],[Units]]</f>
        <v>2097.6000000000004</v>
      </c>
      <c r="L10">
        <f>fSales[[#This Row],[Total sales]]-_xlfn.XLOOKUP(fSales[[#This Row],[ProductID]],dProduct[ProductID],dProduct[CrateCost])*fSales[[#This Row],[Units]]</f>
        <v>880.99200000000042</v>
      </c>
      <c r="M10">
        <f>(_xlfn.XLOOKUP(fSales[[#This Row],[ProductID]],dProduct[ProductID],dProduct[CratePrice])-_xlfn.XLOOKUP(fSales[[#This Row],[ProductID]],dProduct[ProductID],dProduct[CrateCost]))/_xlfn.XLOOKUP(fSales[[#This Row],[ProductID]],dProduct[ProductID],dProduct[CratePrice])</f>
        <v>0.42000000000000004</v>
      </c>
      <c r="N10" t="str">
        <f>_xlfn.XLOOKUP(fSales[[#This Row],[SalesRepID]],dPSalesRep[SalesRepID],dPSalesRep[SalesRep])</f>
        <v>Sioux Best</v>
      </c>
      <c r="O10" t="str">
        <f>_xlfn.XLOOKUP(fSales[[#This Row],[SalesRepID]],dPSalesRep[SalesRepID],dPSalesRep[Region])</f>
        <v>West</v>
      </c>
      <c r="P10" t="str">
        <f>_xlfn.XLOOKUP(fSales[[#This Row],[ProductID]],dProduct[ProductID],dProduct[Product])</f>
        <v>Cherry</v>
      </c>
      <c r="Q10">
        <f>_xlfn.XLOOKUP(fSales[[#This Row],[ProductID]],dProduct[ProductID],dProduct[CratePrice])-_xlfn.XLOOKUP(fSales[[#This Row],[ProductID]],dProduct[ProductID],dProduct[CrateCost])</f>
        <v>18.354000000000003</v>
      </c>
      <c r="R10">
        <f>_xlfn.XLOOKUP(fSales[[#This Row],[ProductID]],dProduct[ProductID],dProduct[CratePrice])</f>
        <v>43.7</v>
      </c>
      <c r="S10">
        <f>_xlfn.XLOOKUP(fSales[[#This Row],[ProductID]],dProduct[ProductID],dProduct[CrateCost])</f>
        <v>25.346</v>
      </c>
      <c r="AB10" t="str">
        <v>Orange</v>
      </c>
      <c r="AC10">
        <f>SUMIFS(fSales[Total sales],fSales[product],AB10)</f>
        <v>912849</v>
      </c>
      <c r="AD10">
        <f>SUMIF(fSales[product],AB10,fSales[Total sales])</f>
        <v>912849</v>
      </c>
      <c r="AE10" s="3">
        <f t="shared" si="0"/>
        <v>0.17659460840409794</v>
      </c>
    </row>
    <row r="11" spans="2:35" x14ac:dyDescent="0.25">
      <c r="B11" t="s">
        <v>38</v>
      </c>
      <c r="G11" s="2">
        <v>45298</v>
      </c>
      <c r="H11">
        <v>84</v>
      </c>
      <c r="I11" t="s">
        <v>26</v>
      </c>
      <c r="J11" t="s">
        <v>37</v>
      </c>
      <c r="K11">
        <f>_xlfn.XLOOKUP(fSales[[#This Row],[ProductID]],dProduct[ProductID],dProduct[CratePrice])*fSales[[#This Row],[Units]]</f>
        <v>2499</v>
      </c>
      <c r="L11">
        <f>fSales[[#This Row],[Total sales]]-_xlfn.XLOOKUP(fSales[[#This Row],[ProductID]],dProduct[ProductID],dProduct[CrateCost])*fSales[[#This Row],[Units]]</f>
        <v>1049.5800000000002</v>
      </c>
      <c r="M11">
        <f>(_xlfn.XLOOKUP(fSales[[#This Row],[ProductID]],dProduct[ProductID],dProduct[CratePrice])-_xlfn.XLOOKUP(fSales[[#This Row],[ProductID]],dProduct[ProductID],dProduct[CrateCost]))/_xlfn.XLOOKUP(fSales[[#This Row],[ProductID]],dProduct[ProductID],dProduct[CratePrice])</f>
        <v>0.42000000000000004</v>
      </c>
      <c r="N11" t="str">
        <f>_xlfn.XLOOKUP(fSales[[#This Row],[SalesRepID]],dPSalesRep[SalesRepID],dPSalesRep[SalesRep])</f>
        <v>Chantel Mims</v>
      </c>
      <c r="O11" t="str">
        <f>_xlfn.XLOOKUP(fSales[[#This Row],[SalesRepID]],dPSalesRep[SalesRepID],dPSalesRep[Region])</f>
        <v>NW</v>
      </c>
      <c r="P11" t="str">
        <f>_xlfn.XLOOKUP(fSales[[#This Row],[ProductID]],dProduct[ProductID],dProduct[Product])</f>
        <v>Orange</v>
      </c>
      <c r="Q11">
        <f>_xlfn.XLOOKUP(fSales[[#This Row],[ProductID]],dProduct[ProductID],dProduct[CratePrice])-_xlfn.XLOOKUP(fSales[[#This Row],[ProductID]],dProduct[ProductID],dProduct[CrateCost])</f>
        <v>12.495000000000001</v>
      </c>
      <c r="R11">
        <f>_xlfn.XLOOKUP(fSales[[#This Row],[ProductID]],dProduct[ProductID],dProduct[CratePrice])</f>
        <v>29.75</v>
      </c>
      <c r="S11">
        <f>_xlfn.XLOOKUP(fSales[[#This Row],[ProductID]],dProduct[ProductID],dProduct[CrateCost])</f>
        <v>17.254999999999999</v>
      </c>
      <c r="AB11" t="s">
        <v>23</v>
      </c>
      <c r="AC11">
        <f>SUM(AC6:AC10)</f>
        <v>5169178.2000000011</v>
      </c>
    </row>
    <row r="12" spans="2:35" x14ac:dyDescent="0.25">
      <c r="G12" s="2">
        <v>45298</v>
      </c>
      <c r="H12">
        <v>168</v>
      </c>
      <c r="I12" t="s">
        <v>28</v>
      </c>
      <c r="J12" t="s">
        <v>29</v>
      </c>
      <c r="K12">
        <f>_xlfn.XLOOKUP(fSales[[#This Row],[ProductID]],dProduct[ProductID],dProduct[CratePrice])*fSales[[#This Row],[Units]]</f>
        <v>7341.6</v>
      </c>
      <c r="L12">
        <f>fSales[[#This Row],[Total sales]]-_xlfn.XLOOKUP(fSales[[#This Row],[ProductID]],dProduct[ProductID],dProduct[CrateCost])*fSales[[#This Row],[Units]]</f>
        <v>3083.4720000000007</v>
      </c>
      <c r="M12">
        <f>(_xlfn.XLOOKUP(fSales[[#This Row],[ProductID]],dProduct[ProductID],dProduct[CratePrice])-_xlfn.XLOOKUP(fSales[[#This Row],[ProductID]],dProduct[ProductID],dProduct[CrateCost]))/_xlfn.XLOOKUP(fSales[[#This Row],[ProductID]],dProduct[ProductID],dProduct[CratePrice])</f>
        <v>0.42000000000000004</v>
      </c>
      <c r="N12" t="str">
        <f>_xlfn.XLOOKUP(fSales[[#This Row],[SalesRepID]],dPSalesRep[SalesRepID],dPSalesRep[SalesRep])</f>
        <v>Sioux Best</v>
      </c>
      <c r="O12" t="str">
        <f>_xlfn.XLOOKUP(fSales[[#This Row],[SalesRepID]],dPSalesRep[SalesRepID],dPSalesRep[Region])</f>
        <v>West</v>
      </c>
      <c r="P12" t="str">
        <f>_xlfn.XLOOKUP(fSales[[#This Row],[ProductID]],dProduct[ProductID],dProduct[Product])</f>
        <v>Cherry</v>
      </c>
      <c r="Q12">
        <f>_xlfn.XLOOKUP(fSales[[#This Row],[ProductID]],dProduct[ProductID],dProduct[CratePrice])-_xlfn.XLOOKUP(fSales[[#This Row],[ProductID]],dProduct[ProductID],dProduct[CrateCost])</f>
        <v>18.354000000000003</v>
      </c>
      <c r="R12">
        <f>_xlfn.XLOOKUP(fSales[[#This Row],[ProductID]],dProduct[ProductID],dProduct[CratePrice])</f>
        <v>43.7</v>
      </c>
      <c r="S12">
        <f>_xlfn.XLOOKUP(fSales[[#This Row],[ProductID]],dProduct[ProductID],dProduct[CrateCost])</f>
        <v>25.346</v>
      </c>
      <c r="V12" t="s">
        <v>39</v>
      </c>
      <c r="W12" t="s">
        <v>40</v>
      </c>
      <c r="X12" t="s">
        <v>41</v>
      </c>
      <c r="Y12" t="s">
        <v>42</v>
      </c>
    </row>
    <row r="13" spans="2:35" x14ac:dyDescent="0.25">
      <c r="B13" s="1" t="s">
        <v>9</v>
      </c>
      <c r="C13" s="1" t="s">
        <v>43</v>
      </c>
      <c r="D13" s="1" t="s">
        <v>14</v>
      </c>
      <c r="G13" s="2">
        <v>45298</v>
      </c>
      <c r="H13">
        <v>180</v>
      </c>
      <c r="I13" t="s">
        <v>26</v>
      </c>
      <c r="J13" t="s">
        <v>22</v>
      </c>
      <c r="K13">
        <f>_xlfn.XLOOKUP(fSales[[#This Row],[ProductID]],dProduct[ProductID],dProduct[CratePrice])*fSales[[#This Row],[Units]]</f>
        <v>5355</v>
      </c>
      <c r="L13">
        <f>fSales[[#This Row],[Total sales]]-_xlfn.XLOOKUP(fSales[[#This Row],[ProductID]],dProduct[ProductID],dProduct[CrateCost])*fSales[[#This Row],[Units]]</f>
        <v>2249.1000000000004</v>
      </c>
      <c r="M13">
        <f>(_xlfn.XLOOKUP(fSales[[#This Row],[ProductID]],dProduct[ProductID],dProduct[CratePrice])-_xlfn.XLOOKUP(fSales[[#This Row],[ProductID]],dProduct[ProductID],dProduct[CrateCost]))/_xlfn.XLOOKUP(fSales[[#This Row],[ProductID]],dProduct[ProductID],dProduct[CratePrice])</f>
        <v>0.42000000000000004</v>
      </c>
      <c r="N13" t="str">
        <f>_xlfn.XLOOKUP(fSales[[#This Row],[SalesRepID]],dPSalesRep[SalesRepID],dPSalesRep[SalesRep])</f>
        <v>Timmy Kips</v>
      </c>
      <c r="O13" t="str">
        <f>_xlfn.XLOOKUP(fSales[[#This Row],[SalesRepID]],dPSalesRep[SalesRepID],dPSalesRep[Region])</f>
        <v>East</v>
      </c>
      <c r="P13" t="str">
        <f>_xlfn.XLOOKUP(fSales[[#This Row],[ProductID]],dProduct[ProductID],dProduct[Product])</f>
        <v>Orange</v>
      </c>
      <c r="Q13">
        <f>_xlfn.XLOOKUP(fSales[[#This Row],[ProductID]],dProduct[ProductID],dProduct[CratePrice])-_xlfn.XLOOKUP(fSales[[#This Row],[ProductID]],dProduct[ProductID],dProduct[CrateCost])</f>
        <v>12.495000000000001</v>
      </c>
      <c r="R13">
        <f>_xlfn.XLOOKUP(fSales[[#This Row],[ProductID]],dProduct[ProductID],dProduct[CratePrice])</f>
        <v>29.75</v>
      </c>
      <c r="S13">
        <f>_xlfn.XLOOKUP(fSales[[#This Row],[ProductID]],dProduct[ProductID],dProduct[CrateCost])</f>
        <v>17.254999999999999</v>
      </c>
      <c r="V13" s="5" t="s">
        <v>20</v>
      </c>
      <c r="W13">
        <v>36012</v>
      </c>
      <c r="X13">
        <v>1260420</v>
      </c>
      <c r="Y13">
        <v>705835.19999999984</v>
      </c>
    </row>
    <row r="14" spans="2:35" x14ac:dyDescent="0.25">
      <c r="B14" t="s">
        <v>29</v>
      </c>
      <c r="C14" t="s">
        <v>44</v>
      </c>
      <c r="D14" t="s">
        <v>45</v>
      </c>
      <c r="G14" s="2">
        <v>45299</v>
      </c>
      <c r="H14">
        <v>276</v>
      </c>
      <c r="I14" t="s">
        <v>21</v>
      </c>
      <c r="J14" t="s">
        <v>37</v>
      </c>
      <c r="K14">
        <f>_xlfn.XLOOKUP(fSales[[#This Row],[ProductID]],dProduct[ProductID],dProduct[CratePrice])*fSales[[#This Row],[Units]]</f>
        <v>6210</v>
      </c>
      <c r="L14">
        <f>fSales[[#This Row],[Total sales]]-_xlfn.XLOOKUP(fSales[[#This Row],[ProductID]],dProduct[ProductID],dProduct[CrateCost])*fSales[[#This Row],[Units]]</f>
        <v>2732.3999999999996</v>
      </c>
      <c r="M14">
        <f>(_xlfn.XLOOKUP(fSales[[#This Row],[ProductID]],dProduct[ProductID],dProduct[CratePrice])-_xlfn.XLOOKUP(fSales[[#This Row],[ProductID]],dProduct[ProductID],dProduct[CrateCost]))/_xlfn.XLOOKUP(fSales[[#This Row],[ProductID]],dProduct[ProductID],dProduct[CratePrice])</f>
        <v>0.43999999999999995</v>
      </c>
      <c r="N14" t="str">
        <f>_xlfn.XLOOKUP(fSales[[#This Row],[SalesRepID]],dPSalesRep[SalesRepID],dPSalesRep[SalesRep])</f>
        <v>Chantel Mims</v>
      </c>
      <c r="O14" t="str">
        <f>_xlfn.XLOOKUP(fSales[[#This Row],[SalesRepID]],dPSalesRep[SalesRepID],dPSalesRep[Region])</f>
        <v>NW</v>
      </c>
      <c r="P14" t="str">
        <f>_xlfn.XLOOKUP(fSales[[#This Row],[ProductID]],dProduct[ProductID],dProduct[Product])</f>
        <v>Kiwi</v>
      </c>
      <c r="Q14">
        <f>_xlfn.XLOOKUP(fSales[[#This Row],[ProductID]],dProduct[ProductID],dProduct[CratePrice])-_xlfn.XLOOKUP(fSales[[#This Row],[ProductID]],dProduct[ProductID],dProduct[CrateCost])</f>
        <v>9.8999999999999986</v>
      </c>
      <c r="R14">
        <f>_xlfn.XLOOKUP(fSales[[#This Row],[ProductID]],dProduct[ProductID],dProduct[CratePrice])</f>
        <v>22.5</v>
      </c>
      <c r="S14">
        <f>_xlfn.XLOOKUP(fSales[[#This Row],[ProductID]],dProduct[ProductID],dProduct[CrateCost])</f>
        <v>12.600000000000001</v>
      </c>
      <c r="V14" s="5" t="s">
        <v>35</v>
      </c>
      <c r="W14">
        <v>31368</v>
      </c>
      <c r="X14">
        <v>548940</v>
      </c>
      <c r="Y14">
        <v>181150.19999999998</v>
      </c>
      <c r="AB14" t="s">
        <v>46</v>
      </c>
      <c r="AG14" t="s">
        <v>39</v>
      </c>
      <c r="AH14" t="s">
        <v>33</v>
      </c>
    </row>
    <row r="15" spans="2:35" x14ac:dyDescent="0.25">
      <c r="B15" t="s">
        <v>37</v>
      </c>
      <c r="C15" t="s">
        <v>47</v>
      </c>
      <c r="D15" t="s">
        <v>48</v>
      </c>
      <c r="G15" s="2">
        <v>45300</v>
      </c>
      <c r="H15">
        <v>84</v>
      </c>
      <c r="I15" t="s">
        <v>34</v>
      </c>
      <c r="J15" t="s">
        <v>32</v>
      </c>
      <c r="K15">
        <f>_xlfn.XLOOKUP(fSales[[#This Row],[ProductID]],dProduct[ProductID],dProduct[CratePrice])*fSales[[#This Row],[Units]]</f>
        <v>1470</v>
      </c>
      <c r="L15">
        <f>fSales[[#This Row],[Total sales]]-_xlfn.XLOOKUP(fSales[[#This Row],[ProductID]],dProduct[ProductID],dProduct[CrateCost])*fSales[[#This Row],[Units]]</f>
        <v>485.09999999999991</v>
      </c>
      <c r="M15">
        <f>(_xlfn.XLOOKUP(fSales[[#This Row],[ProductID]],dProduct[ProductID],dProduct[CratePrice])-_xlfn.XLOOKUP(fSales[[#This Row],[ProductID]],dProduct[ProductID],dProduct[CrateCost]))/_xlfn.XLOOKUP(fSales[[#This Row],[ProductID]],dProduct[ProductID],dProduct[CratePrice])</f>
        <v>0.3299999999999999</v>
      </c>
      <c r="N15" t="str">
        <f>_xlfn.XLOOKUP(fSales[[#This Row],[SalesRepID]],dPSalesRep[SalesRepID],dPSalesRep[SalesRep])</f>
        <v>Shihara Fazzaa</v>
      </c>
      <c r="O15" t="str">
        <f>_xlfn.XLOOKUP(fSales[[#This Row],[SalesRepID]],dPSalesRep[SalesRepID],dPSalesRep[Region])</f>
        <v>East</v>
      </c>
      <c r="P15" t="str">
        <f>_xlfn.XLOOKUP(fSales[[#This Row],[ProductID]],dProduct[ProductID],dProduct[Product])</f>
        <v>Banana</v>
      </c>
      <c r="Q15">
        <f>_xlfn.XLOOKUP(fSales[[#This Row],[ProductID]],dProduct[ProductID],dProduct[CratePrice])-_xlfn.XLOOKUP(fSales[[#This Row],[ProductID]],dProduct[ProductID],dProduct[CrateCost])</f>
        <v>5.7749999999999986</v>
      </c>
      <c r="R15">
        <f>_xlfn.XLOOKUP(fSales[[#This Row],[ProductID]],dProduct[ProductID],dProduct[CratePrice])</f>
        <v>17.5</v>
      </c>
      <c r="S15">
        <f>_xlfn.XLOOKUP(fSales[[#This Row],[ProductID]],dProduct[ProductID],dProduct[CrateCost])</f>
        <v>11.725000000000001</v>
      </c>
      <c r="V15" s="5" t="s">
        <v>36</v>
      </c>
      <c r="W15">
        <v>37416</v>
      </c>
      <c r="X15">
        <v>1635079.2000000009</v>
      </c>
      <c r="Y15">
        <v>686733.26399999997</v>
      </c>
      <c r="AB15" t="s">
        <v>41</v>
      </c>
      <c r="AD15" t="s">
        <v>30</v>
      </c>
      <c r="AG15" s="5" t="s">
        <v>20</v>
      </c>
      <c r="AH15">
        <v>0.55999999999999983</v>
      </c>
    </row>
    <row r="16" spans="2:35" x14ac:dyDescent="0.25">
      <c r="B16" t="s">
        <v>32</v>
      </c>
      <c r="C16" t="s">
        <v>49</v>
      </c>
      <c r="D16" t="s">
        <v>50</v>
      </c>
      <c r="G16" s="2">
        <v>45300</v>
      </c>
      <c r="H16">
        <v>216</v>
      </c>
      <c r="I16" t="s">
        <v>21</v>
      </c>
      <c r="J16" t="s">
        <v>22</v>
      </c>
      <c r="K16">
        <f>_xlfn.XLOOKUP(fSales[[#This Row],[ProductID]],dProduct[ProductID],dProduct[CratePrice])*fSales[[#This Row],[Units]]</f>
        <v>4860</v>
      </c>
      <c r="L16">
        <f>fSales[[#This Row],[Total sales]]-_xlfn.XLOOKUP(fSales[[#This Row],[ProductID]],dProduct[ProductID],dProduct[CrateCost])*fSales[[#This Row],[Units]]</f>
        <v>2138.3999999999996</v>
      </c>
      <c r="M16">
        <f>(_xlfn.XLOOKUP(fSales[[#This Row],[ProductID]],dProduct[ProductID],dProduct[CratePrice])-_xlfn.XLOOKUP(fSales[[#This Row],[ProductID]],dProduct[ProductID],dProduct[CrateCost]))/_xlfn.XLOOKUP(fSales[[#This Row],[ProductID]],dProduct[ProductID],dProduct[CratePrice])</f>
        <v>0.43999999999999995</v>
      </c>
      <c r="N16" t="str">
        <f>_xlfn.XLOOKUP(fSales[[#This Row],[SalesRepID]],dPSalesRep[SalesRepID],dPSalesRep[SalesRep])</f>
        <v>Timmy Kips</v>
      </c>
      <c r="O16" t="str">
        <f>_xlfn.XLOOKUP(fSales[[#This Row],[SalesRepID]],dPSalesRep[SalesRepID],dPSalesRep[Region])</f>
        <v>East</v>
      </c>
      <c r="P16" t="str">
        <f>_xlfn.XLOOKUP(fSales[[#This Row],[ProductID]],dProduct[ProductID],dProduct[Product])</f>
        <v>Kiwi</v>
      </c>
      <c r="Q16">
        <f>_xlfn.XLOOKUP(fSales[[#This Row],[ProductID]],dProduct[ProductID],dProduct[CratePrice])-_xlfn.XLOOKUP(fSales[[#This Row],[ProductID]],dProduct[ProductID],dProduct[CrateCost])</f>
        <v>9.8999999999999986</v>
      </c>
      <c r="R16">
        <f>_xlfn.XLOOKUP(fSales[[#This Row],[ProductID]],dProduct[ProductID],dProduct[CratePrice])</f>
        <v>22.5</v>
      </c>
      <c r="S16">
        <f>_xlfn.XLOOKUP(fSales[[#This Row],[ProductID]],dProduct[ProductID],dProduct[CrateCost])</f>
        <v>12.600000000000001</v>
      </c>
      <c r="V16" s="5" t="s">
        <v>31</v>
      </c>
      <c r="W16">
        <v>36084</v>
      </c>
      <c r="X16">
        <v>811890</v>
      </c>
      <c r="Y16">
        <v>357231.6</v>
      </c>
      <c r="AB16">
        <v>5169178.1999999955</v>
      </c>
      <c r="AD16" t="s">
        <v>42</v>
      </c>
      <c r="AG16" s="5" t="s">
        <v>31</v>
      </c>
      <c r="AH16">
        <v>0.43999999999999995</v>
      </c>
    </row>
    <row r="17" spans="2:34" x14ac:dyDescent="0.25">
      <c r="B17" t="s">
        <v>22</v>
      </c>
      <c r="C17" t="s">
        <v>51</v>
      </c>
      <c r="D17" t="s">
        <v>50</v>
      </c>
      <c r="G17" s="2">
        <v>45300</v>
      </c>
      <c r="H17">
        <v>36</v>
      </c>
      <c r="I17" t="s">
        <v>19</v>
      </c>
      <c r="J17" t="s">
        <v>52</v>
      </c>
      <c r="K17">
        <f>_xlfn.XLOOKUP(fSales[[#This Row],[ProductID]],dProduct[ProductID],dProduct[CratePrice])*fSales[[#This Row],[Units]]</f>
        <v>1260</v>
      </c>
      <c r="L17">
        <f>fSales[[#This Row],[Total sales]]-_xlfn.XLOOKUP(fSales[[#This Row],[ProductID]],dProduct[ProductID],dProduct[CrateCost])*fSales[[#This Row],[Units]]</f>
        <v>705.6</v>
      </c>
      <c r="M17">
        <f>(_xlfn.XLOOKUP(fSales[[#This Row],[ProductID]],dProduct[ProductID],dProduct[CratePrice])-_xlfn.XLOOKUP(fSales[[#This Row],[ProductID]],dProduct[ProductID],dProduct[CrateCost]))/_xlfn.XLOOKUP(fSales[[#This Row],[ProductID]],dProduct[ProductID],dProduct[CratePrice])</f>
        <v>0.56000000000000005</v>
      </c>
      <c r="N17" t="str">
        <f>_xlfn.XLOOKUP(fSales[[#This Row],[SalesRepID]],dPSalesRep[SalesRepID],dPSalesRep[SalesRep])</f>
        <v>Smitty Rad</v>
      </c>
      <c r="O17" t="str">
        <f>_xlfn.XLOOKUP(fSales[[#This Row],[SalesRepID]],dPSalesRep[SalesRepID],dPSalesRep[Region])</f>
        <v>MidWest</v>
      </c>
      <c r="P17" t="str">
        <f>_xlfn.XLOOKUP(fSales[[#This Row],[ProductID]],dProduct[ProductID],dProduct[Product])</f>
        <v>Apple</v>
      </c>
      <c r="Q17">
        <f>_xlfn.XLOOKUP(fSales[[#This Row],[ProductID]],dProduct[ProductID],dProduct[CratePrice])-_xlfn.XLOOKUP(fSales[[#This Row],[ProductID]],dProduct[ProductID],dProduct[CrateCost])</f>
        <v>19.600000000000001</v>
      </c>
      <c r="R17">
        <f>_xlfn.XLOOKUP(fSales[[#This Row],[ProductID]],dProduct[ProductID],dProduct[CratePrice])</f>
        <v>35</v>
      </c>
      <c r="S17">
        <f>_xlfn.XLOOKUP(fSales[[#This Row],[ProductID]],dProduct[ProductID],dProduct[CrateCost])</f>
        <v>15.4</v>
      </c>
      <c r="V17" s="5" t="s">
        <v>27</v>
      </c>
      <c r="W17">
        <v>30684</v>
      </c>
      <c r="X17">
        <v>912849</v>
      </c>
      <c r="Y17">
        <v>383396.5799999999</v>
      </c>
      <c r="AD17">
        <v>2314346.8439999986</v>
      </c>
      <c r="AF17" t="s">
        <v>30</v>
      </c>
      <c r="AG17" s="5" t="s">
        <v>27</v>
      </c>
      <c r="AH17">
        <v>0.41999999999999987</v>
      </c>
    </row>
    <row r="18" spans="2:34" x14ac:dyDescent="0.25">
      <c r="B18" t="s">
        <v>52</v>
      </c>
      <c r="C18" t="s">
        <v>53</v>
      </c>
      <c r="D18" t="s">
        <v>54</v>
      </c>
      <c r="G18" s="2">
        <v>45301</v>
      </c>
      <c r="H18">
        <v>216</v>
      </c>
      <c r="I18" t="s">
        <v>34</v>
      </c>
      <c r="J18" t="s">
        <v>37</v>
      </c>
      <c r="K18">
        <f>_xlfn.XLOOKUP(fSales[[#This Row],[ProductID]],dProduct[ProductID],dProduct[CratePrice])*fSales[[#This Row],[Units]]</f>
        <v>3780</v>
      </c>
      <c r="L18">
        <f>fSales[[#This Row],[Total sales]]-_xlfn.XLOOKUP(fSales[[#This Row],[ProductID]],dProduct[ProductID],dProduct[CrateCost])*fSales[[#This Row],[Units]]</f>
        <v>1247.3999999999996</v>
      </c>
      <c r="M18">
        <f>(_xlfn.XLOOKUP(fSales[[#This Row],[ProductID]],dProduct[ProductID],dProduct[CratePrice])-_xlfn.XLOOKUP(fSales[[#This Row],[ProductID]],dProduct[ProductID],dProduct[CrateCost]))/_xlfn.XLOOKUP(fSales[[#This Row],[ProductID]],dProduct[ProductID],dProduct[CratePrice])</f>
        <v>0.3299999999999999</v>
      </c>
      <c r="N18" t="str">
        <f>_xlfn.XLOOKUP(fSales[[#This Row],[SalesRepID]],dPSalesRep[SalesRepID],dPSalesRep[SalesRep])</f>
        <v>Chantel Mims</v>
      </c>
      <c r="O18" t="str">
        <f>_xlfn.XLOOKUP(fSales[[#This Row],[SalesRepID]],dPSalesRep[SalesRepID],dPSalesRep[Region])</f>
        <v>NW</v>
      </c>
      <c r="P18" t="str">
        <f>_xlfn.XLOOKUP(fSales[[#This Row],[ProductID]],dProduct[ProductID],dProduct[Product])</f>
        <v>Banana</v>
      </c>
      <c r="Q18">
        <f>_xlfn.XLOOKUP(fSales[[#This Row],[ProductID]],dProduct[ProductID],dProduct[CratePrice])-_xlfn.XLOOKUP(fSales[[#This Row],[ProductID]],dProduct[ProductID],dProduct[CrateCost])</f>
        <v>5.7749999999999986</v>
      </c>
      <c r="R18">
        <f>_xlfn.XLOOKUP(fSales[[#This Row],[ProductID]],dProduct[ProductID],dProduct[CratePrice])</f>
        <v>17.5</v>
      </c>
      <c r="S18">
        <f>_xlfn.XLOOKUP(fSales[[#This Row],[ProductID]],dProduct[ProductID],dProduct[CrateCost])</f>
        <v>11.725000000000001</v>
      </c>
      <c r="V18" s="5" t="s">
        <v>55</v>
      </c>
      <c r="W18">
        <v>171564</v>
      </c>
      <c r="X18">
        <v>5169178.2000000011</v>
      </c>
      <c r="Y18">
        <v>2314346.844</v>
      </c>
      <c r="AB18" s="6">
        <f>GETPIVOTDATA("Total sales",$AB$15)</f>
        <v>5169178.1999999955</v>
      </c>
      <c r="AF18" t="s">
        <v>42</v>
      </c>
      <c r="AG18" s="5" t="s">
        <v>36</v>
      </c>
      <c r="AH18">
        <v>0.41999999999999976</v>
      </c>
    </row>
    <row r="19" spans="2:34" x14ac:dyDescent="0.25">
      <c r="G19" s="2">
        <v>45301</v>
      </c>
      <c r="H19">
        <v>144</v>
      </c>
      <c r="I19" t="s">
        <v>28</v>
      </c>
      <c r="J19" t="s">
        <v>52</v>
      </c>
      <c r="K19">
        <f>_xlfn.XLOOKUP(fSales[[#This Row],[ProductID]],dProduct[ProductID],dProduct[CratePrice])*fSales[[#This Row],[Units]]</f>
        <v>6292.8</v>
      </c>
      <c r="L19">
        <f>fSales[[#This Row],[Total sales]]-_xlfn.XLOOKUP(fSales[[#This Row],[ProductID]],dProduct[ProductID],dProduct[CrateCost])*fSales[[#This Row],[Units]]</f>
        <v>2642.9760000000001</v>
      </c>
      <c r="M19">
        <f>(_xlfn.XLOOKUP(fSales[[#This Row],[ProductID]],dProduct[ProductID],dProduct[CratePrice])-_xlfn.XLOOKUP(fSales[[#This Row],[ProductID]],dProduct[ProductID],dProduct[CrateCost]))/_xlfn.XLOOKUP(fSales[[#This Row],[ProductID]],dProduct[ProductID],dProduct[CratePrice])</f>
        <v>0.42000000000000004</v>
      </c>
      <c r="N19" t="str">
        <f>_xlfn.XLOOKUP(fSales[[#This Row],[SalesRepID]],dPSalesRep[SalesRepID],dPSalesRep[SalesRep])</f>
        <v>Smitty Rad</v>
      </c>
      <c r="O19" t="str">
        <f>_xlfn.XLOOKUP(fSales[[#This Row],[SalesRepID]],dPSalesRep[SalesRepID],dPSalesRep[Region])</f>
        <v>MidWest</v>
      </c>
      <c r="P19" t="str">
        <f>_xlfn.XLOOKUP(fSales[[#This Row],[ProductID]],dProduct[ProductID],dProduct[Product])</f>
        <v>Cherry</v>
      </c>
      <c r="Q19">
        <f>_xlfn.XLOOKUP(fSales[[#This Row],[ProductID]],dProduct[ProductID],dProduct[CratePrice])-_xlfn.XLOOKUP(fSales[[#This Row],[ProductID]],dProduct[ProductID],dProduct[CrateCost])</f>
        <v>18.354000000000003</v>
      </c>
      <c r="R19">
        <f>_xlfn.XLOOKUP(fSales[[#This Row],[ProductID]],dProduct[ProductID],dProduct[CratePrice])</f>
        <v>43.7</v>
      </c>
      <c r="S19">
        <f>_xlfn.XLOOKUP(fSales[[#This Row],[ProductID]],dProduct[ProductID],dProduct[CrateCost])</f>
        <v>25.346</v>
      </c>
      <c r="AD19" s="6">
        <f>GETPIVOTDATA("profit",$AD$16)</f>
        <v>2314346.8439999986</v>
      </c>
      <c r="AF19">
        <v>2314346.8439999986</v>
      </c>
      <c r="AG19" s="5" t="s">
        <v>35</v>
      </c>
      <c r="AH19">
        <v>0.32999999999999996</v>
      </c>
    </row>
    <row r="20" spans="2:34" x14ac:dyDescent="0.25">
      <c r="G20" s="2">
        <v>45301</v>
      </c>
      <c r="H20">
        <v>132</v>
      </c>
      <c r="I20" t="s">
        <v>34</v>
      </c>
      <c r="J20" t="s">
        <v>37</v>
      </c>
      <c r="K20">
        <f>_xlfn.XLOOKUP(fSales[[#This Row],[ProductID]],dProduct[ProductID],dProduct[CratePrice])*fSales[[#This Row],[Units]]</f>
        <v>2310</v>
      </c>
      <c r="L20">
        <f>fSales[[#This Row],[Total sales]]-_xlfn.XLOOKUP(fSales[[#This Row],[ProductID]],dProduct[ProductID],dProduct[CrateCost])*fSales[[#This Row],[Units]]</f>
        <v>762.29999999999973</v>
      </c>
      <c r="M20">
        <f>(_xlfn.XLOOKUP(fSales[[#This Row],[ProductID]],dProduct[ProductID],dProduct[CratePrice])-_xlfn.XLOOKUP(fSales[[#This Row],[ProductID]],dProduct[ProductID],dProduct[CrateCost]))/_xlfn.XLOOKUP(fSales[[#This Row],[ProductID]],dProduct[ProductID],dProduct[CratePrice])</f>
        <v>0.3299999999999999</v>
      </c>
      <c r="N20" t="str">
        <f>_xlfn.XLOOKUP(fSales[[#This Row],[SalesRepID]],dPSalesRep[SalesRepID],dPSalesRep[SalesRep])</f>
        <v>Chantel Mims</v>
      </c>
      <c r="O20" t="str">
        <f>_xlfn.XLOOKUP(fSales[[#This Row],[SalesRepID]],dPSalesRep[SalesRepID],dPSalesRep[Region])</f>
        <v>NW</v>
      </c>
      <c r="P20" t="str">
        <f>_xlfn.XLOOKUP(fSales[[#This Row],[ProductID]],dProduct[ProductID],dProduct[Product])</f>
        <v>Banana</v>
      </c>
      <c r="Q20">
        <f>_xlfn.XLOOKUP(fSales[[#This Row],[ProductID]],dProduct[ProductID],dProduct[CratePrice])-_xlfn.XLOOKUP(fSales[[#This Row],[ProductID]],dProduct[ProductID],dProduct[CrateCost])</f>
        <v>5.7749999999999986</v>
      </c>
      <c r="R20">
        <f>_xlfn.XLOOKUP(fSales[[#This Row],[ProductID]],dProduct[ProductID],dProduct[CratePrice])</f>
        <v>17.5</v>
      </c>
      <c r="S20">
        <f>_xlfn.XLOOKUP(fSales[[#This Row],[ProductID]],dProduct[ProductID],dProduct[CrateCost])</f>
        <v>11.725000000000001</v>
      </c>
      <c r="AG20" s="5" t="s">
        <v>55</v>
      </c>
      <c r="AH20">
        <v>0.44772046047861208</v>
      </c>
    </row>
    <row r="21" spans="2:34" x14ac:dyDescent="0.25">
      <c r="G21" s="2">
        <v>45303</v>
      </c>
      <c r="H21">
        <v>24</v>
      </c>
      <c r="I21" t="s">
        <v>26</v>
      </c>
      <c r="J21" t="s">
        <v>22</v>
      </c>
      <c r="K21">
        <f>_xlfn.XLOOKUP(fSales[[#This Row],[ProductID]],dProduct[ProductID],dProduct[CratePrice])*fSales[[#This Row],[Units]]</f>
        <v>714</v>
      </c>
      <c r="L21">
        <f>fSales[[#This Row],[Total sales]]-_xlfn.XLOOKUP(fSales[[#This Row],[ProductID]],dProduct[ProductID],dProduct[CrateCost])*fSales[[#This Row],[Units]]</f>
        <v>299.88</v>
      </c>
      <c r="M21">
        <f>(_xlfn.XLOOKUP(fSales[[#This Row],[ProductID]],dProduct[ProductID],dProduct[CratePrice])-_xlfn.XLOOKUP(fSales[[#This Row],[ProductID]],dProduct[ProductID],dProduct[CrateCost]))/_xlfn.XLOOKUP(fSales[[#This Row],[ProductID]],dProduct[ProductID],dProduct[CratePrice])</f>
        <v>0.42000000000000004</v>
      </c>
      <c r="N21" t="str">
        <f>_xlfn.XLOOKUP(fSales[[#This Row],[SalesRepID]],dPSalesRep[SalesRepID],dPSalesRep[SalesRep])</f>
        <v>Timmy Kips</v>
      </c>
      <c r="O21" t="str">
        <f>_xlfn.XLOOKUP(fSales[[#This Row],[SalesRepID]],dPSalesRep[SalesRepID],dPSalesRep[Region])</f>
        <v>East</v>
      </c>
      <c r="P21" t="str">
        <f>_xlfn.XLOOKUP(fSales[[#This Row],[ProductID]],dProduct[ProductID],dProduct[Product])</f>
        <v>Orange</v>
      </c>
      <c r="Q21">
        <f>_xlfn.XLOOKUP(fSales[[#This Row],[ProductID]],dProduct[ProductID],dProduct[CratePrice])-_xlfn.XLOOKUP(fSales[[#This Row],[ProductID]],dProduct[ProductID],dProduct[CrateCost])</f>
        <v>12.495000000000001</v>
      </c>
      <c r="R21">
        <f>_xlfn.XLOOKUP(fSales[[#This Row],[ProductID]],dProduct[ProductID],dProduct[CratePrice])</f>
        <v>29.75</v>
      </c>
      <c r="S21">
        <f>_xlfn.XLOOKUP(fSales[[#This Row],[ProductID]],dProduct[ProductID],dProduct[CrateCost])</f>
        <v>17.254999999999999</v>
      </c>
    </row>
    <row r="22" spans="2:34" x14ac:dyDescent="0.25">
      <c r="G22" s="2">
        <v>45304</v>
      </c>
      <c r="H22">
        <v>168</v>
      </c>
      <c r="I22" t="s">
        <v>28</v>
      </c>
      <c r="J22" t="s">
        <v>29</v>
      </c>
      <c r="K22">
        <f>_xlfn.XLOOKUP(fSales[[#This Row],[ProductID]],dProduct[ProductID],dProduct[CratePrice])*fSales[[#This Row],[Units]]</f>
        <v>7341.6</v>
      </c>
      <c r="L22">
        <f>fSales[[#This Row],[Total sales]]-_xlfn.XLOOKUP(fSales[[#This Row],[ProductID]],dProduct[ProductID],dProduct[CrateCost])*fSales[[#This Row],[Units]]</f>
        <v>3083.4720000000007</v>
      </c>
      <c r="M22">
        <f>(_xlfn.XLOOKUP(fSales[[#This Row],[ProductID]],dProduct[ProductID],dProduct[CratePrice])-_xlfn.XLOOKUP(fSales[[#This Row],[ProductID]],dProduct[ProductID],dProduct[CrateCost]))/_xlfn.XLOOKUP(fSales[[#This Row],[ProductID]],dProduct[ProductID],dProduct[CratePrice])</f>
        <v>0.42000000000000004</v>
      </c>
      <c r="N22" t="str">
        <f>_xlfn.XLOOKUP(fSales[[#This Row],[SalesRepID]],dPSalesRep[SalesRepID],dPSalesRep[SalesRep])</f>
        <v>Sioux Best</v>
      </c>
      <c r="O22" t="str">
        <f>_xlfn.XLOOKUP(fSales[[#This Row],[SalesRepID]],dPSalesRep[SalesRepID],dPSalesRep[Region])</f>
        <v>West</v>
      </c>
      <c r="P22" t="str">
        <f>_xlfn.XLOOKUP(fSales[[#This Row],[ProductID]],dProduct[ProductID],dProduct[Product])</f>
        <v>Cherry</v>
      </c>
      <c r="Q22">
        <f>_xlfn.XLOOKUP(fSales[[#This Row],[ProductID]],dProduct[ProductID],dProduct[CratePrice])-_xlfn.XLOOKUP(fSales[[#This Row],[ProductID]],dProduct[ProductID],dProduct[CrateCost])</f>
        <v>18.354000000000003</v>
      </c>
      <c r="R22">
        <f>_xlfn.XLOOKUP(fSales[[#This Row],[ProductID]],dProduct[ProductID],dProduct[CratePrice])</f>
        <v>43.7</v>
      </c>
      <c r="S22">
        <f>_xlfn.XLOOKUP(fSales[[#This Row],[ProductID]],dProduct[ProductID],dProduct[CrateCost])</f>
        <v>25.346</v>
      </c>
      <c r="AA22" s="7"/>
      <c r="AB22" s="8"/>
      <c r="AC22" s="9"/>
    </row>
    <row r="23" spans="2:34" x14ac:dyDescent="0.25">
      <c r="G23" s="2">
        <v>45305</v>
      </c>
      <c r="H23">
        <v>96</v>
      </c>
      <c r="I23" t="s">
        <v>19</v>
      </c>
      <c r="J23" t="s">
        <v>37</v>
      </c>
      <c r="K23">
        <f>_xlfn.XLOOKUP(fSales[[#This Row],[ProductID]],dProduct[ProductID],dProduct[CratePrice])*fSales[[#This Row],[Units]]</f>
        <v>3360</v>
      </c>
      <c r="L23">
        <f>fSales[[#This Row],[Total sales]]-_xlfn.XLOOKUP(fSales[[#This Row],[ProductID]],dProduct[ProductID],dProduct[CrateCost])*fSales[[#This Row],[Units]]</f>
        <v>1881.6</v>
      </c>
      <c r="M23">
        <f>(_xlfn.XLOOKUP(fSales[[#This Row],[ProductID]],dProduct[ProductID],dProduct[CratePrice])-_xlfn.XLOOKUP(fSales[[#This Row],[ProductID]],dProduct[ProductID],dProduct[CrateCost]))/_xlfn.XLOOKUP(fSales[[#This Row],[ProductID]],dProduct[ProductID],dProduct[CratePrice])</f>
        <v>0.56000000000000005</v>
      </c>
      <c r="N23" t="str">
        <f>_xlfn.XLOOKUP(fSales[[#This Row],[SalesRepID]],dPSalesRep[SalesRepID],dPSalesRep[SalesRep])</f>
        <v>Chantel Mims</v>
      </c>
      <c r="O23" t="str">
        <f>_xlfn.XLOOKUP(fSales[[#This Row],[SalesRepID]],dPSalesRep[SalesRepID],dPSalesRep[Region])</f>
        <v>NW</v>
      </c>
      <c r="P23" t="str">
        <f>_xlfn.XLOOKUP(fSales[[#This Row],[ProductID]],dProduct[ProductID],dProduct[Product])</f>
        <v>Apple</v>
      </c>
      <c r="Q23">
        <f>_xlfn.XLOOKUP(fSales[[#This Row],[ProductID]],dProduct[ProductID],dProduct[CratePrice])-_xlfn.XLOOKUP(fSales[[#This Row],[ProductID]],dProduct[ProductID],dProduct[CrateCost])</f>
        <v>19.600000000000001</v>
      </c>
      <c r="R23">
        <f>_xlfn.XLOOKUP(fSales[[#This Row],[ProductID]],dProduct[ProductID],dProduct[CratePrice])</f>
        <v>35</v>
      </c>
      <c r="S23">
        <f>_xlfn.XLOOKUP(fSales[[#This Row],[ProductID]],dProduct[ProductID],dProduct[CrateCost])</f>
        <v>15.4</v>
      </c>
      <c r="AA23" s="10"/>
      <c r="AB23" s="11"/>
      <c r="AC23" s="12"/>
      <c r="AE23" t="s">
        <v>56</v>
      </c>
    </row>
    <row r="24" spans="2:34" x14ac:dyDescent="0.25">
      <c r="G24" s="2">
        <v>45306</v>
      </c>
      <c r="H24">
        <v>168</v>
      </c>
      <c r="I24" t="s">
        <v>28</v>
      </c>
      <c r="J24" t="s">
        <v>37</v>
      </c>
      <c r="K24">
        <f>_xlfn.XLOOKUP(fSales[[#This Row],[ProductID]],dProduct[ProductID],dProduct[CratePrice])*fSales[[#This Row],[Units]]</f>
        <v>7341.6</v>
      </c>
      <c r="L24">
        <f>fSales[[#This Row],[Total sales]]-_xlfn.XLOOKUP(fSales[[#This Row],[ProductID]],dProduct[ProductID],dProduct[CrateCost])*fSales[[#This Row],[Units]]</f>
        <v>3083.4720000000007</v>
      </c>
      <c r="M24">
        <f>(_xlfn.XLOOKUP(fSales[[#This Row],[ProductID]],dProduct[ProductID],dProduct[CratePrice])-_xlfn.XLOOKUP(fSales[[#This Row],[ProductID]],dProduct[ProductID],dProduct[CrateCost]))/_xlfn.XLOOKUP(fSales[[#This Row],[ProductID]],dProduct[ProductID],dProduct[CratePrice])</f>
        <v>0.42000000000000004</v>
      </c>
      <c r="N24" t="str">
        <f>_xlfn.XLOOKUP(fSales[[#This Row],[SalesRepID]],dPSalesRep[SalesRepID],dPSalesRep[SalesRep])</f>
        <v>Chantel Mims</v>
      </c>
      <c r="O24" t="str">
        <f>_xlfn.XLOOKUP(fSales[[#This Row],[SalesRepID]],dPSalesRep[SalesRepID],dPSalesRep[Region])</f>
        <v>NW</v>
      </c>
      <c r="P24" t="str">
        <f>_xlfn.XLOOKUP(fSales[[#This Row],[ProductID]],dProduct[ProductID],dProduct[Product])</f>
        <v>Cherry</v>
      </c>
      <c r="Q24">
        <f>_xlfn.XLOOKUP(fSales[[#This Row],[ProductID]],dProduct[ProductID],dProduct[CratePrice])-_xlfn.XLOOKUP(fSales[[#This Row],[ProductID]],dProduct[ProductID],dProduct[CrateCost])</f>
        <v>18.354000000000003</v>
      </c>
      <c r="R24">
        <f>_xlfn.XLOOKUP(fSales[[#This Row],[ProductID]],dProduct[ProductID],dProduct[CratePrice])</f>
        <v>43.7</v>
      </c>
      <c r="S24">
        <f>_xlfn.XLOOKUP(fSales[[#This Row],[ProductID]],dProduct[ProductID],dProduct[CrateCost])</f>
        <v>25.346</v>
      </c>
      <c r="AA24" s="10"/>
      <c r="AB24" s="11"/>
      <c r="AC24" s="12"/>
      <c r="AE24" t="s">
        <v>39</v>
      </c>
      <c r="AF24" t="s">
        <v>56</v>
      </c>
    </row>
    <row r="25" spans="2:34" x14ac:dyDescent="0.25">
      <c r="G25" s="2">
        <v>45306</v>
      </c>
      <c r="H25">
        <v>252</v>
      </c>
      <c r="I25" t="s">
        <v>28</v>
      </c>
      <c r="J25" t="s">
        <v>52</v>
      </c>
      <c r="K25">
        <f>_xlfn.XLOOKUP(fSales[[#This Row],[ProductID]],dProduct[ProductID],dProduct[CratePrice])*fSales[[#This Row],[Units]]</f>
        <v>11012.400000000001</v>
      </c>
      <c r="L25">
        <f>fSales[[#This Row],[Total sales]]-_xlfn.XLOOKUP(fSales[[#This Row],[ProductID]],dProduct[ProductID],dProduct[CrateCost])*fSales[[#This Row],[Units]]</f>
        <v>4625.2080000000014</v>
      </c>
      <c r="M25">
        <f>(_xlfn.XLOOKUP(fSales[[#This Row],[ProductID]],dProduct[ProductID],dProduct[CratePrice])-_xlfn.XLOOKUP(fSales[[#This Row],[ProductID]],dProduct[ProductID],dProduct[CrateCost]))/_xlfn.XLOOKUP(fSales[[#This Row],[ProductID]],dProduct[ProductID],dProduct[CratePrice])</f>
        <v>0.42000000000000004</v>
      </c>
      <c r="N25" t="str">
        <f>_xlfn.XLOOKUP(fSales[[#This Row],[SalesRepID]],dPSalesRep[SalesRepID],dPSalesRep[SalesRep])</f>
        <v>Smitty Rad</v>
      </c>
      <c r="O25" t="str">
        <f>_xlfn.XLOOKUP(fSales[[#This Row],[SalesRepID]],dPSalesRep[SalesRepID],dPSalesRep[Region])</f>
        <v>MidWest</v>
      </c>
      <c r="P25" t="str">
        <f>_xlfn.XLOOKUP(fSales[[#This Row],[ProductID]],dProduct[ProductID],dProduct[Product])</f>
        <v>Cherry</v>
      </c>
      <c r="Q25">
        <f>_xlfn.XLOOKUP(fSales[[#This Row],[ProductID]],dProduct[ProductID],dProduct[CratePrice])-_xlfn.XLOOKUP(fSales[[#This Row],[ProductID]],dProduct[ProductID],dProduct[CrateCost])</f>
        <v>18.354000000000003</v>
      </c>
      <c r="R25">
        <f>_xlfn.XLOOKUP(fSales[[#This Row],[ProductID]],dProduct[ProductID],dProduct[CratePrice])</f>
        <v>43.7</v>
      </c>
      <c r="S25">
        <f>_xlfn.XLOOKUP(fSales[[#This Row],[ProductID]],dProduct[ProductID],dProduct[CrateCost])</f>
        <v>25.346</v>
      </c>
      <c r="V25" t="s">
        <v>39</v>
      </c>
      <c r="W25" t="s">
        <v>40</v>
      </c>
      <c r="X25" t="s">
        <v>41</v>
      </c>
      <c r="Y25" t="s">
        <v>42</v>
      </c>
      <c r="AA25" s="10"/>
      <c r="AB25" s="11"/>
      <c r="AC25" s="12"/>
      <c r="AE25" s="5" t="s">
        <v>20</v>
      </c>
      <c r="AF25">
        <v>1260420</v>
      </c>
    </row>
    <row r="26" spans="2:34" x14ac:dyDescent="0.25">
      <c r="G26" s="2">
        <v>45307</v>
      </c>
      <c r="H26">
        <v>264</v>
      </c>
      <c r="I26" t="s">
        <v>26</v>
      </c>
      <c r="J26" t="s">
        <v>32</v>
      </c>
      <c r="K26">
        <f>_xlfn.XLOOKUP(fSales[[#This Row],[ProductID]],dProduct[ProductID],dProduct[CratePrice])*fSales[[#This Row],[Units]]</f>
        <v>7854</v>
      </c>
      <c r="L26">
        <f>fSales[[#This Row],[Total sales]]-_xlfn.XLOOKUP(fSales[[#This Row],[ProductID]],dProduct[ProductID],dProduct[CrateCost])*fSales[[#This Row],[Units]]</f>
        <v>3298.6800000000003</v>
      </c>
      <c r="M26">
        <f>(_xlfn.XLOOKUP(fSales[[#This Row],[ProductID]],dProduct[ProductID],dProduct[CratePrice])-_xlfn.XLOOKUP(fSales[[#This Row],[ProductID]],dProduct[ProductID],dProduct[CrateCost]))/_xlfn.XLOOKUP(fSales[[#This Row],[ProductID]],dProduct[ProductID],dProduct[CratePrice])</f>
        <v>0.42000000000000004</v>
      </c>
      <c r="N26" t="str">
        <f>_xlfn.XLOOKUP(fSales[[#This Row],[SalesRepID]],dPSalesRep[SalesRepID],dPSalesRep[SalesRep])</f>
        <v>Shihara Fazzaa</v>
      </c>
      <c r="O26" t="str">
        <f>_xlfn.XLOOKUP(fSales[[#This Row],[SalesRepID]],dPSalesRep[SalesRepID],dPSalesRep[Region])</f>
        <v>East</v>
      </c>
      <c r="P26" t="str">
        <f>_xlfn.XLOOKUP(fSales[[#This Row],[ProductID]],dProduct[ProductID],dProduct[Product])</f>
        <v>Orange</v>
      </c>
      <c r="Q26">
        <f>_xlfn.XLOOKUP(fSales[[#This Row],[ProductID]],dProduct[ProductID],dProduct[CratePrice])-_xlfn.XLOOKUP(fSales[[#This Row],[ProductID]],dProduct[ProductID],dProduct[CrateCost])</f>
        <v>12.495000000000001</v>
      </c>
      <c r="R26">
        <f>_xlfn.XLOOKUP(fSales[[#This Row],[ProductID]],dProduct[ProductID],dProduct[CratePrice])</f>
        <v>29.75</v>
      </c>
      <c r="S26">
        <f>_xlfn.XLOOKUP(fSales[[#This Row],[ProductID]],dProduct[ProductID],dProduct[CrateCost])</f>
        <v>17.254999999999999</v>
      </c>
      <c r="V26" s="5" t="s">
        <v>47</v>
      </c>
      <c r="W26">
        <v>34812</v>
      </c>
      <c r="X26">
        <v>1026594.0000000001</v>
      </c>
      <c r="Y26">
        <v>452549.58000000019</v>
      </c>
      <c r="AA26" s="10"/>
      <c r="AB26" s="11"/>
      <c r="AC26" s="12"/>
      <c r="AE26" s="5" t="s">
        <v>35</v>
      </c>
      <c r="AF26">
        <v>548940</v>
      </c>
    </row>
    <row r="27" spans="2:34" x14ac:dyDescent="0.25">
      <c r="G27" s="2">
        <v>45307</v>
      </c>
      <c r="H27">
        <v>72</v>
      </c>
      <c r="I27" t="s">
        <v>26</v>
      </c>
      <c r="J27" t="s">
        <v>52</v>
      </c>
      <c r="K27">
        <f>_xlfn.XLOOKUP(fSales[[#This Row],[ProductID]],dProduct[ProductID],dProduct[CratePrice])*fSales[[#This Row],[Units]]</f>
        <v>2142</v>
      </c>
      <c r="L27">
        <f>fSales[[#This Row],[Total sales]]-_xlfn.XLOOKUP(fSales[[#This Row],[ProductID]],dProduct[ProductID],dProduct[CrateCost])*fSales[[#This Row],[Units]]</f>
        <v>899.6400000000001</v>
      </c>
      <c r="M27">
        <f>(_xlfn.XLOOKUP(fSales[[#This Row],[ProductID]],dProduct[ProductID],dProduct[CratePrice])-_xlfn.XLOOKUP(fSales[[#This Row],[ProductID]],dProduct[ProductID],dProduct[CrateCost]))/_xlfn.XLOOKUP(fSales[[#This Row],[ProductID]],dProduct[ProductID],dProduct[CratePrice])</f>
        <v>0.42000000000000004</v>
      </c>
      <c r="N27" t="str">
        <f>_xlfn.XLOOKUP(fSales[[#This Row],[SalesRepID]],dPSalesRep[SalesRepID],dPSalesRep[SalesRep])</f>
        <v>Smitty Rad</v>
      </c>
      <c r="O27" t="str">
        <f>_xlfn.XLOOKUP(fSales[[#This Row],[SalesRepID]],dPSalesRep[SalesRepID],dPSalesRep[Region])</f>
        <v>MidWest</v>
      </c>
      <c r="P27" t="str">
        <f>_xlfn.XLOOKUP(fSales[[#This Row],[ProductID]],dProduct[ProductID],dProduct[Product])</f>
        <v>Orange</v>
      </c>
      <c r="Q27">
        <f>_xlfn.XLOOKUP(fSales[[#This Row],[ProductID]],dProduct[ProductID],dProduct[CratePrice])-_xlfn.XLOOKUP(fSales[[#This Row],[ProductID]],dProduct[ProductID],dProduct[CrateCost])</f>
        <v>12.495000000000001</v>
      </c>
      <c r="R27">
        <f>_xlfn.XLOOKUP(fSales[[#This Row],[ProductID]],dProduct[ProductID],dProduct[CratePrice])</f>
        <v>29.75</v>
      </c>
      <c r="S27">
        <f>_xlfn.XLOOKUP(fSales[[#This Row],[ProductID]],dProduct[ProductID],dProduct[CrateCost])</f>
        <v>17.254999999999999</v>
      </c>
      <c r="V27" s="5" t="s">
        <v>49</v>
      </c>
      <c r="W27">
        <v>36924</v>
      </c>
      <c r="X27">
        <v>1119340.2000000002</v>
      </c>
      <c r="Y27">
        <v>517332.98399999965</v>
      </c>
      <c r="AA27" s="10"/>
      <c r="AB27" s="11"/>
      <c r="AC27" s="12"/>
      <c r="AE27" s="5" t="s">
        <v>36</v>
      </c>
      <c r="AF27">
        <v>1635079.2000000009</v>
      </c>
    </row>
    <row r="28" spans="2:34" x14ac:dyDescent="0.25">
      <c r="G28" s="2">
        <v>45307</v>
      </c>
      <c r="H28">
        <v>192</v>
      </c>
      <c r="I28" t="s">
        <v>34</v>
      </c>
      <c r="J28" t="s">
        <v>29</v>
      </c>
      <c r="K28">
        <f>_xlfn.XLOOKUP(fSales[[#This Row],[ProductID]],dProduct[ProductID],dProduct[CratePrice])*fSales[[#This Row],[Units]]</f>
        <v>3360</v>
      </c>
      <c r="L28">
        <f>fSales[[#This Row],[Total sales]]-_xlfn.XLOOKUP(fSales[[#This Row],[ProductID]],dProduct[ProductID],dProduct[CrateCost])*fSales[[#This Row],[Units]]</f>
        <v>1108.7999999999997</v>
      </c>
      <c r="M28">
        <f>(_xlfn.XLOOKUP(fSales[[#This Row],[ProductID]],dProduct[ProductID],dProduct[CratePrice])-_xlfn.XLOOKUP(fSales[[#This Row],[ProductID]],dProduct[ProductID],dProduct[CrateCost]))/_xlfn.XLOOKUP(fSales[[#This Row],[ProductID]],dProduct[ProductID],dProduct[CratePrice])</f>
        <v>0.3299999999999999</v>
      </c>
      <c r="N28" t="str">
        <f>_xlfn.XLOOKUP(fSales[[#This Row],[SalesRepID]],dPSalesRep[SalesRepID],dPSalesRep[SalesRep])</f>
        <v>Sioux Best</v>
      </c>
      <c r="O28" t="str">
        <f>_xlfn.XLOOKUP(fSales[[#This Row],[SalesRepID]],dPSalesRep[SalesRepID],dPSalesRep[Region])</f>
        <v>West</v>
      </c>
      <c r="P28" t="str">
        <f>_xlfn.XLOOKUP(fSales[[#This Row],[ProductID]],dProduct[ProductID],dProduct[Product])</f>
        <v>Banana</v>
      </c>
      <c r="Q28">
        <f>_xlfn.XLOOKUP(fSales[[#This Row],[ProductID]],dProduct[ProductID],dProduct[CratePrice])-_xlfn.XLOOKUP(fSales[[#This Row],[ProductID]],dProduct[ProductID],dProduct[CrateCost])</f>
        <v>5.7749999999999986</v>
      </c>
      <c r="R28">
        <f>_xlfn.XLOOKUP(fSales[[#This Row],[ProductID]],dProduct[ProductID],dProduct[CratePrice])</f>
        <v>17.5</v>
      </c>
      <c r="S28">
        <f>_xlfn.XLOOKUP(fSales[[#This Row],[ProductID]],dProduct[ProductID],dProduct[CrateCost])</f>
        <v>11.725000000000001</v>
      </c>
      <c r="V28" s="5" t="s">
        <v>44</v>
      </c>
      <c r="W28">
        <v>31116</v>
      </c>
      <c r="X28">
        <v>929926.20000000054</v>
      </c>
      <c r="Y28">
        <v>407291.30399999983</v>
      </c>
      <c r="AA28" s="10"/>
      <c r="AB28" s="11"/>
      <c r="AC28" s="12"/>
      <c r="AE28" s="5" t="s">
        <v>31</v>
      </c>
      <c r="AF28">
        <v>811890</v>
      </c>
    </row>
    <row r="29" spans="2:34" x14ac:dyDescent="0.25">
      <c r="G29" s="2">
        <v>45308</v>
      </c>
      <c r="H29">
        <v>144</v>
      </c>
      <c r="I29" t="s">
        <v>28</v>
      </c>
      <c r="J29" t="s">
        <v>52</v>
      </c>
      <c r="K29">
        <f>_xlfn.XLOOKUP(fSales[[#This Row],[ProductID]],dProduct[ProductID],dProduct[CratePrice])*fSales[[#This Row],[Units]]</f>
        <v>6292.8</v>
      </c>
      <c r="L29">
        <f>fSales[[#This Row],[Total sales]]-_xlfn.XLOOKUP(fSales[[#This Row],[ProductID]],dProduct[ProductID],dProduct[CrateCost])*fSales[[#This Row],[Units]]</f>
        <v>2642.9760000000001</v>
      </c>
      <c r="M29">
        <f>(_xlfn.XLOOKUP(fSales[[#This Row],[ProductID]],dProduct[ProductID],dProduct[CratePrice])-_xlfn.XLOOKUP(fSales[[#This Row],[ProductID]],dProduct[ProductID],dProduct[CrateCost]))/_xlfn.XLOOKUP(fSales[[#This Row],[ProductID]],dProduct[ProductID],dProduct[CratePrice])</f>
        <v>0.42000000000000004</v>
      </c>
      <c r="N29" t="str">
        <f>_xlfn.XLOOKUP(fSales[[#This Row],[SalesRepID]],dPSalesRep[SalesRepID],dPSalesRep[SalesRep])</f>
        <v>Smitty Rad</v>
      </c>
      <c r="O29" t="str">
        <f>_xlfn.XLOOKUP(fSales[[#This Row],[SalesRepID]],dPSalesRep[SalesRepID],dPSalesRep[Region])</f>
        <v>MidWest</v>
      </c>
      <c r="P29" t="str">
        <f>_xlfn.XLOOKUP(fSales[[#This Row],[ProductID]],dProduct[ProductID],dProduct[Product])</f>
        <v>Cherry</v>
      </c>
      <c r="Q29">
        <f>_xlfn.XLOOKUP(fSales[[#This Row],[ProductID]],dProduct[ProductID],dProduct[CratePrice])-_xlfn.XLOOKUP(fSales[[#This Row],[ProductID]],dProduct[ProductID],dProduct[CrateCost])</f>
        <v>18.354000000000003</v>
      </c>
      <c r="R29">
        <f>_xlfn.XLOOKUP(fSales[[#This Row],[ProductID]],dProduct[ProductID],dProduct[CratePrice])</f>
        <v>43.7</v>
      </c>
      <c r="S29">
        <f>_xlfn.XLOOKUP(fSales[[#This Row],[ProductID]],dProduct[ProductID],dProduct[CrateCost])</f>
        <v>25.346</v>
      </c>
      <c r="V29" s="5" t="s">
        <v>53</v>
      </c>
      <c r="W29">
        <v>32496</v>
      </c>
      <c r="X29">
        <v>1017236.4000000003</v>
      </c>
      <c r="Y29">
        <v>460703.98800000001</v>
      </c>
      <c r="AA29" s="10"/>
      <c r="AB29" s="11"/>
      <c r="AC29" s="12"/>
      <c r="AE29" s="5" t="s">
        <v>27</v>
      </c>
      <c r="AF29">
        <v>912849</v>
      </c>
    </row>
    <row r="30" spans="2:34" x14ac:dyDescent="0.25">
      <c r="G30" s="2">
        <v>45308</v>
      </c>
      <c r="H30">
        <v>60</v>
      </c>
      <c r="I30" t="s">
        <v>26</v>
      </c>
      <c r="J30" t="s">
        <v>32</v>
      </c>
      <c r="K30">
        <f>_xlfn.XLOOKUP(fSales[[#This Row],[ProductID]],dProduct[ProductID],dProduct[CratePrice])*fSales[[#This Row],[Units]]</f>
        <v>1785</v>
      </c>
      <c r="L30">
        <f>fSales[[#This Row],[Total sales]]-_xlfn.XLOOKUP(fSales[[#This Row],[ProductID]],dProduct[ProductID],dProduct[CrateCost])*fSales[[#This Row],[Units]]</f>
        <v>749.7</v>
      </c>
      <c r="M30">
        <f>(_xlfn.XLOOKUP(fSales[[#This Row],[ProductID]],dProduct[ProductID],dProduct[CratePrice])-_xlfn.XLOOKUP(fSales[[#This Row],[ProductID]],dProduct[ProductID],dProduct[CrateCost]))/_xlfn.XLOOKUP(fSales[[#This Row],[ProductID]],dProduct[ProductID],dProduct[CratePrice])</f>
        <v>0.42000000000000004</v>
      </c>
      <c r="N30" t="str">
        <f>_xlfn.XLOOKUP(fSales[[#This Row],[SalesRepID]],dPSalesRep[SalesRepID],dPSalesRep[SalesRep])</f>
        <v>Shihara Fazzaa</v>
      </c>
      <c r="O30" t="str">
        <f>_xlfn.XLOOKUP(fSales[[#This Row],[SalesRepID]],dPSalesRep[SalesRepID],dPSalesRep[Region])</f>
        <v>East</v>
      </c>
      <c r="P30" t="str">
        <f>_xlfn.XLOOKUP(fSales[[#This Row],[ProductID]],dProduct[ProductID],dProduct[Product])</f>
        <v>Orange</v>
      </c>
      <c r="Q30">
        <f>_xlfn.XLOOKUP(fSales[[#This Row],[ProductID]],dProduct[ProductID],dProduct[CratePrice])-_xlfn.XLOOKUP(fSales[[#This Row],[ProductID]],dProduct[ProductID],dProduct[CrateCost])</f>
        <v>12.495000000000001</v>
      </c>
      <c r="R30">
        <f>_xlfn.XLOOKUP(fSales[[#This Row],[ProductID]],dProduct[ProductID],dProduct[CratePrice])</f>
        <v>29.75</v>
      </c>
      <c r="S30">
        <f>_xlfn.XLOOKUP(fSales[[#This Row],[ProductID]],dProduct[ProductID],dProduct[CrateCost])</f>
        <v>17.254999999999999</v>
      </c>
      <c r="V30" s="5" t="s">
        <v>51</v>
      </c>
      <c r="W30">
        <v>36216</v>
      </c>
      <c r="X30">
        <v>1076081.3999999999</v>
      </c>
      <c r="Y30">
        <v>476468.98800000024</v>
      </c>
      <c r="AA30" s="10"/>
      <c r="AB30" s="11"/>
      <c r="AC30" s="12"/>
      <c r="AE30" s="5" t="s">
        <v>55</v>
      </c>
      <c r="AF30">
        <v>5169178.2000000011</v>
      </c>
    </row>
    <row r="31" spans="2:34" x14ac:dyDescent="0.25">
      <c r="G31" s="2">
        <v>45308</v>
      </c>
      <c r="H31">
        <v>180</v>
      </c>
      <c r="I31" t="s">
        <v>21</v>
      </c>
      <c r="J31" t="s">
        <v>22</v>
      </c>
      <c r="K31">
        <f>_xlfn.XLOOKUP(fSales[[#This Row],[ProductID]],dProduct[ProductID],dProduct[CratePrice])*fSales[[#This Row],[Units]]</f>
        <v>4050</v>
      </c>
      <c r="L31">
        <f>fSales[[#This Row],[Total sales]]-_xlfn.XLOOKUP(fSales[[#This Row],[ProductID]],dProduct[ProductID],dProduct[CrateCost])*fSales[[#This Row],[Units]]</f>
        <v>1781.9999999999995</v>
      </c>
      <c r="M31">
        <f>(_xlfn.XLOOKUP(fSales[[#This Row],[ProductID]],dProduct[ProductID],dProduct[CratePrice])-_xlfn.XLOOKUP(fSales[[#This Row],[ProductID]],dProduct[ProductID],dProduct[CrateCost]))/_xlfn.XLOOKUP(fSales[[#This Row],[ProductID]],dProduct[ProductID],dProduct[CratePrice])</f>
        <v>0.43999999999999995</v>
      </c>
      <c r="N31" t="str">
        <f>_xlfn.XLOOKUP(fSales[[#This Row],[SalesRepID]],dPSalesRep[SalesRepID],dPSalesRep[SalesRep])</f>
        <v>Timmy Kips</v>
      </c>
      <c r="O31" t="str">
        <f>_xlfn.XLOOKUP(fSales[[#This Row],[SalesRepID]],dPSalesRep[SalesRepID],dPSalesRep[Region])</f>
        <v>East</v>
      </c>
      <c r="P31" t="str">
        <f>_xlfn.XLOOKUP(fSales[[#This Row],[ProductID]],dProduct[ProductID],dProduct[Product])</f>
        <v>Kiwi</v>
      </c>
      <c r="Q31">
        <f>_xlfn.XLOOKUP(fSales[[#This Row],[ProductID]],dProduct[ProductID],dProduct[CratePrice])-_xlfn.XLOOKUP(fSales[[#This Row],[ProductID]],dProduct[ProductID],dProduct[CrateCost])</f>
        <v>9.8999999999999986</v>
      </c>
      <c r="R31">
        <f>_xlfn.XLOOKUP(fSales[[#This Row],[ProductID]],dProduct[ProductID],dProduct[CratePrice])</f>
        <v>22.5</v>
      </c>
      <c r="S31">
        <f>_xlfn.XLOOKUP(fSales[[#This Row],[ProductID]],dProduct[ProductID],dProduct[CrateCost])</f>
        <v>12.600000000000001</v>
      </c>
      <c r="V31" s="5" t="s">
        <v>55</v>
      </c>
      <c r="W31">
        <v>171564</v>
      </c>
      <c r="X31">
        <v>5169178.2000000011</v>
      </c>
      <c r="Y31">
        <v>2314346.844</v>
      </c>
      <c r="AA31" s="10"/>
      <c r="AB31" s="11"/>
      <c r="AC31" s="12"/>
    </row>
    <row r="32" spans="2:34" x14ac:dyDescent="0.25">
      <c r="G32" s="2">
        <v>45308</v>
      </c>
      <c r="H32">
        <v>48</v>
      </c>
      <c r="I32" t="s">
        <v>26</v>
      </c>
      <c r="J32" t="s">
        <v>32</v>
      </c>
      <c r="K32">
        <f>_xlfn.XLOOKUP(fSales[[#This Row],[ProductID]],dProduct[ProductID],dProduct[CratePrice])*fSales[[#This Row],[Units]]</f>
        <v>1428</v>
      </c>
      <c r="L32">
        <f>fSales[[#This Row],[Total sales]]-_xlfn.XLOOKUP(fSales[[#This Row],[ProductID]],dProduct[ProductID],dProduct[CrateCost])*fSales[[#This Row],[Units]]</f>
        <v>599.76</v>
      </c>
      <c r="M32">
        <f>(_xlfn.XLOOKUP(fSales[[#This Row],[ProductID]],dProduct[ProductID],dProduct[CratePrice])-_xlfn.XLOOKUP(fSales[[#This Row],[ProductID]],dProduct[ProductID],dProduct[CrateCost]))/_xlfn.XLOOKUP(fSales[[#This Row],[ProductID]],dProduct[ProductID],dProduct[CratePrice])</f>
        <v>0.42000000000000004</v>
      </c>
      <c r="N32" t="str">
        <f>_xlfn.XLOOKUP(fSales[[#This Row],[SalesRepID]],dPSalesRep[SalesRepID],dPSalesRep[SalesRep])</f>
        <v>Shihara Fazzaa</v>
      </c>
      <c r="O32" t="str">
        <f>_xlfn.XLOOKUP(fSales[[#This Row],[SalesRepID]],dPSalesRep[SalesRepID],dPSalesRep[Region])</f>
        <v>East</v>
      </c>
      <c r="P32" t="str">
        <f>_xlfn.XLOOKUP(fSales[[#This Row],[ProductID]],dProduct[ProductID],dProduct[Product])</f>
        <v>Orange</v>
      </c>
      <c r="Q32">
        <f>_xlfn.XLOOKUP(fSales[[#This Row],[ProductID]],dProduct[ProductID],dProduct[CratePrice])-_xlfn.XLOOKUP(fSales[[#This Row],[ProductID]],dProduct[ProductID],dProduct[CrateCost])</f>
        <v>12.495000000000001</v>
      </c>
      <c r="R32">
        <f>_xlfn.XLOOKUP(fSales[[#This Row],[ProductID]],dProduct[ProductID],dProduct[CratePrice])</f>
        <v>29.75</v>
      </c>
      <c r="S32">
        <f>_xlfn.XLOOKUP(fSales[[#This Row],[ProductID]],dProduct[ProductID],dProduct[CrateCost])</f>
        <v>17.254999999999999</v>
      </c>
      <c r="AA32" s="10"/>
      <c r="AB32" s="11"/>
      <c r="AC32" s="12"/>
    </row>
    <row r="33" spans="7:32" x14ac:dyDescent="0.25">
      <c r="G33" s="2">
        <v>45310</v>
      </c>
      <c r="H33">
        <v>84</v>
      </c>
      <c r="I33" t="s">
        <v>34</v>
      </c>
      <c r="J33" t="s">
        <v>37</v>
      </c>
      <c r="K33">
        <f>_xlfn.XLOOKUP(fSales[[#This Row],[ProductID]],dProduct[ProductID],dProduct[CratePrice])*fSales[[#This Row],[Units]]</f>
        <v>1470</v>
      </c>
      <c r="L33">
        <f>fSales[[#This Row],[Total sales]]-_xlfn.XLOOKUP(fSales[[#This Row],[ProductID]],dProduct[ProductID],dProduct[CrateCost])*fSales[[#This Row],[Units]]</f>
        <v>485.09999999999991</v>
      </c>
      <c r="M33">
        <f>(_xlfn.XLOOKUP(fSales[[#This Row],[ProductID]],dProduct[ProductID],dProduct[CratePrice])-_xlfn.XLOOKUP(fSales[[#This Row],[ProductID]],dProduct[ProductID],dProduct[CrateCost]))/_xlfn.XLOOKUP(fSales[[#This Row],[ProductID]],dProduct[ProductID],dProduct[CratePrice])</f>
        <v>0.3299999999999999</v>
      </c>
      <c r="N33" t="str">
        <f>_xlfn.XLOOKUP(fSales[[#This Row],[SalesRepID]],dPSalesRep[SalesRepID],dPSalesRep[SalesRep])</f>
        <v>Chantel Mims</v>
      </c>
      <c r="O33" t="str">
        <f>_xlfn.XLOOKUP(fSales[[#This Row],[SalesRepID]],dPSalesRep[SalesRepID],dPSalesRep[Region])</f>
        <v>NW</v>
      </c>
      <c r="P33" t="str">
        <f>_xlfn.XLOOKUP(fSales[[#This Row],[ProductID]],dProduct[ProductID],dProduct[Product])</f>
        <v>Banana</v>
      </c>
      <c r="Q33">
        <f>_xlfn.XLOOKUP(fSales[[#This Row],[ProductID]],dProduct[ProductID],dProduct[CratePrice])-_xlfn.XLOOKUP(fSales[[#This Row],[ProductID]],dProduct[ProductID],dProduct[CrateCost])</f>
        <v>5.7749999999999986</v>
      </c>
      <c r="R33">
        <f>_xlfn.XLOOKUP(fSales[[#This Row],[ProductID]],dProduct[ProductID],dProduct[CratePrice])</f>
        <v>17.5</v>
      </c>
      <c r="S33">
        <f>_xlfn.XLOOKUP(fSales[[#This Row],[ProductID]],dProduct[ProductID],dProduct[CrateCost])</f>
        <v>11.725000000000001</v>
      </c>
      <c r="AA33" s="10"/>
      <c r="AB33" s="11"/>
      <c r="AC33" s="12"/>
    </row>
    <row r="34" spans="7:32" x14ac:dyDescent="0.25">
      <c r="G34" s="2">
        <v>45310</v>
      </c>
      <c r="H34">
        <v>24</v>
      </c>
      <c r="I34" t="s">
        <v>34</v>
      </c>
      <c r="J34" t="s">
        <v>32</v>
      </c>
      <c r="K34">
        <f>_xlfn.XLOOKUP(fSales[[#This Row],[ProductID]],dProduct[ProductID],dProduct[CratePrice])*fSales[[#This Row],[Units]]</f>
        <v>420</v>
      </c>
      <c r="L34">
        <f>fSales[[#This Row],[Total sales]]-_xlfn.XLOOKUP(fSales[[#This Row],[ProductID]],dProduct[ProductID],dProduct[CrateCost])*fSales[[#This Row],[Units]]</f>
        <v>138.59999999999997</v>
      </c>
      <c r="M34">
        <f>(_xlfn.XLOOKUP(fSales[[#This Row],[ProductID]],dProduct[ProductID],dProduct[CratePrice])-_xlfn.XLOOKUP(fSales[[#This Row],[ProductID]],dProduct[ProductID],dProduct[CrateCost]))/_xlfn.XLOOKUP(fSales[[#This Row],[ProductID]],dProduct[ProductID],dProduct[CratePrice])</f>
        <v>0.3299999999999999</v>
      </c>
      <c r="N34" t="str">
        <f>_xlfn.XLOOKUP(fSales[[#This Row],[SalesRepID]],dPSalesRep[SalesRepID],dPSalesRep[SalesRep])</f>
        <v>Shihara Fazzaa</v>
      </c>
      <c r="O34" t="str">
        <f>_xlfn.XLOOKUP(fSales[[#This Row],[SalesRepID]],dPSalesRep[SalesRepID],dPSalesRep[Region])</f>
        <v>East</v>
      </c>
      <c r="P34" t="str">
        <f>_xlfn.XLOOKUP(fSales[[#This Row],[ProductID]],dProduct[ProductID],dProduct[Product])</f>
        <v>Banana</v>
      </c>
      <c r="Q34">
        <f>_xlfn.XLOOKUP(fSales[[#This Row],[ProductID]],dProduct[ProductID],dProduct[CratePrice])-_xlfn.XLOOKUP(fSales[[#This Row],[ProductID]],dProduct[ProductID],dProduct[CrateCost])</f>
        <v>5.7749999999999986</v>
      </c>
      <c r="R34">
        <f>_xlfn.XLOOKUP(fSales[[#This Row],[ProductID]],dProduct[ProductID],dProduct[CratePrice])</f>
        <v>17.5</v>
      </c>
      <c r="S34">
        <f>_xlfn.XLOOKUP(fSales[[#This Row],[ProductID]],dProduct[ProductID],dProduct[CrateCost])</f>
        <v>11.725000000000001</v>
      </c>
      <c r="AA34" s="10"/>
      <c r="AB34" s="11"/>
      <c r="AC34" s="12"/>
    </row>
    <row r="35" spans="7:32" x14ac:dyDescent="0.25">
      <c r="G35" s="2">
        <v>45312</v>
      </c>
      <c r="H35">
        <v>108</v>
      </c>
      <c r="I35" t="s">
        <v>21</v>
      </c>
      <c r="J35" t="s">
        <v>29</v>
      </c>
      <c r="K35">
        <f>_xlfn.XLOOKUP(fSales[[#This Row],[ProductID]],dProduct[ProductID],dProduct[CratePrice])*fSales[[#This Row],[Units]]</f>
        <v>2430</v>
      </c>
      <c r="L35">
        <f>fSales[[#This Row],[Total sales]]-_xlfn.XLOOKUP(fSales[[#This Row],[ProductID]],dProduct[ProductID],dProduct[CrateCost])*fSales[[#This Row],[Units]]</f>
        <v>1069.1999999999998</v>
      </c>
      <c r="M35">
        <f>(_xlfn.XLOOKUP(fSales[[#This Row],[ProductID]],dProduct[ProductID],dProduct[CratePrice])-_xlfn.XLOOKUP(fSales[[#This Row],[ProductID]],dProduct[ProductID],dProduct[CrateCost]))/_xlfn.XLOOKUP(fSales[[#This Row],[ProductID]],dProduct[ProductID],dProduct[CratePrice])</f>
        <v>0.43999999999999995</v>
      </c>
      <c r="N35" t="str">
        <f>_xlfn.XLOOKUP(fSales[[#This Row],[SalesRepID]],dPSalesRep[SalesRepID],dPSalesRep[SalesRep])</f>
        <v>Sioux Best</v>
      </c>
      <c r="O35" t="str">
        <f>_xlfn.XLOOKUP(fSales[[#This Row],[SalesRepID]],dPSalesRep[SalesRepID],dPSalesRep[Region])</f>
        <v>West</v>
      </c>
      <c r="P35" t="str">
        <f>_xlfn.XLOOKUP(fSales[[#This Row],[ProductID]],dProduct[ProductID],dProduct[Product])</f>
        <v>Kiwi</v>
      </c>
      <c r="Q35">
        <f>_xlfn.XLOOKUP(fSales[[#This Row],[ProductID]],dProduct[ProductID],dProduct[CratePrice])-_xlfn.XLOOKUP(fSales[[#This Row],[ProductID]],dProduct[ProductID],dProduct[CrateCost])</f>
        <v>9.8999999999999986</v>
      </c>
      <c r="R35">
        <f>_xlfn.XLOOKUP(fSales[[#This Row],[ProductID]],dProduct[ProductID],dProduct[CratePrice])</f>
        <v>22.5</v>
      </c>
      <c r="S35">
        <f>_xlfn.XLOOKUP(fSales[[#This Row],[ProductID]],dProduct[ProductID],dProduct[CrateCost])</f>
        <v>12.600000000000001</v>
      </c>
      <c r="AA35" s="10"/>
      <c r="AB35" s="11"/>
      <c r="AC35" s="12"/>
    </row>
    <row r="36" spans="7:32" x14ac:dyDescent="0.25">
      <c r="G36" s="2">
        <v>45315</v>
      </c>
      <c r="H36">
        <v>216</v>
      </c>
      <c r="I36" t="s">
        <v>34</v>
      </c>
      <c r="J36" t="s">
        <v>32</v>
      </c>
      <c r="K36">
        <f>_xlfn.XLOOKUP(fSales[[#This Row],[ProductID]],dProduct[ProductID],dProduct[CratePrice])*fSales[[#This Row],[Units]]</f>
        <v>3780</v>
      </c>
      <c r="L36">
        <f>fSales[[#This Row],[Total sales]]-_xlfn.XLOOKUP(fSales[[#This Row],[ProductID]],dProduct[ProductID],dProduct[CrateCost])*fSales[[#This Row],[Units]]</f>
        <v>1247.3999999999996</v>
      </c>
      <c r="M36">
        <f>(_xlfn.XLOOKUP(fSales[[#This Row],[ProductID]],dProduct[ProductID],dProduct[CratePrice])-_xlfn.XLOOKUP(fSales[[#This Row],[ProductID]],dProduct[ProductID],dProduct[CrateCost]))/_xlfn.XLOOKUP(fSales[[#This Row],[ProductID]],dProduct[ProductID],dProduct[CratePrice])</f>
        <v>0.3299999999999999</v>
      </c>
      <c r="N36" t="str">
        <f>_xlfn.XLOOKUP(fSales[[#This Row],[SalesRepID]],dPSalesRep[SalesRepID],dPSalesRep[SalesRep])</f>
        <v>Shihara Fazzaa</v>
      </c>
      <c r="O36" t="str">
        <f>_xlfn.XLOOKUP(fSales[[#This Row],[SalesRepID]],dPSalesRep[SalesRepID],dPSalesRep[Region])</f>
        <v>East</v>
      </c>
      <c r="P36" t="str">
        <f>_xlfn.XLOOKUP(fSales[[#This Row],[ProductID]],dProduct[ProductID],dProduct[Product])</f>
        <v>Banana</v>
      </c>
      <c r="Q36">
        <f>_xlfn.XLOOKUP(fSales[[#This Row],[ProductID]],dProduct[ProductID],dProduct[CratePrice])-_xlfn.XLOOKUP(fSales[[#This Row],[ProductID]],dProduct[ProductID],dProduct[CrateCost])</f>
        <v>5.7749999999999986</v>
      </c>
      <c r="R36">
        <f>_xlfn.XLOOKUP(fSales[[#This Row],[ProductID]],dProduct[ProductID],dProduct[CratePrice])</f>
        <v>17.5</v>
      </c>
      <c r="S36">
        <f>_xlfn.XLOOKUP(fSales[[#This Row],[ProductID]],dProduct[ProductID],dProduct[CrateCost])</f>
        <v>11.725000000000001</v>
      </c>
      <c r="AA36" s="10"/>
      <c r="AB36" s="11"/>
      <c r="AC36" s="12"/>
      <c r="AE36" t="s">
        <v>56</v>
      </c>
    </row>
    <row r="37" spans="7:32" x14ac:dyDescent="0.25">
      <c r="G37" s="2">
        <v>45315</v>
      </c>
      <c r="H37">
        <v>96</v>
      </c>
      <c r="I37" t="s">
        <v>28</v>
      </c>
      <c r="J37" t="s">
        <v>52</v>
      </c>
      <c r="K37">
        <f>_xlfn.XLOOKUP(fSales[[#This Row],[ProductID]],dProduct[ProductID],dProduct[CratePrice])*fSales[[#This Row],[Units]]</f>
        <v>4195.2000000000007</v>
      </c>
      <c r="L37">
        <f>fSales[[#This Row],[Total sales]]-_xlfn.XLOOKUP(fSales[[#This Row],[ProductID]],dProduct[ProductID],dProduct[CrateCost])*fSales[[#This Row],[Units]]</f>
        <v>1761.9840000000008</v>
      </c>
      <c r="M37">
        <f>(_xlfn.XLOOKUP(fSales[[#This Row],[ProductID]],dProduct[ProductID],dProduct[CratePrice])-_xlfn.XLOOKUP(fSales[[#This Row],[ProductID]],dProduct[ProductID],dProduct[CrateCost]))/_xlfn.XLOOKUP(fSales[[#This Row],[ProductID]],dProduct[ProductID],dProduct[CratePrice])</f>
        <v>0.42000000000000004</v>
      </c>
      <c r="N37" t="str">
        <f>_xlfn.XLOOKUP(fSales[[#This Row],[SalesRepID]],dPSalesRep[SalesRepID],dPSalesRep[SalesRep])</f>
        <v>Smitty Rad</v>
      </c>
      <c r="O37" t="str">
        <f>_xlfn.XLOOKUP(fSales[[#This Row],[SalesRepID]],dPSalesRep[SalesRepID],dPSalesRep[Region])</f>
        <v>MidWest</v>
      </c>
      <c r="P37" t="str">
        <f>_xlfn.XLOOKUP(fSales[[#This Row],[ProductID]],dProduct[ProductID],dProduct[Product])</f>
        <v>Cherry</v>
      </c>
      <c r="Q37">
        <f>_xlfn.XLOOKUP(fSales[[#This Row],[ProductID]],dProduct[ProductID],dProduct[CratePrice])-_xlfn.XLOOKUP(fSales[[#This Row],[ProductID]],dProduct[ProductID],dProduct[CrateCost])</f>
        <v>18.354000000000003</v>
      </c>
      <c r="R37">
        <f>_xlfn.XLOOKUP(fSales[[#This Row],[ProductID]],dProduct[ProductID],dProduct[CratePrice])</f>
        <v>43.7</v>
      </c>
      <c r="S37">
        <f>_xlfn.XLOOKUP(fSales[[#This Row],[ProductID]],dProduct[ProductID],dProduct[CrateCost])</f>
        <v>25.346</v>
      </c>
      <c r="AA37" s="10"/>
      <c r="AB37" s="11"/>
      <c r="AC37" s="12"/>
      <c r="AE37" t="s">
        <v>39</v>
      </c>
      <c r="AF37" t="s">
        <v>57</v>
      </c>
    </row>
    <row r="38" spans="7:32" x14ac:dyDescent="0.25">
      <c r="G38" s="2">
        <v>45315</v>
      </c>
      <c r="H38">
        <v>252</v>
      </c>
      <c r="I38" t="s">
        <v>21</v>
      </c>
      <c r="J38" t="s">
        <v>32</v>
      </c>
      <c r="K38">
        <f>_xlfn.XLOOKUP(fSales[[#This Row],[ProductID]],dProduct[ProductID],dProduct[CratePrice])*fSales[[#This Row],[Units]]</f>
        <v>5670</v>
      </c>
      <c r="L38">
        <f>fSales[[#This Row],[Total sales]]-_xlfn.XLOOKUP(fSales[[#This Row],[ProductID]],dProduct[ProductID],dProduct[CrateCost])*fSales[[#This Row],[Units]]</f>
        <v>2494.7999999999997</v>
      </c>
      <c r="M38">
        <f>(_xlfn.XLOOKUP(fSales[[#This Row],[ProductID]],dProduct[ProductID],dProduct[CratePrice])-_xlfn.XLOOKUP(fSales[[#This Row],[ProductID]],dProduct[ProductID],dProduct[CrateCost]))/_xlfn.XLOOKUP(fSales[[#This Row],[ProductID]],dProduct[ProductID],dProduct[CratePrice])</f>
        <v>0.43999999999999995</v>
      </c>
      <c r="N38" t="str">
        <f>_xlfn.XLOOKUP(fSales[[#This Row],[SalesRepID]],dPSalesRep[SalesRepID],dPSalesRep[SalesRep])</f>
        <v>Shihara Fazzaa</v>
      </c>
      <c r="O38" t="str">
        <f>_xlfn.XLOOKUP(fSales[[#This Row],[SalesRepID]],dPSalesRep[SalesRepID],dPSalesRep[Region])</f>
        <v>East</v>
      </c>
      <c r="P38" t="str">
        <f>_xlfn.XLOOKUP(fSales[[#This Row],[ProductID]],dProduct[ProductID],dProduct[Product])</f>
        <v>Kiwi</v>
      </c>
      <c r="Q38">
        <f>_xlfn.XLOOKUP(fSales[[#This Row],[ProductID]],dProduct[ProductID],dProduct[CratePrice])-_xlfn.XLOOKUP(fSales[[#This Row],[ProductID]],dProduct[ProductID],dProduct[CrateCost])</f>
        <v>9.8999999999999986</v>
      </c>
      <c r="R38">
        <f>_xlfn.XLOOKUP(fSales[[#This Row],[ProductID]],dProduct[ProductID],dProduct[CratePrice])</f>
        <v>22.5</v>
      </c>
      <c r="S38">
        <f>_xlfn.XLOOKUP(fSales[[#This Row],[ProductID]],dProduct[ProductID],dProduct[CrateCost])</f>
        <v>12.600000000000001</v>
      </c>
      <c r="V38" t="s">
        <v>39</v>
      </c>
      <c r="W38" t="s">
        <v>40</v>
      </c>
      <c r="X38" t="s">
        <v>41</v>
      </c>
      <c r="Y38" t="s">
        <v>42</v>
      </c>
      <c r="AA38" s="10"/>
      <c r="AB38" s="11"/>
      <c r="AC38" s="12"/>
      <c r="AE38" s="5" t="s">
        <v>47</v>
      </c>
      <c r="AF38">
        <v>1026594.0000000001</v>
      </c>
    </row>
    <row r="39" spans="7:32" x14ac:dyDescent="0.25">
      <c r="G39" s="2">
        <v>45318</v>
      </c>
      <c r="H39">
        <v>228</v>
      </c>
      <c r="I39" t="s">
        <v>19</v>
      </c>
      <c r="J39" t="s">
        <v>52</v>
      </c>
      <c r="K39">
        <f>_xlfn.XLOOKUP(fSales[[#This Row],[ProductID]],dProduct[ProductID],dProduct[CratePrice])*fSales[[#This Row],[Units]]</f>
        <v>7980</v>
      </c>
      <c r="L39">
        <f>fSales[[#This Row],[Total sales]]-_xlfn.XLOOKUP(fSales[[#This Row],[ProductID]],dProduct[ProductID],dProduct[CrateCost])*fSales[[#This Row],[Units]]</f>
        <v>4468.7999999999993</v>
      </c>
      <c r="M39">
        <f>(_xlfn.XLOOKUP(fSales[[#This Row],[ProductID]],dProduct[ProductID],dProduct[CratePrice])-_xlfn.XLOOKUP(fSales[[#This Row],[ProductID]],dProduct[ProductID],dProduct[CrateCost]))/_xlfn.XLOOKUP(fSales[[#This Row],[ProductID]],dProduct[ProductID],dProduct[CratePrice])</f>
        <v>0.56000000000000005</v>
      </c>
      <c r="N39" t="str">
        <f>_xlfn.XLOOKUP(fSales[[#This Row],[SalesRepID]],dPSalesRep[SalesRepID],dPSalesRep[SalesRep])</f>
        <v>Smitty Rad</v>
      </c>
      <c r="O39" t="str">
        <f>_xlfn.XLOOKUP(fSales[[#This Row],[SalesRepID]],dPSalesRep[SalesRepID],dPSalesRep[Region])</f>
        <v>MidWest</v>
      </c>
      <c r="P39" t="str">
        <f>_xlfn.XLOOKUP(fSales[[#This Row],[ProductID]],dProduct[ProductID],dProduct[Product])</f>
        <v>Apple</v>
      </c>
      <c r="Q39">
        <f>_xlfn.XLOOKUP(fSales[[#This Row],[ProductID]],dProduct[ProductID],dProduct[CratePrice])-_xlfn.XLOOKUP(fSales[[#This Row],[ProductID]],dProduct[ProductID],dProduct[CrateCost])</f>
        <v>19.600000000000001</v>
      </c>
      <c r="R39">
        <f>_xlfn.XLOOKUP(fSales[[#This Row],[ProductID]],dProduct[ProductID],dProduct[CratePrice])</f>
        <v>35</v>
      </c>
      <c r="S39">
        <f>_xlfn.XLOOKUP(fSales[[#This Row],[ProductID]],dProduct[ProductID],dProduct[CrateCost])</f>
        <v>15.4</v>
      </c>
      <c r="V39" s="5" t="s">
        <v>50</v>
      </c>
      <c r="W39">
        <v>73140</v>
      </c>
      <c r="X39">
        <v>2195421.6000000006</v>
      </c>
      <c r="Y39">
        <v>993801.97200000077</v>
      </c>
      <c r="AA39" s="13"/>
      <c r="AB39" s="14"/>
      <c r="AC39" s="15"/>
      <c r="AE39" s="5" t="s">
        <v>49</v>
      </c>
      <c r="AF39">
        <v>1119340.2000000002</v>
      </c>
    </row>
    <row r="40" spans="7:32" x14ac:dyDescent="0.25">
      <c r="G40" s="2">
        <v>45318</v>
      </c>
      <c r="H40">
        <v>204</v>
      </c>
      <c r="I40" t="s">
        <v>34</v>
      </c>
      <c r="J40" t="s">
        <v>22</v>
      </c>
      <c r="K40">
        <f>_xlfn.XLOOKUP(fSales[[#This Row],[ProductID]],dProduct[ProductID],dProduct[CratePrice])*fSales[[#This Row],[Units]]</f>
        <v>3570</v>
      </c>
      <c r="L40">
        <f>fSales[[#This Row],[Total sales]]-_xlfn.XLOOKUP(fSales[[#This Row],[ProductID]],dProduct[ProductID],dProduct[CrateCost])*fSales[[#This Row],[Units]]</f>
        <v>1178.0999999999999</v>
      </c>
      <c r="M40">
        <f>(_xlfn.XLOOKUP(fSales[[#This Row],[ProductID]],dProduct[ProductID],dProduct[CratePrice])-_xlfn.XLOOKUP(fSales[[#This Row],[ProductID]],dProduct[ProductID],dProduct[CrateCost]))/_xlfn.XLOOKUP(fSales[[#This Row],[ProductID]],dProduct[ProductID],dProduct[CratePrice])</f>
        <v>0.3299999999999999</v>
      </c>
      <c r="N40" t="str">
        <f>_xlfn.XLOOKUP(fSales[[#This Row],[SalesRepID]],dPSalesRep[SalesRepID],dPSalesRep[SalesRep])</f>
        <v>Timmy Kips</v>
      </c>
      <c r="O40" t="str">
        <f>_xlfn.XLOOKUP(fSales[[#This Row],[SalesRepID]],dPSalesRep[SalesRepID],dPSalesRep[Region])</f>
        <v>East</v>
      </c>
      <c r="P40" t="str">
        <f>_xlfn.XLOOKUP(fSales[[#This Row],[ProductID]],dProduct[ProductID],dProduct[Product])</f>
        <v>Banana</v>
      </c>
      <c r="Q40">
        <f>_xlfn.XLOOKUP(fSales[[#This Row],[ProductID]],dProduct[ProductID],dProduct[CratePrice])-_xlfn.XLOOKUP(fSales[[#This Row],[ProductID]],dProduct[ProductID],dProduct[CrateCost])</f>
        <v>5.7749999999999986</v>
      </c>
      <c r="R40">
        <f>_xlfn.XLOOKUP(fSales[[#This Row],[ProductID]],dProduct[ProductID],dProduct[CratePrice])</f>
        <v>17.5</v>
      </c>
      <c r="S40">
        <f>_xlfn.XLOOKUP(fSales[[#This Row],[ProductID]],dProduct[ProductID],dProduct[CrateCost])</f>
        <v>11.725000000000001</v>
      </c>
      <c r="V40" s="5" t="s">
        <v>54</v>
      </c>
      <c r="W40">
        <v>32496</v>
      </c>
      <c r="X40">
        <v>1017236.4000000003</v>
      </c>
      <c r="Y40">
        <v>460703.98800000001</v>
      </c>
      <c r="AE40" s="5" t="s">
        <v>44</v>
      </c>
      <c r="AF40">
        <v>929926.20000000054</v>
      </c>
    </row>
    <row r="41" spans="7:32" x14ac:dyDescent="0.25">
      <c r="G41" s="2">
        <v>45318</v>
      </c>
      <c r="H41">
        <v>96</v>
      </c>
      <c r="I41" t="s">
        <v>26</v>
      </c>
      <c r="J41" t="s">
        <v>32</v>
      </c>
      <c r="K41">
        <f>_xlfn.XLOOKUP(fSales[[#This Row],[ProductID]],dProduct[ProductID],dProduct[CratePrice])*fSales[[#This Row],[Units]]</f>
        <v>2856</v>
      </c>
      <c r="L41">
        <f>fSales[[#This Row],[Total sales]]-_xlfn.XLOOKUP(fSales[[#This Row],[ProductID]],dProduct[ProductID],dProduct[CrateCost])*fSales[[#This Row],[Units]]</f>
        <v>1199.52</v>
      </c>
      <c r="M41">
        <f>(_xlfn.XLOOKUP(fSales[[#This Row],[ProductID]],dProduct[ProductID],dProduct[CratePrice])-_xlfn.XLOOKUP(fSales[[#This Row],[ProductID]],dProduct[ProductID],dProduct[CrateCost]))/_xlfn.XLOOKUP(fSales[[#This Row],[ProductID]],dProduct[ProductID],dProduct[CratePrice])</f>
        <v>0.42000000000000004</v>
      </c>
      <c r="N41" t="str">
        <f>_xlfn.XLOOKUP(fSales[[#This Row],[SalesRepID]],dPSalesRep[SalesRepID],dPSalesRep[SalesRep])</f>
        <v>Shihara Fazzaa</v>
      </c>
      <c r="O41" t="str">
        <f>_xlfn.XLOOKUP(fSales[[#This Row],[SalesRepID]],dPSalesRep[SalesRepID],dPSalesRep[Region])</f>
        <v>East</v>
      </c>
      <c r="P41" t="str">
        <f>_xlfn.XLOOKUP(fSales[[#This Row],[ProductID]],dProduct[ProductID],dProduct[Product])</f>
        <v>Orange</v>
      </c>
      <c r="Q41">
        <f>_xlfn.XLOOKUP(fSales[[#This Row],[ProductID]],dProduct[ProductID],dProduct[CratePrice])-_xlfn.XLOOKUP(fSales[[#This Row],[ProductID]],dProduct[ProductID],dProduct[CrateCost])</f>
        <v>12.495000000000001</v>
      </c>
      <c r="R41">
        <f>_xlfn.XLOOKUP(fSales[[#This Row],[ProductID]],dProduct[ProductID],dProduct[CratePrice])</f>
        <v>29.75</v>
      </c>
      <c r="S41">
        <f>_xlfn.XLOOKUP(fSales[[#This Row],[ProductID]],dProduct[ProductID],dProduct[CrateCost])</f>
        <v>17.254999999999999</v>
      </c>
      <c r="V41" s="5" t="s">
        <v>48</v>
      </c>
      <c r="W41">
        <v>34812</v>
      </c>
      <c r="X41">
        <v>1026594.0000000001</v>
      </c>
      <c r="Y41">
        <v>452549.58000000019</v>
      </c>
      <c r="AE41" s="5" t="s">
        <v>53</v>
      </c>
      <c r="AF41">
        <v>1017236.4000000003</v>
      </c>
    </row>
    <row r="42" spans="7:32" x14ac:dyDescent="0.25">
      <c r="G42" s="2">
        <v>45319</v>
      </c>
      <c r="H42">
        <v>204</v>
      </c>
      <c r="I42" t="s">
        <v>26</v>
      </c>
      <c r="J42" t="s">
        <v>32</v>
      </c>
      <c r="K42">
        <f>_xlfn.XLOOKUP(fSales[[#This Row],[ProductID]],dProduct[ProductID],dProduct[CratePrice])*fSales[[#This Row],[Units]]</f>
        <v>6069</v>
      </c>
      <c r="L42">
        <f>fSales[[#This Row],[Total sales]]-_xlfn.XLOOKUP(fSales[[#This Row],[ProductID]],dProduct[ProductID],dProduct[CrateCost])*fSales[[#This Row],[Units]]</f>
        <v>2548.98</v>
      </c>
      <c r="M42">
        <f>(_xlfn.XLOOKUP(fSales[[#This Row],[ProductID]],dProduct[ProductID],dProduct[CratePrice])-_xlfn.XLOOKUP(fSales[[#This Row],[ProductID]],dProduct[ProductID],dProduct[CrateCost]))/_xlfn.XLOOKUP(fSales[[#This Row],[ProductID]],dProduct[ProductID],dProduct[CratePrice])</f>
        <v>0.42000000000000004</v>
      </c>
      <c r="N42" t="str">
        <f>_xlfn.XLOOKUP(fSales[[#This Row],[SalesRepID]],dPSalesRep[SalesRepID],dPSalesRep[SalesRep])</f>
        <v>Shihara Fazzaa</v>
      </c>
      <c r="O42" t="str">
        <f>_xlfn.XLOOKUP(fSales[[#This Row],[SalesRepID]],dPSalesRep[SalesRepID],dPSalesRep[Region])</f>
        <v>East</v>
      </c>
      <c r="P42" t="str">
        <f>_xlfn.XLOOKUP(fSales[[#This Row],[ProductID]],dProduct[ProductID],dProduct[Product])</f>
        <v>Orange</v>
      </c>
      <c r="Q42">
        <f>_xlfn.XLOOKUP(fSales[[#This Row],[ProductID]],dProduct[ProductID],dProduct[CratePrice])-_xlfn.XLOOKUP(fSales[[#This Row],[ProductID]],dProduct[ProductID],dProduct[CrateCost])</f>
        <v>12.495000000000001</v>
      </c>
      <c r="R42">
        <f>_xlfn.XLOOKUP(fSales[[#This Row],[ProductID]],dProduct[ProductID],dProduct[CratePrice])</f>
        <v>29.75</v>
      </c>
      <c r="S42">
        <f>_xlfn.XLOOKUP(fSales[[#This Row],[ProductID]],dProduct[ProductID],dProduct[CrateCost])</f>
        <v>17.254999999999999</v>
      </c>
      <c r="V42" s="5" t="s">
        <v>45</v>
      </c>
      <c r="W42">
        <v>31116</v>
      </c>
      <c r="X42">
        <v>929926.20000000054</v>
      </c>
      <c r="Y42">
        <v>407291.30399999983</v>
      </c>
      <c r="AE42" s="5" t="s">
        <v>51</v>
      </c>
      <c r="AF42">
        <v>1076081.3999999999</v>
      </c>
    </row>
    <row r="43" spans="7:32" x14ac:dyDescent="0.25">
      <c r="G43" s="2">
        <v>45320</v>
      </c>
      <c r="H43">
        <v>132</v>
      </c>
      <c r="I43" t="s">
        <v>28</v>
      </c>
      <c r="J43" t="s">
        <v>52</v>
      </c>
      <c r="K43">
        <f>_xlfn.XLOOKUP(fSales[[#This Row],[ProductID]],dProduct[ProductID],dProduct[CratePrice])*fSales[[#This Row],[Units]]</f>
        <v>5768.4000000000005</v>
      </c>
      <c r="L43">
        <f>fSales[[#This Row],[Total sales]]-_xlfn.XLOOKUP(fSales[[#This Row],[ProductID]],dProduct[ProductID],dProduct[CrateCost])*fSales[[#This Row],[Units]]</f>
        <v>2422.7280000000005</v>
      </c>
      <c r="M43">
        <f>(_xlfn.XLOOKUP(fSales[[#This Row],[ProductID]],dProduct[ProductID],dProduct[CratePrice])-_xlfn.XLOOKUP(fSales[[#This Row],[ProductID]],dProduct[ProductID],dProduct[CrateCost]))/_xlfn.XLOOKUP(fSales[[#This Row],[ProductID]],dProduct[ProductID],dProduct[CratePrice])</f>
        <v>0.42000000000000004</v>
      </c>
      <c r="N43" t="str">
        <f>_xlfn.XLOOKUP(fSales[[#This Row],[SalesRepID]],dPSalesRep[SalesRepID],dPSalesRep[SalesRep])</f>
        <v>Smitty Rad</v>
      </c>
      <c r="O43" t="str">
        <f>_xlfn.XLOOKUP(fSales[[#This Row],[SalesRepID]],dPSalesRep[SalesRepID],dPSalesRep[Region])</f>
        <v>MidWest</v>
      </c>
      <c r="P43" t="str">
        <f>_xlfn.XLOOKUP(fSales[[#This Row],[ProductID]],dProduct[ProductID],dProduct[Product])</f>
        <v>Cherry</v>
      </c>
      <c r="Q43">
        <f>_xlfn.XLOOKUP(fSales[[#This Row],[ProductID]],dProduct[ProductID],dProduct[CratePrice])-_xlfn.XLOOKUP(fSales[[#This Row],[ProductID]],dProduct[ProductID],dProduct[CrateCost])</f>
        <v>18.354000000000003</v>
      </c>
      <c r="R43">
        <f>_xlfn.XLOOKUP(fSales[[#This Row],[ProductID]],dProduct[ProductID],dProduct[CratePrice])</f>
        <v>43.7</v>
      </c>
      <c r="S43">
        <f>_xlfn.XLOOKUP(fSales[[#This Row],[ProductID]],dProduct[ProductID],dProduct[CrateCost])</f>
        <v>25.346</v>
      </c>
      <c r="V43" s="5" t="s">
        <v>55</v>
      </c>
      <c r="W43">
        <v>171564</v>
      </c>
      <c r="X43">
        <v>5169178.2000000011</v>
      </c>
      <c r="Y43">
        <v>2314346.844000001</v>
      </c>
      <c r="AE43" s="5" t="s">
        <v>55</v>
      </c>
      <c r="AF43">
        <v>5169178.2000000011</v>
      </c>
    </row>
    <row r="44" spans="7:32" x14ac:dyDescent="0.25">
      <c r="G44" s="2">
        <v>45321</v>
      </c>
      <c r="H44">
        <v>288</v>
      </c>
      <c r="I44" t="s">
        <v>26</v>
      </c>
      <c r="J44" t="s">
        <v>22</v>
      </c>
      <c r="K44">
        <f>_xlfn.XLOOKUP(fSales[[#This Row],[ProductID]],dProduct[ProductID],dProduct[CratePrice])*fSales[[#This Row],[Units]]</f>
        <v>8568</v>
      </c>
      <c r="L44">
        <f>fSales[[#This Row],[Total sales]]-_xlfn.XLOOKUP(fSales[[#This Row],[ProductID]],dProduct[ProductID],dProduct[CrateCost])*fSales[[#This Row],[Units]]</f>
        <v>3598.5600000000004</v>
      </c>
      <c r="M44">
        <f>(_xlfn.XLOOKUP(fSales[[#This Row],[ProductID]],dProduct[ProductID],dProduct[CratePrice])-_xlfn.XLOOKUP(fSales[[#This Row],[ProductID]],dProduct[ProductID],dProduct[CrateCost]))/_xlfn.XLOOKUP(fSales[[#This Row],[ProductID]],dProduct[ProductID],dProduct[CratePrice])</f>
        <v>0.42000000000000004</v>
      </c>
      <c r="N44" t="str">
        <f>_xlfn.XLOOKUP(fSales[[#This Row],[SalesRepID]],dPSalesRep[SalesRepID],dPSalesRep[SalesRep])</f>
        <v>Timmy Kips</v>
      </c>
      <c r="O44" t="str">
        <f>_xlfn.XLOOKUP(fSales[[#This Row],[SalesRepID]],dPSalesRep[SalesRepID],dPSalesRep[Region])</f>
        <v>East</v>
      </c>
      <c r="P44" t="str">
        <f>_xlfn.XLOOKUP(fSales[[#This Row],[ProductID]],dProduct[ProductID],dProduct[Product])</f>
        <v>Orange</v>
      </c>
      <c r="Q44">
        <f>_xlfn.XLOOKUP(fSales[[#This Row],[ProductID]],dProduct[ProductID],dProduct[CratePrice])-_xlfn.XLOOKUP(fSales[[#This Row],[ProductID]],dProduct[ProductID],dProduct[CrateCost])</f>
        <v>12.495000000000001</v>
      </c>
      <c r="R44">
        <f>_xlfn.XLOOKUP(fSales[[#This Row],[ProductID]],dProduct[ProductID],dProduct[CratePrice])</f>
        <v>29.75</v>
      </c>
      <c r="S44">
        <f>_xlfn.XLOOKUP(fSales[[#This Row],[ProductID]],dProduct[ProductID],dProduct[CrateCost])</f>
        <v>17.254999999999999</v>
      </c>
    </row>
    <row r="45" spans="7:32" x14ac:dyDescent="0.25">
      <c r="G45" s="2">
        <v>45322</v>
      </c>
      <c r="H45">
        <v>216</v>
      </c>
      <c r="I45" t="s">
        <v>21</v>
      </c>
      <c r="J45" t="s">
        <v>52</v>
      </c>
      <c r="K45">
        <f>_xlfn.XLOOKUP(fSales[[#This Row],[ProductID]],dProduct[ProductID],dProduct[CratePrice])*fSales[[#This Row],[Units]]</f>
        <v>4860</v>
      </c>
      <c r="L45">
        <f>fSales[[#This Row],[Total sales]]-_xlfn.XLOOKUP(fSales[[#This Row],[ProductID]],dProduct[ProductID],dProduct[CrateCost])*fSales[[#This Row],[Units]]</f>
        <v>2138.3999999999996</v>
      </c>
      <c r="M45">
        <f>(_xlfn.XLOOKUP(fSales[[#This Row],[ProductID]],dProduct[ProductID],dProduct[CratePrice])-_xlfn.XLOOKUP(fSales[[#This Row],[ProductID]],dProduct[ProductID],dProduct[CrateCost]))/_xlfn.XLOOKUP(fSales[[#This Row],[ProductID]],dProduct[ProductID],dProduct[CratePrice])</f>
        <v>0.43999999999999995</v>
      </c>
      <c r="N45" t="str">
        <f>_xlfn.XLOOKUP(fSales[[#This Row],[SalesRepID]],dPSalesRep[SalesRepID],dPSalesRep[SalesRep])</f>
        <v>Smitty Rad</v>
      </c>
      <c r="O45" t="str">
        <f>_xlfn.XLOOKUP(fSales[[#This Row],[SalesRepID]],dPSalesRep[SalesRepID],dPSalesRep[Region])</f>
        <v>MidWest</v>
      </c>
      <c r="P45" t="str">
        <f>_xlfn.XLOOKUP(fSales[[#This Row],[ProductID]],dProduct[ProductID],dProduct[Product])</f>
        <v>Kiwi</v>
      </c>
      <c r="Q45">
        <f>_xlfn.XLOOKUP(fSales[[#This Row],[ProductID]],dProduct[ProductID],dProduct[CratePrice])-_xlfn.XLOOKUP(fSales[[#This Row],[ProductID]],dProduct[ProductID],dProduct[CrateCost])</f>
        <v>9.8999999999999986</v>
      </c>
      <c r="R45">
        <f>_xlfn.XLOOKUP(fSales[[#This Row],[ProductID]],dProduct[ProductID],dProduct[CratePrice])</f>
        <v>22.5</v>
      </c>
      <c r="S45">
        <f>_xlfn.XLOOKUP(fSales[[#This Row],[ProductID]],dProduct[ProductID],dProduct[CrateCost])</f>
        <v>12.600000000000001</v>
      </c>
    </row>
    <row r="46" spans="7:32" x14ac:dyDescent="0.25">
      <c r="G46" s="2">
        <v>45322</v>
      </c>
      <c r="H46">
        <v>144</v>
      </c>
      <c r="I46" t="s">
        <v>21</v>
      </c>
      <c r="J46" t="s">
        <v>22</v>
      </c>
      <c r="K46">
        <f>_xlfn.XLOOKUP(fSales[[#This Row],[ProductID]],dProduct[ProductID],dProduct[CratePrice])*fSales[[#This Row],[Units]]</f>
        <v>3240</v>
      </c>
      <c r="L46">
        <f>fSales[[#This Row],[Total sales]]-_xlfn.XLOOKUP(fSales[[#This Row],[ProductID]],dProduct[ProductID],dProduct[CrateCost])*fSales[[#This Row],[Units]]</f>
        <v>1425.6</v>
      </c>
      <c r="M46">
        <f>(_xlfn.XLOOKUP(fSales[[#This Row],[ProductID]],dProduct[ProductID],dProduct[CratePrice])-_xlfn.XLOOKUP(fSales[[#This Row],[ProductID]],dProduct[ProductID],dProduct[CrateCost]))/_xlfn.XLOOKUP(fSales[[#This Row],[ProductID]],dProduct[ProductID],dProduct[CratePrice])</f>
        <v>0.43999999999999995</v>
      </c>
      <c r="N46" t="str">
        <f>_xlfn.XLOOKUP(fSales[[#This Row],[SalesRepID]],dPSalesRep[SalesRepID],dPSalesRep[SalesRep])</f>
        <v>Timmy Kips</v>
      </c>
      <c r="O46" t="str">
        <f>_xlfn.XLOOKUP(fSales[[#This Row],[SalesRepID]],dPSalesRep[SalesRepID],dPSalesRep[Region])</f>
        <v>East</v>
      </c>
      <c r="P46" t="str">
        <f>_xlfn.XLOOKUP(fSales[[#This Row],[ProductID]],dProduct[ProductID],dProduct[Product])</f>
        <v>Kiwi</v>
      </c>
      <c r="Q46">
        <f>_xlfn.XLOOKUP(fSales[[#This Row],[ProductID]],dProduct[ProductID],dProduct[CratePrice])-_xlfn.XLOOKUP(fSales[[#This Row],[ProductID]],dProduct[ProductID],dProduct[CrateCost])</f>
        <v>9.8999999999999986</v>
      </c>
      <c r="R46">
        <f>_xlfn.XLOOKUP(fSales[[#This Row],[ProductID]],dProduct[ProductID],dProduct[CratePrice])</f>
        <v>22.5</v>
      </c>
      <c r="S46">
        <f>_xlfn.XLOOKUP(fSales[[#This Row],[ProductID]],dProduct[ProductID],dProduct[CrateCost])</f>
        <v>12.600000000000001</v>
      </c>
    </row>
    <row r="47" spans="7:32" x14ac:dyDescent="0.25">
      <c r="G47" s="2">
        <v>45324</v>
      </c>
      <c r="H47">
        <v>252</v>
      </c>
      <c r="I47" t="s">
        <v>19</v>
      </c>
      <c r="J47" t="s">
        <v>22</v>
      </c>
      <c r="K47">
        <f>_xlfn.XLOOKUP(fSales[[#This Row],[ProductID]],dProduct[ProductID],dProduct[CratePrice])*fSales[[#This Row],[Units]]</f>
        <v>8820</v>
      </c>
      <c r="L47">
        <f>fSales[[#This Row],[Total sales]]-_xlfn.XLOOKUP(fSales[[#This Row],[ProductID]],dProduct[ProductID],dProduct[CrateCost])*fSales[[#This Row],[Units]]</f>
        <v>4939.2</v>
      </c>
      <c r="M47">
        <f>(_xlfn.XLOOKUP(fSales[[#This Row],[ProductID]],dProduct[ProductID],dProduct[CratePrice])-_xlfn.XLOOKUP(fSales[[#This Row],[ProductID]],dProduct[ProductID],dProduct[CrateCost]))/_xlfn.XLOOKUP(fSales[[#This Row],[ProductID]],dProduct[ProductID],dProduct[CratePrice])</f>
        <v>0.56000000000000005</v>
      </c>
      <c r="N47" t="str">
        <f>_xlfn.XLOOKUP(fSales[[#This Row],[SalesRepID]],dPSalesRep[SalesRepID],dPSalesRep[SalesRep])</f>
        <v>Timmy Kips</v>
      </c>
      <c r="O47" t="str">
        <f>_xlfn.XLOOKUP(fSales[[#This Row],[SalesRepID]],dPSalesRep[SalesRepID],dPSalesRep[Region])</f>
        <v>East</v>
      </c>
      <c r="P47" t="str">
        <f>_xlfn.XLOOKUP(fSales[[#This Row],[ProductID]],dProduct[ProductID],dProduct[Product])</f>
        <v>Apple</v>
      </c>
      <c r="Q47">
        <f>_xlfn.XLOOKUP(fSales[[#This Row],[ProductID]],dProduct[ProductID],dProduct[CratePrice])-_xlfn.XLOOKUP(fSales[[#This Row],[ProductID]],dProduct[ProductID],dProduct[CrateCost])</f>
        <v>19.600000000000001</v>
      </c>
      <c r="R47">
        <f>_xlfn.XLOOKUP(fSales[[#This Row],[ProductID]],dProduct[ProductID],dProduct[CratePrice])</f>
        <v>35</v>
      </c>
      <c r="S47">
        <f>_xlfn.XLOOKUP(fSales[[#This Row],[ProductID]],dProduct[ProductID],dProduct[CrateCost])</f>
        <v>15.4</v>
      </c>
    </row>
    <row r="48" spans="7:32" x14ac:dyDescent="0.25">
      <c r="G48" s="2">
        <v>45325</v>
      </c>
      <c r="H48">
        <v>120</v>
      </c>
      <c r="I48" t="s">
        <v>34</v>
      </c>
      <c r="J48" t="s">
        <v>29</v>
      </c>
      <c r="K48">
        <f>_xlfn.XLOOKUP(fSales[[#This Row],[ProductID]],dProduct[ProductID],dProduct[CratePrice])*fSales[[#This Row],[Units]]</f>
        <v>2100</v>
      </c>
      <c r="L48">
        <f>fSales[[#This Row],[Total sales]]-_xlfn.XLOOKUP(fSales[[#This Row],[ProductID]],dProduct[ProductID],dProduct[CrateCost])*fSales[[#This Row],[Units]]</f>
        <v>692.99999999999977</v>
      </c>
      <c r="M48">
        <f>(_xlfn.XLOOKUP(fSales[[#This Row],[ProductID]],dProduct[ProductID],dProduct[CratePrice])-_xlfn.XLOOKUP(fSales[[#This Row],[ProductID]],dProduct[ProductID],dProduct[CrateCost]))/_xlfn.XLOOKUP(fSales[[#This Row],[ProductID]],dProduct[ProductID],dProduct[CratePrice])</f>
        <v>0.3299999999999999</v>
      </c>
      <c r="N48" t="str">
        <f>_xlfn.XLOOKUP(fSales[[#This Row],[SalesRepID]],dPSalesRep[SalesRepID],dPSalesRep[SalesRep])</f>
        <v>Sioux Best</v>
      </c>
      <c r="O48" t="str">
        <f>_xlfn.XLOOKUP(fSales[[#This Row],[SalesRepID]],dPSalesRep[SalesRepID],dPSalesRep[Region])</f>
        <v>West</v>
      </c>
      <c r="P48" t="str">
        <f>_xlfn.XLOOKUP(fSales[[#This Row],[ProductID]],dProduct[ProductID],dProduct[Product])</f>
        <v>Banana</v>
      </c>
      <c r="Q48">
        <f>_xlfn.XLOOKUP(fSales[[#This Row],[ProductID]],dProduct[ProductID],dProduct[CratePrice])-_xlfn.XLOOKUP(fSales[[#This Row],[ProductID]],dProduct[ProductID],dProduct[CrateCost])</f>
        <v>5.7749999999999986</v>
      </c>
      <c r="R48">
        <f>_xlfn.XLOOKUP(fSales[[#This Row],[ProductID]],dProduct[ProductID],dProduct[CratePrice])</f>
        <v>17.5</v>
      </c>
      <c r="S48">
        <f>_xlfn.XLOOKUP(fSales[[#This Row],[ProductID]],dProduct[ProductID],dProduct[CrateCost])</f>
        <v>11.725000000000001</v>
      </c>
      <c r="AF48" t="s">
        <v>56</v>
      </c>
    </row>
    <row r="49" spans="7:33" x14ac:dyDescent="0.25">
      <c r="G49" s="2">
        <v>45325</v>
      </c>
      <c r="H49">
        <v>180</v>
      </c>
      <c r="I49" t="s">
        <v>21</v>
      </c>
      <c r="J49" t="s">
        <v>37</v>
      </c>
      <c r="K49">
        <f>_xlfn.XLOOKUP(fSales[[#This Row],[ProductID]],dProduct[ProductID],dProduct[CratePrice])*fSales[[#This Row],[Units]]</f>
        <v>4050</v>
      </c>
      <c r="L49">
        <f>fSales[[#This Row],[Total sales]]-_xlfn.XLOOKUP(fSales[[#This Row],[ProductID]],dProduct[ProductID],dProduct[CrateCost])*fSales[[#This Row],[Units]]</f>
        <v>1781.9999999999995</v>
      </c>
      <c r="M49">
        <f>(_xlfn.XLOOKUP(fSales[[#This Row],[ProductID]],dProduct[ProductID],dProduct[CratePrice])-_xlfn.XLOOKUP(fSales[[#This Row],[ProductID]],dProduct[ProductID],dProduct[CrateCost]))/_xlfn.XLOOKUP(fSales[[#This Row],[ProductID]],dProduct[ProductID],dProduct[CratePrice])</f>
        <v>0.43999999999999995</v>
      </c>
      <c r="N49" t="str">
        <f>_xlfn.XLOOKUP(fSales[[#This Row],[SalesRepID]],dPSalesRep[SalesRepID],dPSalesRep[SalesRep])</f>
        <v>Chantel Mims</v>
      </c>
      <c r="O49" t="str">
        <f>_xlfn.XLOOKUP(fSales[[#This Row],[SalesRepID]],dPSalesRep[SalesRepID],dPSalesRep[Region])</f>
        <v>NW</v>
      </c>
      <c r="P49" t="str">
        <f>_xlfn.XLOOKUP(fSales[[#This Row],[ProductID]],dProduct[ProductID],dProduct[Product])</f>
        <v>Kiwi</v>
      </c>
      <c r="Q49">
        <f>_xlfn.XLOOKUP(fSales[[#This Row],[ProductID]],dProduct[ProductID],dProduct[CratePrice])-_xlfn.XLOOKUP(fSales[[#This Row],[ProductID]],dProduct[ProductID],dProduct[CrateCost])</f>
        <v>9.8999999999999986</v>
      </c>
      <c r="R49">
        <f>_xlfn.XLOOKUP(fSales[[#This Row],[ProductID]],dProduct[ProductID],dProduct[CratePrice])</f>
        <v>22.5</v>
      </c>
      <c r="S49">
        <f>_xlfn.XLOOKUP(fSales[[#This Row],[ProductID]],dProduct[ProductID],dProduct[CrateCost])</f>
        <v>12.600000000000001</v>
      </c>
      <c r="AF49" t="s">
        <v>39</v>
      </c>
      <c r="AG49" t="s">
        <v>58</v>
      </c>
    </row>
    <row r="50" spans="7:33" x14ac:dyDescent="0.25">
      <c r="G50" s="2">
        <v>45326</v>
      </c>
      <c r="H50">
        <v>36</v>
      </c>
      <c r="I50" t="s">
        <v>21</v>
      </c>
      <c r="J50" t="s">
        <v>37</v>
      </c>
      <c r="K50">
        <f>_xlfn.XLOOKUP(fSales[[#This Row],[ProductID]],dProduct[ProductID],dProduct[CratePrice])*fSales[[#This Row],[Units]]</f>
        <v>810</v>
      </c>
      <c r="L50">
        <f>fSales[[#This Row],[Total sales]]-_xlfn.XLOOKUP(fSales[[#This Row],[ProductID]],dProduct[ProductID],dProduct[CrateCost])*fSales[[#This Row],[Units]]</f>
        <v>356.4</v>
      </c>
      <c r="M50">
        <f>(_xlfn.XLOOKUP(fSales[[#This Row],[ProductID]],dProduct[ProductID],dProduct[CratePrice])-_xlfn.XLOOKUP(fSales[[#This Row],[ProductID]],dProduct[ProductID],dProduct[CrateCost]))/_xlfn.XLOOKUP(fSales[[#This Row],[ProductID]],dProduct[ProductID],dProduct[CratePrice])</f>
        <v>0.43999999999999995</v>
      </c>
      <c r="N50" t="str">
        <f>_xlfn.XLOOKUP(fSales[[#This Row],[SalesRepID]],dPSalesRep[SalesRepID],dPSalesRep[SalesRep])</f>
        <v>Chantel Mims</v>
      </c>
      <c r="O50" t="str">
        <f>_xlfn.XLOOKUP(fSales[[#This Row],[SalesRepID]],dPSalesRep[SalesRepID],dPSalesRep[Region])</f>
        <v>NW</v>
      </c>
      <c r="P50" t="str">
        <f>_xlfn.XLOOKUP(fSales[[#This Row],[ProductID]],dProduct[ProductID],dProduct[Product])</f>
        <v>Kiwi</v>
      </c>
      <c r="Q50">
        <f>_xlfn.XLOOKUP(fSales[[#This Row],[ProductID]],dProduct[ProductID],dProduct[CratePrice])-_xlfn.XLOOKUP(fSales[[#This Row],[ProductID]],dProduct[ProductID],dProduct[CrateCost])</f>
        <v>9.8999999999999986</v>
      </c>
      <c r="R50">
        <f>_xlfn.XLOOKUP(fSales[[#This Row],[ProductID]],dProduct[ProductID],dProduct[CratePrice])</f>
        <v>22.5</v>
      </c>
      <c r="S50">
        <f>_xlfn.XLOOKUP(fSales[[#This Row],[ProductID]],dProduct[ProductID],dProduct[CrateCost])</f>
        <v>12.600000000000001</v>
      </c>
      <c r="AF50" s="5" t="s">
        <v>50</v>
      </c>
      <c r="AG50">
        <v>2195421.6000000006</v>
      </c>
    </row>
    <row r="51" spans="7:33" x14ac:dyDescent="0.25">
      <c r="G51" s="2">
        <v>45328</v>
      </c>
      <c r="H51">
        <v>36</v>
      </c>
      <c r="I51" t="s">
        <v>26</v>
      </c>
      <c r="J51" t="s">
        <v>22</v>
      </c>
      <c r="K51">
        <f>_xlfn.XLOOKUP(fSales[[#This Row],[ProductID]],dProduct[ProductID],dProduct[CratePrice])*fSales[[#This Row],[Units]]</f>
        <v>1071</v>
      </c>
      <c r="L51">
        <f>fSales[[#This Row],[Total sales]]-_xlfn.XLOOKUP(fSales[[#This Row],[ProductID]],dProduct[ProductID],dProduct[CrateCost])*fSales[[#This Row],[Units]]</f>
        <v>449.82000000000005</v>
      </c>
      <c r="M51">
        <f>(_xlfn.XLOOKUP(fSales[[#This Row],[ProductID]],dProduct[ProductID],dProduct[CratePrice])-_xlfn.XLOOKUP(fSales[[#This Row],[ProductID]],dProduct[ProductID],dProduct[CrateCost]))/_xlfn.XLOOKUP(fSales[[#This Row],[ProductID]],dProduct[ProductID],dProduct[CratePrice])</f>
        <v>0.42000000000000004</v>
      </c>
      <c r="N51" t="str">
        <f>_xlfn.XLOOKUP(fSales[[#This Row],[SalesRepID]],dPSalesRep[SalesRepID],dPSalesRep[SalesRep])</f>
        <v>Timmy Kips</v>
      </c>
      <c r="O51" t="str">
        <f>_xlfn.XLOOKUP(fSales[[#This Row],[SalesRepID]],dPSalesRep[SalesRepID],dPSalesRep[Region])</f>
        <v>East</v>
      </c>
      <c r="P51" t="str">
        <f>_xlfn.XLOOKUP(fSales[[#This Row],[ProductID]],dProduct[ProductID],dProduct[Product])</f>
        <v>Orange</v>
      </c>
      <c r="Q51">
        <f>_xlfn.XLOOKUP(fSales[[#This Row],[ProductID]],dProduct[ProductID],dProduct[CratePrice])-_xlfn.XLOOKUP(fSales[[#This Row],[ProductID]],dProduct[ProductID],dProduct[CrateCost])</f>
        <v>12.495000000000001</v>
      </c>
      <c r="R51">
        <f>_xlfn.XLOOKUP(fSales[[#This Row],[ProductID]],dProduct[ProductID],dProduct[CratePrice])</f>
        <v>29.75</v>
      </c>
      <c r="S51">
        <f>_xlfn.XLOOKUP(fSales[[#This Row],[ProductID]],dProduct[ProductID],dProduct[CrateCost])</f>
        <v>17.254999999999999</v>
      </c>
      <c r="AF51" s="5" t="s">
        <v>54</v>
      </c>
      <c r="AG51">
        <v>1017236.4000000003</v>
      </c>
    </row>
    <row r="52" spans="7:33" x14ac:dyDescent="0.25">
      <c r="G52" s="2">
        <v>45329</v>
      </c>
      <c r="H52">
        <v>216</v>
      </c>
      <c r="I52" t="s">
        <v>28</v>
      </c>
      <c r="J52" t="s">
        <v>29</v>
      </c>
      <c r="K52">
        <f>_xlfn.XLOOKUP(fSales[[#This Row],[ProductID]],dProduct[ProductID],dProduct[CratePrice])*fSales[[#This Row],[Units]]</f>
        <v>9439.2000000000007</v>
      </c>
      <c r="L52">
        <f>fSales[[#This Row],[Total sales]]-_xlfn.XLOOKUP(fSales[[#This Row],[ProductID]],dProduct[ProductID],dProduct[CrateCost])*fSales[[#This Row],[Units]]</f>
        <v>3964.4640000000009</v>
      </c>
      <c r="M52">
        <f>(_xlfn.XLOOKUP(fSales[[#This Row],[ProductID]],dProduct[ProductID],dProduct[CratePrice])-_xlfn.XLOOKUP(fSales[[#This Row],[ProductID]],dProduct[ProductID],dProduct[CrateCost]))/_xlfn.XLOOKUP(fSales[[#This Row],[ProductID]],dProduct[ProductID],dProduct[CratePrice])</f>
        <v>0.42000000000000004</v>
      </c>
      <c r="N52" t="str">
        <f>_xlfn.XLOOKUP(fSales[[#This Row],[SalesRepID]],dPSalesRep[SalesRepID],dPSalesRep[SalesRep])</f>
        <v>Sioux Best</v>
      </c>
      <c r="O52" t="str">
        <f>_xlfn.XLOOKUP(fSales[[#This Row],[SalesRepID]],dPSalesRep[SalesRepID],dPSalesRep[Region])</f>
        <v>West</v>
      </c>
      <c r="P52" t="str">
        <f>_xlfn.XLOOKUP(fSales[[#This Row],[ProductID]],dProduct[ProductID],dProduct[Product])</f>
        <v>Cherry</v>
      </c>
      <c r="Q52">
        <f>_xlfn.XLOOKUP(fSales[[#This Row],[ProductID]],dProduct[ProductID],dProduct[CratePrice])-_xlfn.XLOOKUP(fSales[[#This Row],[ProductID]],dProduct[ProductID],dProduct[CrateCost])</f>
        <v>18.354000000000003</v>
      </c>
      <c r="R52">
        <f>_xlfn.XLOOKUP(fSales[[#This Row],[ProductID]],dProduct[ProductID],dProduct[CratePrice])</f>
        <v>43.7</v>
      </c>
      <c r="S52">
        <f>_xlfn.XLOOKUP(fSales[[#This Row],[ProductID]],dProduct[ProductID],dProduct[CrateCost])</f>
        <v>25.346</v>
      </c>
      <c r="AF52" s="5" t="s">
        <v>48</v>
      </c>
      <c r="AG52">
        <v>1026594.0000000001</v>
      </c>
    </row>
    <row r="53" spans="7:33" x14ac:dyDescent="0.25">
      <c r="G53" s="2">
        <v>45331</v>
      </c>
      <c r="H53">
        <v>180</v>
      </c>
      <c r="I53" t="s">
        <v>19</v>
      </c>
      <c r="J53" t="s">
        <v>32</v>
      </c>
      <c r="K53">
        <f>_xlfn.XLOOKUP(fSales[[#This Row],[ProductID]],dProduct[ProductID],dProduct[CratePrice])*fSales[[#This Row],[Units]]</f>
        <v>6300</v>
      </c>
      <c r="L53">
        <f>fSales[[#This Row],[Total sales]]-_xlfn.XLOOKUP(fSales[[#This Row],[ProductID]],dProduct[ProductID],dProduct[CrateCost])*fSales[[#This Row],[Units]]</f>
        <v>3528</v>
      </c>
      <c r="M53">
        <f>(_xlfn.XLOOKUP(fSales[[#This Row],[ProductID]],dProduct[ProductID],dProduct[CratePrice])-_xlfn.XLOOKUP(fSales[[#This Row],[ProductID]],dProduct[ProductID],dProduct[CrateCost]))/_xlfn.XLOOKUP(fSales[[#This Row],[ProductID]],dProduct[ProductID],dProduct[CratePrice])</f>
        <v>0.56000000000000005</v>
      </c>
      <c r="N53" t="str">
        <f>_xlfn.XLOOKUP(fSales[[#This Row],[SalesRepID]],dPSalesRep[SalesRepID],dPSalesRep[SalesRep])</f>
        <v>Shihara Fazzaa</v>
      </c>
      <c r="O53" t="str">
        <f>_xlfn.XLOOKUP(fSales[[#This Row],[SalesRepID]],dPSalesRep[SalesRepID],dPSalesRep[Region])</f>
        <v>East</v>
      </c>
      <c r="P53" t="str">
        <f>_xlfn.XLOOKUP(fSales[[#This Row],[ProductID]],dProduct[ProductID],dProduct[Product])</f>
        <v>Apple</v>
      </c>
      <c r="Q53">
        <f>_xlfn.XLOOKUP(fSales[[#This Row],[ProductID]],dProduct[ProductID],dProduct[CratePrice])-_xlfn.XLOOKUP(fSales[[#This Row],[ProductID]],dProduct[ProductID],dProduct[CrateCost])</f>
        <v>19.600000000000001</v>
      </c>
      <c r="R53">
        <f>_xlfn.XLOOKUP(fSales[[#This Row],[ProductID]],dProduct[ProductID],dProduct[CratePrice])</f>
        <v>35</v>
      </c>
      <c r="S53">
        <f>_xlfn.XLOOKUP(fSales[[#This Row],[ProductID]],dProduct[ProductID],dProduct[CrateCost])</f>
        <v>15.4</v>
      </c>
      <c r="AF53" s="5" t="s">
        <v>45</v>
      </c>
      <c r="AG53">
        <v>929926.20000000054</v>
      </c>
    </row>
    <row r="54" spans="7:33" x14ac:dyDescent="0.25">
      <c r="G54" s="2">
        <v>45333</v>
      </c>
      <c r="H54">
        <v>72</v>
      </c>
      <c r="I54" t="s">
        <v>34</v>
      </c>
      <c r="J54" t="s">
        <v>29</v>
      </c>
      <c r="K54">
        <f>_xlfn.XLOOKUP(fSales[[#This Row],[ProductID]],dProduct[ProductID],dProduct[CratePrice])*fSales[[#This Row],[Units]]</f>
        <v>1260</v>
      </c>
      <c r="L54">
        <f>fSales[[#This Row],[Total sales]]-_xlfn.XLOOKUP(fSales[[#This Row],[ProductID]],dProduct[ProductID],dProduct[CrateCost])*fSales[[#This Row],[Units]]</f>
        <v>415.79999999999995</v>
      </c>
      <c r="M54">
        <f>(_xlfn.XLOOKUP(fSales[[#This Row],[ProductID]],dProduct[ProductID],dProduct[CratePrice])-_xlfn.XLOOKUP(fSales[[#This Row],[ProductID]],dProduct[ProductID],dProduct[CrateCost]))/_xlfn.XLOOKUP(fSales[[#This Row],[ProductID]],dProduct[ProductID],dProduct[CratePrice])</f>
        <v>0.3299999999999999</v>
      </c>
      <c r="N54" t="str">
        <f>_xlfn.XLOOKUP(fSales[[#This Row],[SalesRepID]],dPSalesRep[SalesRepID],dPSalesRep[SalesRep])</f>
        <v>Sioux Best</v>
      </c>
      <c r="O54" t="str">
        <f>_xlfn.XLOOKUP(fSales[[#This Row],[SalesRepID]],dPSalesRep[SalesRepID],dPSalesRep[Region])</f>
        <v>West</v>
      </c>
      <c r="P54" t="str">
        <f>_xlfn.XLOOKUP(fSales[[#This Row],[ProductID]],dProduct[ProductID],dProduct[Product])</f>
        <v>Banana</v>
      </c>
      <c r="Q54">
        <f>_xlfn.XLOOKUP(fSales[[#This Row],[ProductID]],dProduct[ProductID],dProduct[CratePrice])-_xlfn.XLOOKUP(fSales[[#This Row],[ProductID]],dProduct[ProductID],dProduct[CrateCost])</f>
        <v>5.7749999999999986</v>
      </c>
      <c r="R54">
        <f>_xlfn.XLOOKUP(fSales[[#This Row],[ProductID]],dProduct[ProductID],dProduct[CratePrice])</f>
        <v>17.5</v>
      </c>
      <c r="S54">
        <f>_xlfn.XLOOKUP(fSales[[#This Row],[ProductID]],dProduct[ProductID],dProduct[CrateCost])</f>
        <v>11.725000000000001</v>
      </c>
      <c r="AF54" s="5" t="s">
        <v>55</v>
      </c>
      <c r="AG54">
        <v>5169178.2000000011</v>
      </c>
    </row>
    <row r="55" spans="7:33" x14ac:dyDescent="0.25">
      <c r="G55" s="2">
        <v>45333</v>
      </c>
      <c r="H55">
        <v>60</v>
      </c>
      <c r="I55" t="s">
        <v>19</v>
      </c>
      <c r="J55" t="s">
        <v>29</v>
      </c>
      <c r="K55">
        <f>_xlfn.XLOOKUP(fSales[[#This Row],[ProductID]],dProduct[ProductID],dProduct[CratePrice])*fSales[[#This Row],[Units]]</f>
        <v>2100</v>
      </c>
      <c r="L55">
        <f>fSales[[#This Row],[Total sales]]-_xlfn.XLOOKUP(fSales[[#This Row],[ProductID]],dProduct[ProductID],dProduct[CrateCost])*fSales[[#This Row],[Units]]</f>
        <v>1176</v>
      </c>
      <c r="M55">
        <f>(_xlfn.XLOOKUP(fSales[[#This Row],[ProductID]],dProduct[ProductID],dProduct[CratePrice])-_xlfn.XLOOKUP(fSales[[#This Row],[ProductID]],dProduct[ProductID],dProduct[CrateCost]))/_xlfn.XLOOKUP(fSales[[#This Row],[ProductID]],dProduct[ProductID],dProduct[CratePrice])</f>
        <v>0.56000000000000005</v>
      </c>
      <c r="N55" t="str">
        <f>_xlfn.XLOOKUP(fSales[[#This Row],[SalesRepID]],dPSalesRep[SalesRepID],dPSalesRep[SalesRep])</f>
        <v>Sioux Best</v>
      </c>
      <c r="O55" t="str">
        <f>_xlfn.XLOOKUP(fSales[[#This Row],[SalesRepID]],dPSalesRep[SalesRepID],dPSalesRep[Region])</f>
        <v>West</v>
      </c>
      <c r="P55" t="str">
        <f>_xlfn.XLOOKUP(fSales[[#This Row],[ProductID]],dProduct[ProductID],dProduct[Product])</f>
        <v>Apple</v>
      </c>
      <c r="Q55">
        <f>_xlfn.XLOOKUP(fSales[[#This Row],[ProductID]],dProduct[ProductID],dProduct[CratePrice])-_xlfn.XLOOKUP(fSales[[#This Row],[ProductID]],dProduct[ProductID],dProduct[CrateCost])</f>
        <v>19.600000000000001</v>
      </c>
      <c r="R55">
        <f>_xlfn.XLOOKUP(fSales[[#This Row],[ProductID]],dProduct[ProductID],dProduct[CratePrice])</f>
        <v>35</v>
      </c>
      <c r="S55">
        <f>_xlfn.XLOOKUP(fSales[[#This Row],[ProductID]],dProduct[ProductID],dProduct[CrateCost])</f>
        <v>15.4</v>
      </c>
    </row>
    <row r="56" spans="7:33" x14ac:dyDescent="0.25">
      <c r="G56" s="2">
        <v>45333</v>
      </c>
      <c r="H56">
        <v>216</v>
      </c>
      <c r="I56" t="s">
        <v>19</v>
      </c>
      <c r="J56" t="s">
        <v>22</v>
      </c>
      <c r="K56">
        <f>_xlfn.XLOOKUP(fSales[[#This Row],[ProductID]],dProduct[ProductID],dProduct[CratePrice])*fSales[[#This Row],[Units]]</f>
        <v>7560</v>
      </c>
      <c r="L56">
        <f>fSales[[#This Row],[Total sales]]-_xlfn.XLOOKUP(fSales[[#This Row],[ProductID]],dProduct[ProductID],dProduct[CrateCost])*fSales[[#This Row],[Units]]</f>
        <v>4233.6000000000004</v>
      </c>
      <c r="M56">
        <f>(_xlfn.XLOOKUP(fSales[[#This Row],[ProductID]],dProduct[ProductID],dProduct[CratePrice])-_xlfn.XLOOKUP(fSales[[#This Row],[ProductID]],dProduct[ProductID],dProduct[CrateCost]))/_xlfn.XLOOKUP(fSales[[#This Row],[ProductID]],dProduct[ProductID],dProduct[CratePrice])</f>
        <v>0.56000000000000005</v>
      </c>
      <c r="N56" t="str">
        <f>_xlfn.XLOOKUP(fSales[[#This Row],[SalesRepID]],dPSalesRep[SalesRepID],dPSalesRep[SalesRep])</f>
        <v>Timmy Kips</v>
      </c>
      <c r="O56" t="str">
        <f>_xlfn.XLOOKUP(fSales[[#This Row],[SalesRepID]],dPSalesRep[SalesRepID],dPSalesRep[Region])</f>
        <v>East</v>
      </c>
      <c r="P56" t="str">
        <f>_xlfn.XLOOKUP(fSales[[#This Row],[ProductID]],dProduct[ProductID],dProduct[Product])</f>
        <v>Apple</v>
      </c>
      <c r="Q56">
        <f>_xlfn.XLOOKUP(fSales[[#This Row],[ProductID]],dProduct[ProductID],dProduct[CratePrice])-_xlfn.XLOOKUP(fSales[[#This Row],[ProductID]],dProduct[ProductID],dProduct[CrateCost])</f>
        <v>19.600000000000001</v>
      </c>
      <c r="R56">
        <f>_xlfn.XLOOKUP(fSales[[#This Row],[ProductID]],dProduct[ProductID],dProduct[CratePrice])</f>
        <v>35</v>
      </c>
      <c r="S56">
        <f>_xlfn.XLOOKUP(fSales[[#This Row],[ProductID]],dProduct[ProductID],dProduct[CrateCost])</f>
        <v>15.4</v>
      </c>
    </row>
    <row r="57" spans="7:33" x14ac:dyDescent="0.25">
      <c r="G57" s="2">
        <v>45334</v>
      </c>
      <c r="H57">
        <v>264</v>
      </c>
      <c r="I57" t="s">
        <v>19</v>
      </c>
      <c r="J57" t="s">
        <v>32</v>
      </c>
      <c r="K57">
        <f>_xlfn.XLOOKUP(fSales[[#This Row],[ProductID]],dProduct[ProductID],dProduct[CratePrice])*fSales[[#This Row],[Units]]</f>
        <v>9240</v>
      </c>
      <c r="L57">
        <f>fSales[[#This Row],[Total sales]]-_xlfn.XLOOKUP(fSales[[#This Row],[ProductID]],dProduct[ProductID],dProduct[CrateCost])*fSales[[#This Row],[Units]]</f>
        <v>5174.3999999999996</v>
      </c>
      <c r="M57">
        <f>(_xlfn.XLOOKUP(fSales[[#This Row],[ProductID]],dProduct[ProductID],dProduct[CratePrice])-_xlfn.XLOOKUP(fSales[[#This Row],[ProductID]],dProduct[ProductID],dProduct[CrateCost]))/_xlfn.XLOOKUP(fSales[[#This Row],[ProductID]],dProduct[ProductID],dProduct[CratePrice])</f>
        <v>0.56000000000000005</v>
      </c>
      <c r="N57" t="str">
        <f>_xlfn.XLOOKUP(fSales[[#This Row],[SalesRepID]],dPSalesRep[SalesRepID],dPSalesRep[SalesRep])</f>
        <v>Shihara Fazzaa</v>
      </c>
      <c r="O57" t="str">
        <f>_xlfn.XLOOKUP(fSales[[#This Row],[SalesRepID]],dPSalesRep[SalesRepID],dPSalesRep[Region])</f>
        <v>East</v>
      </c>
      <c r="P57" t="str">
        <f>_xlfn.XLOOKUP(fSales[[#This Row],[ProductID]],dProduct[ProductID],dProduct[Product])</f>
        <v>Apple</v>
      </c>
      <c r="Q57">
        <f>_xlfn.XLOOKUP(fSales[[#This Row],[ProductID]],dProduct[ProductID],dProduct[CratePrice])-_xlfn.XLOOKUP(fSales[[#This Row],[ProductID]],dProduct[ProductID],dProduct[CrateCost])</f>
        <v>19.600000000000001</v>
      </c>
      <c r="R57">
        <f>_xlfn.XLOOKUP(fSales[[#This Row],[ProductID]],dProduct[ProductID],dProduct[CratePrice])</f>
        <v>35</v>
      </c>
      <c r="S57">
        <f>_xlfn.XLOOKUP(fSales[[#This Row],[ProductID]],dProduct[ProductID],dProduct[CrateCost])</f>
        <v>15.4</v>
      </c>
    </row>
    <row r="58" spans="7:33" x14ac:dyDescent="0.25">
      <c r="G58" s="2">
        <v>45335</v>
      </c>
      <c r="H58">
        <v>216</v>
      </c>
      <c r="I58" t="s">
        <v>34</v>
      </c>
      <c r="J58" t="s">
        <v>29</v>
      </c>
      <c r="K58">
        <f>_xlfn.XLOOKUP(fSales[[#This Row],[ProductID]],dProduct[ProductID],dProduct[CratePrice])*fSales[[#This Row],[Units]]</f>
        <v>3780</v>
      </c>
      <c r="L58">
        <f>fSales[[#This Row],[Total sales]]-_xlfn.XLOOKUP(fSales[[#This Row],[ProductID]],dProduct[ProductID],dProduct[CrateCost])*fSales[[#This Row],[Units]]</f>
        <v>1247.3999999999996</v>
      </c>
      <c r="M58">
        <f>(_xlfn.XLOOKUP(fSales[[#This Row],[ProductID]],dProduct[ProductID],dProduct[CratePrice])-_xlfn.XLOOKUP(fSales[[#This Row],[ProductID]],dProduct[ProductID],dProduct[CrateCost]))/_xlfn.XLOOKUP(fSales[[#This Row],[ProductID]],dProduct[ProductID],dProduct[CratePrice])</f>
        <v>0.3299999999999999</v>
      </c>
      <c r="N58" t="str">
        <f>_xlfn.XLOOKUP(fSales[[#This Row],[SalesRepID]],dPSalesRep[SalesRepID],dPSalesRep[SalesRep])</f>
        <v>Sioux Best</v>
      </c>
      <c r="O58" t="str">
        <f>_xlfn.XLOOKUP(fSales[[#This Row],[SalesRepID]],dPSalesRep[SalesRepID],dPSalesRep[Region])</f>
        <v>West</v>
      </c>
      <c r="P58" t="str">
        <f>_xlfn.XLOOKUP(fSales[[#This Row],[ProductID]],dProduct[ProductID],dProduct[Product])</f>
        <v>Banana</v>
      </c>
      <c r="Q58">
        <f>_xlfn.XLOOKUP(fSales[[#This Row],[ProductID]],dProduct[ProductID],dProduct[CratePrice])-_xlfn.XLOOKUP(fSales[[#This Row],[ProductID]],dProduct[ProductID],dProduct[CrateCost])</f>
        <v>5.7749999999999986</v>
      </c>
      <c r="R58">
        <f>_xlfn.XLOOKUP(fSales[[#This Row],[ProductID]],dProduct[ProductID],dProduct[CratePrice])</f>
        <v>17.5</v>
      </c>
      <c r="S58">
        <f>_xlfn.XLOOKUP(fSales[[#This Row],[ProductID]],dProduct[ProductID],dProduct[CrateCost])</f>
        <v>11.725000000000001</v>
      </c>
    </row>
    <row r="59" spans="7:33" x14ac:dyDescent="0.25">
      <c r="G59" s="2">
        <v>45335</v>
      </c>
      <c r="H59">
        <v>96</v>
      </c>
      <c r="I59" t="s">
        <v>28</v>
      </c>
      <c r="J59" t="s">
        <v>29</v>
      </c>
      <c r="K59">
        <f>_xlfn.XLOOKUP(fSales[[#This Row],[ProductID]],dProduct[ProductID],dProduct[CratePrice])*fSales[[#This Row],[Units]]</f>
        <v>4195.2000000000007</v>
      </c>
      <c r="L59">
        <f>fSales[[#This Row],[Total sales]]-_xlfn.XLOOKUP(fSales[[#This Row],[ProductID]],dProduct[ProductID],dProduct[CrateCost])*fSales[[#This Row],[Units]]</f>
        <v>1761.9840000000008</v>
      </c>
      <c r="M59">
        <f>(_xlfn.XLOOKUP(fSales[[#This Row],[ProductID]],dProduct[ProductID],dProduct[CratePrice])-_xlfn.XLOOKUP(fSales[[#This Row],[ProductID]],dProduct[ProductID],dProduct[CrateCost]))/_xlfn.XLOOKUP(fSales[[#This Row],[ProductID]],dProduct[ProductID],dProduct[CratePrice])</f>
        <v>0.42000000000000004</v>
      </c>
      <c r="N59" t="str">
        <f>_xlfn.XLOOKUP(fSales[[#This Row],[SalesRepID]],dPSalesRep[SalesRepID],dPSalesRep[SalesRep])</f>
        <v>Sioux Best</v>
      </c>
      <c r="O59" t="str">
        <f>_xlfn.XLOOKUP(fSales[[#This Row],[SalesRepID]],dPSalesRep[SalesRepID],dPSalesRep[Region])</f>
        <v>West</v>
      </c>
      <c r="P59" t="str">
        <f>_xlfn.XLOOKUP(fSales[[#This Row],[ProductID]],dProduct[ProductID],dProduct[Product])</f>
        <v>Cherry</v>
      </c>
      <c r="Q59">
        <f>_xlfn.XLOOKUP(fSales[[#This Row],[ProductID]],dProduct[ProductID],dProduct[CratePrice])-_xlfn.XLOOKUP(fSales[[#This Row],[ProductID]],dProduct[ProductID],dProduct[CrateCost])</f>
        <v>18.354000000000003</v>
      </c>
      <c r="R59">
        <f>_xlfn.XLOOKUP(fSales[[#This Row],[ProductID]],dProduct[ProductID],dProduct[CratePrice])</f>
        <v>43.7</v>
      </c>
      <c r="S59">
        <f>_xlfn.XLOOKUP(fSales[[#This Row],[ProductID]],dProduct[ProductID],dProduct[CrateCost])</f>
        <v>25.346</v>
      </c>
    </row>
    <row r="60" spans="7:33" x14ac:dyDescent="0.25">
      <c r="G60" s="2">
        <v>45335</v>
      </c>
      <c r="H60">
        <v>192</v>
      </c>
      <c r="I60" t="s">
        <v>26</v>
      </c>
      <c r="J60" t="s">
        <v>37</v>
      </c>
      <c r="K60">
        <f>_xlfn.XLOOKUP(fSales[[#This Row],[ProductID]],dProduct[ProductID],dProduct[CratePrice])*fSales[[#This Row],[Units]]</f>
        <v>5712</v>
      </c>
      <c r="L60">
        <f>fSales[[#This Row],[Total sales]]-_xlfn.XLOOKUP(fSales[[#This Row],[ProductID]],dProduct[ProductID],dProduct[CrateCost])*fSales[[#This Row],[Units]]</f>
        <v>2399.04</v>
      </c>
      <c r="M60">
        <f>(_xlfn.XLOOKUP(fSales[[#This Row],[ProductID]],dProduct[ProductID],dProduct[CratePrice])-_xlfn.XLOOKUP(fSales[[#This Row],[ProductID]],dProduct[ProductID],dProduct[CrateCost]))/_xlfn.XLOOKUP(fSales[[#This Row],[ProductID]],dProduct[ProductID],dProduct[CratePrice])</f>
        <v>0.42000000000000004</v>
      </c>
      <c r="N60" t="str">
        <f>_xlfn.XLOOKUP(fSales[[#This Row],[SalesRepID]],dPSalesRep[SalesRepID],dPSalesRep[SalesRep])</f>
        <v>Chantel Mims</v>
      </c>
      <c r="O60" t="str">
        <f>_xlfn.XLOOKUP(fSales[[#This Row],[SalesRepID]],dPSalesRep[SalesRepID],dPSalesRep[Region])</f>
        <v>NW</v>
      </c>
      <c r="P60" t="str">
        <f>_xlfn.XLOOKUP(fSales[[#This Row],[ProductID]],dProduct[ProductID],dProduct[Product])</f>
        <v>Orange</v>
      </c>
      <c r="Q60">
        <f>_xlfn.XLOOKUP(fSales[[#This Row],[ProductID]],dProduct[ProductID],dProduct[CratePrice])-_xlfn.XLOOKUP(fSales[[#This Row],[ProductID]],dProduct[ProductID],dProduct[CrateCost])</f>
        <v>12.495000000000001</v>
      </c>
      <c r="R60">
        <f>_xlfn.XLOOKUP(fSales[[#This Row],[ProductID]],dProduct[ProductID],dProduct[CratePrice])</f>
        <v>29.75</v>
      </c>
      <c r="S60">
        <f>_xlfn.XLOOKUP(fSales[[#This Row],[ProductID]],dProduct[ProductID],dProduct[CrateCost])</f>
        <v>17.254999999999999</v>
      </c>
    </row>
    <row r="61" spans="7:33" x14ac:dyDescent="0.25">
      <c r="G61" s="2">
        <v>45335</v>
      </c>
      <c r="H61">
        <v>216</v>
      </c>
      <c r="I61" t="s">
        <v>28</v>
      </c>
      <c r="J61" t="s">
        <v>52</v>
      </c>
      <c r="K61">
        <f>_xlfn.XLOOKUP(fSales[[#This Row],[ProductID]],dProduct[ProductID],dProduct[CratePrice])*fSales[[#This Row],[Units]]</f>
        <v>9439.2000000000007</v>
      </c>
      <c r="L61">
        <f>fSales[[#This Row],[Total sales]]-_xlfn.XLOOKUP(fSales[[#This Row],[ProductID]],dProduct[ProductID],dProduct[CrateCost])*fSales[[#This Row],[Units]]</f>
        <v>3964.4640000000009</v>
      </c>
      <c r="M61">
        <f>(_xlfn.XLOOKUP(fSales[[#This Row],[ProductID]],dProduct[ProductID],dProduct[CratePrice])-_xlfn.XLOOKUP(fSales[[#This Row],[ProductID]],dProduct[ProductID],dProduct[CrateCost]))/_xlfn.XLOOKUP(fSales[[#This Row],[ProductID]],dProduct[ProductID],dProduct[CratePrice])</f>
        <v>0.42000000000000004</v>
      </c>
      <c r="N61" t="str">
        <f>_xlfn.XLOOKUP(fSales[[#This Row],[SalesRepID]],dPSalesRep[SalesRepID],dPSalesRep[SalesRep])</f>
        <v>Smitty Rad</v>
      </c>
      <c r="O61" t="str">
        <f>_xlfn.XLOOKUP(fSales[[#This Row],[SalesRepID]],dPSalesRep[SalesRepID],dPSalesRep[Region])</f>
        <v>MidWest</v>
      </c>
      <c r="P61" t="str">
        <f>_xlfn.XLOOKUP(fSales[[#This Row],[ProductID]],dProduct[ProductID],dProduct[Product])</f>
        <v>Cherry</v>
      </c>
      <c r="Q61">
        <f>_xlfn.XLOOKUP(fSales[[#This Row],[ProductID]],dProduct[ProductID],dProduct[CratePrice])-_xlfn.XLOOKUP(fSales[[#This Row],[ProductID]],dProduct[ProductID],dProduct[CrateCost])</f>
        <v>18.354000000000003</v>
      </c>
      <c r="R61">
        <f>_xlfn.XLOOKUP(fSales[[#This Row],[ProductID]],dProduct[ProductID],dProduct[CratePrice])</f>
        <v>43.7</v>
      </c>
      <c r="S61">
        <f>_xlfn.XLOOKUP(fSales[[#This Row],[ProductID]],dProduct[ProductID],dProduct[CrateCost])</f>
        <v>25.346</v>
      </c>
    </row>
    <row r="62" spans="7:33" x14ac:dyDescent="0.25">
      <c r="G62" s="2">
        <v>45335</v>
      </c>
      <c r="H62">
        <v>216</v>
      </c>
      <c r="I62" t="s">
        <v>34</v>
      </c>
      <c r="J62" t="s">
        <v>37</v>
      </c>
      <c r="K62">
        <f>_xlfn.XLOOKUP(fSales[[#This Row],[ProductID]],dProduct[ProductID],dProduct[CratePrice])*fSales[[#This Row],[Units]]</f>
        <v>3780</v>
      </c>
      <c r="L62">
        <f>fSales[[#This Row],[Total sales]]-_xlfn.XLOOKUP(fSales[[#This Row],[ProductID]],dProduct[ProductID],dProduct[CrateCost])*fSales[[#This Row],[Units]]</f>
        <v>1247.3999999999996</v>
      </c>
      <c r="M62">
        <f>(_xlfn.XLOOKUP(fSales[[#This Row],[ProductID]],dProduct[ProductID],dProduct[CratePrice])-_xlfn.XLOOKUP(fSales[[#This Row],[ProductID]],dProduct[ProductID],dProduct[CrateCost]))/_xlfn.XLOOKUP(fSales[[#This Row],[ProductID]],dProduct[ProductID],dProduct[CratePrice])</f>
        <v>0.3299999999999999</v>
      </c>
      <c r="N62" t="str">
        <f>_xlfn.XLOOKUP(fSales[[#This Row],[SalesRepID]],dPSalesRep[SalesRepID],dPSalesRep[SalesRep])</f>
        <v>Chantel Mims</v>
      </c>
      <c r="O62" t="str">
        <f>_xlfn.XLOOKUP(fSales[[#This Row],[SalesRepID]],dPSalesRep[SalesRepID],dPSalesRep[Region])</f>
        <v>NW</v>
      </c>
      <c r="P62" t="str">
        <f>_xlfn.XLOOKUP(fSales[[#This Row],[ProductID]],dProduct[ProductID],dProduct[Product])</f>
        <v>Banana</v>
      </c>
      <c r="Q62">
        <f>_xlfn.XLOOKUP(fSales[[#This Row],[ProductID]],dProduct[ProductID],dProduct[CratePrice])-_xlfn.XLOOKUP(fSales[[#This Row],[ProductID]],dProduct[ProductID],dProduct[CrateCost])</f>
        <v>5.7749999999999986</v>
      </c>
      <c r="R62">
        <f>_xlfn.XLOOKUP(fSales[[#This Row],[ProductID]],dProduct[ProductID],dProduct[CratePrice])</f>
        <v>17.5</v>
      </c>
      <c r="S62">
        <f>_xlfn.XLOOKUP(fSales[[#This Row],[ProductID]],dProduct[ProductID],dProduct[CrateCost])</f>
        <v>11.725000000000001</v>
      </c>
    </row>
    <row r="63" spans="7:33" x14ac:dyDescent="0.25">
      <c r="G63" s="2">
        <v>45336</v>
      </c>
      <c r="H63">
        <v>84</v>
      </c>
      <c r="I63" t="s">
        <v>19</v>
      </c>
      <c r="J63" t="s">
        <v>52</v>
      </c>
      <c r="K63">
        <f>_xlfn.XLOOKUP(fSales[[#This Row],[ProductID]],dProduct[ProductID],dProduct[CratePrice])*fSales[[#This Row],[Units]]</f>
        <v>2940</v>
      </c>
      <c r="L63">
        <f>fSales[[#This Row],[Total sales]]-_xlfn.XLOOKUP(fSales[[#This Row],[ProductID]],dProduct[ProductID],dProduct[CrateCost])*fSales[[#This Row],[Units]]</f>
        <v>1646.3999999999999</v>
      </c>
      <c r="M63">
        <f>(_xlfn.XLOOKUP(fSales[[#This Row],[ProductID]],dProduct[ProductID],dProduct[CratePrice])-_xlfn.XLOOKUP(fSales[[#This Row],[ProductID]],dProduct[ProductID],dProduct[CrateCost]))/_xlfn.XLOOKUP(fSales[[#This Row],[ProductID]],dProduct[ProductID],dProduct[CratePrice])</f>
        <v>0.56000000000000005</v>
      </c>
      <c r="N63" t="str">
        <f>_xlfn.XLOOKUP(fSales[[#This Row],[SalesRepID]],dPSalesRep[SalesRepID],dPSalesRep[SalesRep])</f>
        <v>Smitty Rad</v>
      </c>
      <c r="O63" t="str">
        <f>_xlfn.XLOOKUP(fSales[[#This Row],[SalesRepID]],dPSalesRep[SalesRepID],dPSalesRep[Region])</f>
        <v>MidWest</v>
      </c>
      <c r="P63" t="str">
        <f>_xlfn.XLOOKUP(fSales[[#This Row],[ProductID]],dProduct[ProductID],dProduct[Product])</f>
        <v>Apple</v>
      </c>
      <c r="Q63">
        <f>_xlfn.XLOOKUP(fSales[[#This Row],[ProductID]],dProduct[ProductID],dProduct[CratePrice])-_xlfn.XLOOKUP(fSales[[#This Row],[ProductID]],dProduct[ProductID],dProduct[CrateCost])</f>
        <v>19.600000000000001</v>
      </c>
      <c r="R63">
        <f>_xlfn.XLOOKUP(fSales[[#This Row],[ProductID]],dProduct[ProductID],dProduct[CratePrice])</f>
        <v>35</v>
      </c>
      <c r="S63">
        <f>_xlfn.XLOOKUP(fSales[[#This Row],[ProductID]],dProduct[ProductID],dProduct[CrateCost])</f>
        <v>15.4</v>
      </c>
    </row>
    <row r="64" spans="7:33" x14ac:dyDescent="0.25">
      <c r="G64" s="2">
        <v>45336</v>
      </c>
      <c r="H64">
        <v>72</v>
      </c>
      <c r="I64" t="s">
        <v>28</v>
      </c>
      <c r="J64" t="s">
        <v>32</v>
      </c>
      <c r="K64">
        <f>_xlfn.XLOOKUP(fSales[[#This Row],[ProductID]],dProduct[ProductID],dProduct[CratePrice])*fSales[[#This Row],[Units]]</f>
        <v>3146.4</v>
      </c>
      <c r="L64">
        <f>fSales[[#This Row],[Total sales]]-_xlfn.XLOOKUP(fSales[[#This Row],[ProductID]],dProduct[ProductID],dProduct[CrateCost])*fSales[[#This Row],[Units]]</f>
        <v>1321.4880000000001</v>
      </c>
      <c r="M64">
        <f>(_xlfn.XLOOKUP(fSales[[#This Row],[ProductID]],dProduct[ProductID],dProduct[CratePrice])-_xlfn.XLOOKUP(fSales[[#This Row],[ProductID]],dProduct[ProductID],dProduct[CrateCost]))/_xlfn.XLOOKUP(fSales[[#This Row],[ProductID]],dProduct[ProductID],dProduct[CratePrice])</f>
        <v>0.42000000000000004</v>
      </c>
      <c r="N64" t="str">
        <f>_xlfn.XLOOKUP(fSales[[#This Row],[SalesRepID]],dPSalesRep[SalesRepID],dPSalesRep[SalesRep])</f>
        <v>Shihara Fazzaa</v>
      </c>
      <c r="O64" t="str">
        <f>_xlfn.XLOOKUP(fSales[[#This Row],[SalesRepID]],dPSalesRep[SalesRepID],dPSalesRep[Region])</f>
        <v>East</v>
      </c>
      <c r="P64" t="str">
        <f>_xlfn.XLOOKUP(fSales[[#This Row],[ProductID]],dProduct[ProductID],dProduct[Product])</f>
        <v>Cherry</v>
      </c>
      <c r="Q64">
        <f>_xlfn.XLOOKUP(fSales[[#This Row],[ProductID]],dProduct[ProductID],dProduct[CratePrice])-_xlfn.XLOOKUP(fSales[[#This Row],[ProductID]],dProduct[ProductID],dProduct[CrateCost])</f>
        <v>18.354000000000003</v>
      </c>
      <c r="R64">
        <f>_xlfn.XLOOKUP(fSales[[#This Row],[ProductID]],dProduct[ProductID],dProduct[CratePrice])</f>
        <v>43.7</v>
      </c>
      <c r="S64">
        <f>_xlfn.XLOOKUP(fSales[[#This Row],[ProductID]],dProduct[ProductID],dProduct[CrateCost])</f>
        <v>25.346</v>
      </c>
    </row>
    <row r="65" spans="7:19" x14ac:dyDescent="0.25">
      <c r="G65" s="2">
        <v>45336</v>
      </c>
      <c r="H65">
        <v>48</v>
      </c>
      <c r="I65" t="s">
        <v>19</v>
      </c>
      <c r="J65" t="s">
        <v>32</v>
      </c>
      <c r="K65">
        <f>_xlfn.XLOOKUP(fSales[[#This Row],[ProductID]],dProduct[ProductID],dProduct[CratePrice])*fSales[[#This Row],[Units]]</f>
        <v>1680</v>
      </c>
      <c r="L65">
        <f>fSales[[#This Row],[Total sales]]-_xlfn.XLOOKUP(fSales[[#This Row],[ProductID]],dProduct[ProductID],dProduct[CrateCost])*fSales[[#This Row],[Units]]</f>
        <v>940.8</v>
      </c>
      <c r="M65">
        <f>(_xlfn.XLOOKUP(fSales[[#This Row],[ProductID]],dProduct[ProductID],dProduct[CratePrice])-_xlfn.XLOOKUP(fSales[[#This Row],[ProductID]],dProduct[ProductID],dProduct[CrateCost]))/_xlfn.XLOOKUP(fSales[[#This Row],[ProductID]],dProduct[ProductID],dProduct[CratePrice])</f>
        <v>0.56000000000000005</v>
      </c>
      <c r="N65" t="str">
        <f>_xlfn.XLOOKUP(fSales[[#This Row],[SalesRepID]],dPSalesRep[SalesRepID],dPSalesRep[SalesRep])</f>
        <v>Shihara Fazzaa</v>
      </c>
      <c r="O65" t="str">
        <f>_xlfn.XLOOKUP(fSales[[#This Row],[SalesRepID]],dPSalesRep[SalesRepID],dPSalesRep[Region])</f>
        <v>East</v>
      </c>
      <c r="P65" t="str">
        <f>_xlfn.XLOOKUP(fSales[[#This Row],[ProductID]],dProduct[ProductID],dProduct[Product])</f>
        <v>Apple</v>
      </c>
      <c r="Q65">
        <f>_xlfn.XLOOKUP(fSales[[#This Row],[ProductID]],dProduct[ProductID],dProduct[CratePrice])-_xlfn.XLOOKUP(fSales[[#This Row],[ProductID]],dProduct[ProductID],dProduct[CrateCost])</f>
        <v>19.600000000000001</v>
      </c>
      <c r="R65">
        <f>_xlfn.XLOOKUP(fSales[[#This Row],[ProductID]],dProduct[ProductID],dProduct[CratePrice])</f>
        <v>35</v>
      </c>
      <c r="S65">
        <f>_xlfn.XLOOKUP(fSales[[#This Row],[ProductID]],dProduct[ProductID],dProduct[CrateCost])</f>
        <v>15.4</v>
      </c>
    </row>
    <row r="66" spans="7:19" x14ac:dyDescent="0.25">
      <c r="G66" s="2">
        <v>45336</v>
      </c>
      <c r="H66">
        <v>252</v>
      </c>
      <c r="I66" t="s">
        <v>21</v>
      </c>
      <c r="J66" t="s">
        <v>22</v>
      </c>
      <c r="K66">
        <f>_xlfn.XLOOKUP(fSales[[#This Row],[ProductID]],dProduct[ProductID],dProduct[CratePrice])*fSales[[#This Row],[Units]]</f>
        <v>5670</v>
      </c>
      <c r="L66">
        <f>fSales[[#This Row],[Total sales]]-_xlfn.XLOOKUP(fSales[[#This Row],[ProductID]],dProduct[ProductID],dProduct[CrateCost])*fSales[[#This Row],[Units]]</f>
        <v>2494.7999999999997</v>
      </c>
      <c r="M66">
        <f>(_xlfn.XLOOKUP(fSales[[#This Row],[ProductID]],dProduct[ProductID],dProduct[CratePrice])-_xlfn.XLOOKUP(fSales[[#This Row],[ProductID]],dProduct[ProductID],dProduct[CrateCost]))/_xlfn.XLOOKUP(fSales[[#This Row],[ProductID]],dProduct[ProductID],dProduct[CratePrice])</f>
        <v>0.43999999999999995</v>
      </c>
      <c r="N66" t="str">
        <f>_xlfn.XLOOKUP(fSales[[#This Row],[SalesRepID]],dPSalesRep[SalesRepID],dPSalesRep[SalesRep])</f>
        <v>Timmy Kips</v>
      </c>
      <c r="O66" t="str">
        <f>_xlfn.XLOOKUP(fSales[[#This Row],[SalesRepID]],dPSalesRep[SalesRepID],dPSalesRep[Region])</f>
        <v>East</v>
      </c>
      <c r="P66" t="str">
        <f>_xlfn.XLOOKUP(fSales[[#This Row],[ProductID]],dProduct[ProductID],dProduct[Product])</f>
        <v>Kiwi</v>
      </c>
      <c r="Q66">
        <f>_xlfn.XLOOKUP(fSales[[#This Row],[ProductID]],dProduct[ProductID],dProduct[CratePrice])-_xlfn.XLOOKUP(fSales[[#This Row],[ProductID]],dProduct[ProductID],dProduct[CrateCost])</f>
        <v>9.8999999999999986</v>
      </c>
      <c r="R66">
        <f>_xlfn.XLOOKUP(fSales[[#This Row],[ProductID]],dProduct[ProductID],dProduct[CratePrice])</f>
        <v>22.5</v>
      </c>
      <c r="S66">
        <f>_xlfn.XLOOKUP(fSales[[#This Row],[ProductID]],dProduct[ProductID],dProduct[CrateCost])</f>
        <v>12.600000000000001</v>
      </c>
    </row>
    <row r="67" spans="7:19" x14ac:dyDescent="0.25">
      <c r="G67" s="2">
        <v>45336</v>
      </c>
      <c r="H67">
        <v>60</v>
      </c>
      <c r="I67" t="s">
        <v>21</v>
      </c>
      <c r="J67" t="s">
        <v>37</v>
      </c>
      <c r="K67">
        <f>_xlfn.XLOOKUP(fSales[[#This Row],[ProductID]],dProduct[ProductID],dProduct[CratePrice])*fSales[[#This Row],[Units]]</f>
        <v>1350</v>
      </c>
      <c r="L67">
        <f>fSales[[#This Row],[Total sales]]-_xlfn.XLOOKUP(fSales[[#This Row],[ProductID]],dProduct[ProductID],dProduct[CrateCost])*fSales[[#This Row],[Units]]</f>
        <v>593.99999999999989</v>
      </c>
      <c r="M67">
        <f>(_xlfn.XLOOKUP(fSales[[#This Row],[ProductID]],dProduct[ProductID],dProduct[CratePrice])-_xlfn.XLOOKUP(fSales[[#This Row],[ProductID]],dProduct[ProductID],dProduct[CrateCost]))/_xlfn.XLOOKUP(fSales[[#This Row],[ProductID]],dProduct[ProductID],dProduct[CratePrice])</f>
        <v>0.43999999999999995</v>
      </c>
      <c r="N67" t="str">
        <f>_xlfn.XLOOKUP(fSales[[#This Row],[SalesRepID]],dPSalesRep[SalesRepID],dPSalesRep[SalesRep])</f>
        <v>Chantel Mims</v>
      </c>
      <c r="O67" t="str">
        <f>_xlfn.XLOOKUP(fSales[[#This Row],[SalesRepID]],dPSalesRep[SalesRepID],dPSalesRep[Region])</f>
        <v>NW</v>
      </c>
      <c r="P67" t="str">
        <f>_xlfn.XLOOKUP(fSales[[#This Row],[ProductID]],dProduct[ProductID],dProduct[Product])</f>
        <v>Kiwi</v>
      </c>
      <c r="Q67">
        <f>_xlfn.XLOOKUP(fSales[[#This Row],[ProductID]],dProduct[ProductID],dProduct[CratePrice])-_xlfn.XLOOKUP(fSales[[#This Row],[ProductID]],dProduct[ProductID],dProduct[CrateCost])</f>
        <v>9.8999999999999986</v>
      </c>
      <c r="R67">
        <f>_xlfn.XLOOKUP(fSales[[#This Row],[ProductID]],dProduct[ProductID],dProduct[CratePrice])</f>
        <v>22.5</v>
      </c>
      <c r="S67">
        <f>_xlfn.XLOOKUP(fSales[[#This Row],[ProductID]],dProduct[ProductID],dProduct[CrateCost])</f>
        <v>12.600000000000001</v>
      </c>
    </row>
    <row r="68" spans="7:19" x14ac:dyDescent="0.25">
      <c r="G68" s="2">
        <v>45337</v>
      </c>
      <c r="H68">
        <v>60</v>
      </c>
      <c r="I68" t="s">
        <v>34</v>
      </c>
      <c r="J68" t="s">
        <v>29</v>
      </c>
      <c r="K68">
        <f>_xlfn.XLOOKUP(fSales[[#This Row],[ProductID]],dProduct[ProductID],dProduct[CratePrice])*fSales[[#This Row],[Units]]</f>
        <v>1050</v>
      </c>
      <c r="L68">
        <f>fSales[[#This Row],[Total sales]]-_xlfn.XLOOKUP(fSales[[#This Row],[ProductID]],dProduct[ProductID],dProduct[CrateCost])*fSales[[#This Row],[Units]]</f>
        <v>346.49999999999989</v>
      </c>
      <c r="M68">
        <f>(_xlfn.XLOOKUP(fSales[[#This Row],[ProductID]],dProduct[ProductID],dProduct[CratePrice])-_xlfn.XLOOKUP(fSales[[#This Row],[ProductID]],dProduct[ProductID],dProduct[CrateCost]))/_xlfn.XLOOKUP(fSales[[#This Row],[ProductID]],dProduct[ProductID],dProduct[CratePrice])</f>
        <v>0.3299999999999999</v>
      </c>
      <c r="N68" t="str">
        <f>_xlfn.XLOOKUP(fSales[[#This Row],[SalesRepID]],dPSalesRep[SalesRepID],dPSalesRep[SalesRep])</f>
        <v>Sioux Best</v>
      </c>
      <c r="O68" t="str">
        <f>_xlfn.XLOOKUP(fSales[[#This Row],[SalesRepID]],dPSalesRep[SalesRepID],dPSalesRep[Region])</f>
        <v>West</v>
      </c>
      <c r="P68" t="str">
        <f>_xlfn.XLOOKUP(fSales[[#This Row],[ProductID]],dProduct[ProductID],dProduct[Product])</f>
        <v>Banana</v>
      </c>
      <c r="Q68">
        <f>_xlfn.XLOOKUP(fSales[[#This Row],[ProductID]],dProduct[ProductID],dProduct[CratePrice])-_xlfn.XLOOKUP(fSales[[#This Row],[ProductID]],dProduct[ProductID],dProduct[CrateCost])</f>
        <v>5.7749999999999986</v>
      </c>
      <c r="R68">
        <f>_xlfn.XLOOKUP(fSales[[#This Row],[ProductID]],dProduct[ProductID],dProduct[CratePrice])</f>
        <v>17.5</v>
      </c>
      <c r="S68">
        <f>_xlfn.XLOOKUP(fSales[[#This Row],[ProductID]],dProduct[ProductID],dProduct[CrateCost])</f>
        <v>11.725000000000001</v>
      </c>
    </row>
    <row r="69" spans="7:19" x14ac:dyDescent="0.25">
      <c r="G69" s="2">
        <v>45337</v>
      </c>
      <c r="H69">
        <v>168</v>
      </c>
      <c r="I69" t="s">
        <v>19</v>
      </c>
      <c r="J69" t="s">
        <v>29</v>
      </c>
      <c r="K69">
        <f>_xlfn.XLOOKUP(fSales[[#This Row],[ProductID]],dProduct[ProductID],dProduct[CratePrice])*fSales[[#This Row],[Units]]</f>
        <v>5880</v>
      </c>
      <c r="L69">
        <f>fSales[[#This Row],[Total sales]]-_xlfn.XLOOKUP(fSales[[#This Row],[ProductID]],dProduct[ProductID],dProduct[CrateCost])*fSales[[#This Row],[Units]]</f>
        <v>3292.7999999999997</v>
      </c>
      <c r="M69">
        <f>(_xlfn.XLOOKUP(fSales[[#This Row],[ProductID]],dProduct[ProductID],dProduct[CratePrice])-_xlfn.XLOOKUP(fSales[[#This Row],[ProductID]],dProduct[ProductID],dProduct[CrateCost]))/_xlfn.XLOOKUP(fSales[[#This Row],[ProductID]],dProduct[ProductID],dProduct[CratePrice])</f>
        <v>0.56000000000000005</v>
      </c>
      <c r="N69" t="str">
        <f>_xlfn.XLOOKUP(fSales[[#This Row],[SalesRepID]],dPSalesRep[SalesRepID],dPSalesRep[SalesRep])</f>
        <v>Sioux Best</v>
      </c>
      <c r="O69" t="str">
        <f>_xlfn.XLOOKUP(fSales[[#This Row],[SalesRepID]],dPSalesRep[SalesRepID],dPSalesRep[Region])</f>
        <v>West</v>
      </c>
      <c r="P69" t="str">
        <f>_xlfn.XLOOKUP(fSales[[#This Row],[ProductID]],dProduct[ProductID],dProduct[Product])</f>
        <v>Apple</v>
      </c>
      <c r="Q69">
        <f>_xlfn.XLOOKUP(fSales[[#This Row],[ProductID]],dProduct[ProductID],dProduct[CratePrice])-_xlfn.XLOOKUP(fSales[[#This Row],[ProductID]],dProduct[ProductID],dProduct[CrateCost])</f>
        <v>19.600000000000001</v>
      </c>
      <c r="R69">
        <f>_xlfn.XLOOKUP(fSales[[#This Row],[ProductID]],dProduct[ProductID],dProduct[CratePrice])</f>
        <v>35</v>
      </c>
      <c r="S69">
        <f>_xlfn.XLOOKUP(fSales[[#This Row],[ProductID]],dProduct[ProductID],dProduct[CrateCost])</f>
        <v>15.4</v>
      </c>
    </row>
    <row r="70" spans="7:19" x14ac:dyDescent="0.25">
      <c r="G70" s="2">
        <v>45339</v>
      </c>
      <c r="H70">
        <v>288</v>
      </c>
      <c r="I70" t="s">
        <v>28</v>
      </c>
      <c r="J70" t="s">
        <v>52</v>
      </c>
      <c r="K70">
        <f>_xlfn.XLOOKUP(fSales[[#This Row],[ProductID]],dProduct[ProductID],dProduct[CratePrice])*fSales[[#This Row],[Units]]</f>
        <v>12585.6</v>
      </c>
      <c r="L70">
        <f>fSales[[#This Row],[Total sales]]-_xlfn.XLOOKUP(fSales[[#This Row],[ProductID]],dProduct[ProductID],dProduct[CrateCost])*fSales[[#This Row],[Units]]</f>
        <v>5285.9520000000002</v>
      </c>
      <c r="M70">
        <f>(_xlfn.XLOOKUP(fSales[[#This Row],[ProductID]],dProduct[ProductID],dProduct[CratePrice])-_xlfn.XLOOKUP(fSales[[#This Row],[ProductID]],dProduct[ProductID],dProduct[CrateCost]))/_xlfn.XLOOKUP(fSales[[#This Row],[ProductID]],dProduct[ProductID],dProduct[CratePrice])</f>
        <v>0.42000000000000004</v>
      </c>
      <c r="N70" t="str">
        <f>_xlfn.XLOOKUP(fSales[[#This Row],[SalesRepID]],dPSalesRep[SalesRepID],dPSalesRep[SalesRep])</f>
        <v>Smitty Rad</v>
      </c>
      <c r="O70" t="str">
        <f>_xlfn.XLOOKUP(fSales[[#This Row],[SalesRepID]],dPSalesRep[SalesRepID],dPSalesRep[Region])</f>
        <v>MidWest</v>
      </c>
      <c r="P70" t="str">
        <f>_xlfn.XLOOKUP(fSales[[#This Row],[ProductID]],dProduct[ProductID],dProduct[Product])</f>
        <v>Cherry</v>
      </c>
      <c r="Q70">
        <f>_xlfn.XLOOKUP(fSales[[#This Row],[ProductID]],dProduct[ProductID],dProduct[CratePrice])-_xlfn.XLOOKUP(fSales[[#This Row],[ProductID]],dProduct[ProductID],dProduct[CrateCost])</f>
        <v>18.354000000000003</v>
      </c>
      <c r="R70">
        <f>_xlfn.XLOOKUP(fSales[[#This Row],[ProductID]],dProduct[ProductID],dProduct[CratePrice])</f>
        <v>43.7</v>
      </c>
      <c r="S70">
        <f>_xlfn.XLOOKUP(fSales[[#This Row],[ProductID]],dProduct[ProductID],dProduct[CrateCost])</f>
        <v>25.346</v>
      </c>
    </row>
    <row r="71" spans="7:19" x14ac:dyDescent="0.25">
      <c r="G71" s="2">
        <v>45339</v>
      </c>
      <c r="H71">
        <v>252</v>
      </c>
      <c r="I71" t="s">
        <v>28</v>
      </c>
      <c r="J71" t="s">
        <v>22</v>
      </c>
      <c r="K71">
        <f>_xlfn.XLOOKUP(fSales[[#This Row],[ProductID]],dProduct[ProductID],dProduct[CratePrice])*fSales[[#This Row],[Units]]</f>
        <v>11012.400000000001</v>
      </c>
      <c r="L71">
        <f>fSales[[#This Row],[Total sales]]-_xlfn.XLOOKUP(fSales[[#This Row],[ProductID]],dProduct[ProductID],dProduct[CrateCost])*fSales[[#This Row],[Units]]</f>
        <v>4625.2080000000014</v>
      </c>
      <c r="M71">
        <f>(_xlfn.XLOOKUP(fSales[[#This Row],[ProductID]],dProduct[ProductID],dProduct[CratePrice])-_xlfn.XLOOKUP(fSales[[#This Row],[ProductID]],dProduct[ProductID],dProduct[CrateCost]))/_xlfn.XLOOKUP(fSales[[#This Row],[ProductID]],dProduct[ProductID],dProduct[CratePrice])</f>
        <v>0.42000000000000004</v>
      </c>
      <c r="N71" t="str">
        <f>_xlfn.XLOOKUP(fSales[[#This Row],[SalesRepID]],dPSalesRep[SalesRepID],dPSalesRep[SalesRep])</f>
        <v>Timmy Kips</v>
      </c>
      <c r="O71" t="str">
        <f>_xlfn.XLOOKUP(fSales[[#This Row],[SalesRepID]],dPSalesRep[SalesRepID],dPSalesRep[Region])</f>
        <v>East</v>
      </c>
      <c r="P71" t="str">
        <f>_xlfn.XLOOKUP(fSales[[#This Row],[ProductID]],dProduct[ProductID],dProduct[Product])</f>
        <v>Cherry</v>
      </c>
      <c r="Q71">
        <f>_xlfn.XLOOKUP(fSales[[#This Row],[ProductID]],dProduct[ProductID],dProduct[CratePrice])-_xlfn.XLOOKUP(fSales[[#This Row],[ProductID]],dProduct[ProductID],dProduct[CrateCost])</f>
        <v>18.354000000000003</v>
      </c>
      <c r="R71">
        <f>_xlfn.XLOOKUP(fSales[[#This Row],[ProductID]],dProduct[ProductID],dProduct[CratePrice])</f>
        <v>43.7</v>
      </c>
      <c r="S71">
        <f>_xlfn.XLOOKUP(fSales[[#This Row],[ProductID]],dProduct[ProductID],dProduct[CrateCost])</f>
        <v>25.346</v>
      </c>
    </row>
    <row r="72" spans="7:19" x14ac:dyDescent="0.25">
      <c r="G72" s="2">
        <v>45341</v>
      </c>
      <c r="H72">
        <v>180</v>
      </c>
      <c r="I72" t="s">
        <v>28</v>
      </c>
      <c r="J72" t="s">
        <v>29</v>
      </c>
      <c r="K72">
        <f>_xlfn.XLOOKUP(fSales[[#This Row],[ProductID]],dProduct[ProductID],dProduct[CratePrice])*fSales[[#This Row],[Units]]</f>
        <v>7866.0000000000009</v>
      </c>
      <c r="L72">
        <f>fSales[[#This Row],[Total sales]]-_xlfn.XLOOKUP(fSales[[#This Row],[ProductID]],dProduct[ProductID],dProduct[CrateCost])*fSales[[#This Row],[Units]]</f>
        <v>3303.7200000000012</v>
      </c>
      <c r="M72">
        <f>(_xlfn.XLOOKUP(fSales[[#This Row],[ProductID]],dProduct[ProductID],dProduct[CratePrice])-_xlfn.XLOOKUP(fSales[[#This Row],[ProductID]],dProduct[ProductID],dProduct[CrateCost]))/_xlfn.XLOOKUP(fSales[[#This Row],[ProductID]],dProduct[ProductID],dProduct[CratePrice])</f>
        <v>0.42000000000000004</v>
      </c>
      <c r="N72" t="str">
        <f>_xlfn.XLOOKUP(fSales[[#This Row],[SalesRepID]],dPSalesRep[SalesRepID],dPSalesRep[SalesRep])</f>
        <v>Sioux Best</v>
      </c>
      <c r="O72" t="str">
        <f>_xlfn.XLOOKUP(fSales[[#This Row],[SalesRepID]],dPSalesRep[SalesRepID],dPSalesRep[Region])</f>
        <v>West</v>
      </c>
      <c r="P72" t="str">
        <f>_xlfn.XLOOKUP(fSales[[#This Row],[ProductID]],dProduct[ProductID],dProduct[Product])</f>
        <v>Cherry</v>
      </c>
      <c r="Q72">
        <f>_xlfn.XLOOKUP(fSales[[#This Row],[ProductID]],dProduct[ProductID],dProduct[CratePrice])-_xlfn.XLOOKUP(fSales[[#This Row],[ProductID]],dProduct[ProductID],dProduct[CrateCost])</f>
        <v>18.354000000000003</v>
      </c>
      <c r="R72">
        <f>_xlfn.XLOOKUP(fSales[[#This Row],[ProductID]],dProduct[ProductID],dProduct[CratePrice])</f>
        <v>43.7</v>
      </c>
      <c r="S72">
        <f>_xlfn.XLOOKUP(fSales[[#This Row],[ProductID]],dProduct[ProductID],dProduct[CrateCost])</f>
        <v>25.346</v>
      </c>
    </row>
    <row r="73" spans="7:19" x14ac:dyDescent="0.25">
      <c r="G73" s="2">
        <v>45341</v>
      </c>
      <c r="H73">
        <v>144</v>
      </c>
      <c r="I73" t="s">
        <v>34</v>
      </c>
      <c r="J73" t="s">
        <v>22</v>
      </c>
      <c r="K73">
        <f>_xlfn.XLOOKUP(fSales[[#This Row],[ProductID]],dProduct[ProductID],dProduct[CratePrice])*fSales[[#This Row],[Units]]</f>
        <v>2520</v>
      </c>
      <c r="L73">
        <f>fSales[[#This Row],[Total sales]]-_xlfn.XLOOKUP(fSales[[#This Row],[ProductID]],dProduct[ProductID],dProduct[CrateCost])*fSales[[#This Row],[Units]]</f>
        <v>831.59999999999991</v>
      </c>
      <c r="M73">
        <f>(_xlfn.XLOOKUP(fSales[[#This Row],[ProductID]],dProduct[ProductID],dProduct[CratePrice])-_xlfn.XLOOKUP(fSales[[#This Row],[ProductID]],dProduct[ProductID],dProduct[CrateCost]))/_xlfn.XLOOKUP(fSales[[#This Row],[ProductID]],dProduct[ProductID],dProduct[CratePrice])</f>
        <v>0.3299999999999999</v>
      </c>
      <c r="N73" t="str">
        <f>_xlfn.XLOOKUP(fSales[[#This Row],[SalesRepID]],dPSalesRep[SalesRepID],dPSalesRep[SalesRep])</f>
        <v>Timmy Kips</v>
      </c>
      <c r="O73" t="str">
        <f>_xlfn.XLOOKUP(fSales[[#This Row],[SalesRepID]],dPSalesRep[SalesRepID],dPSalesRep[Region])</f>
        <v>East</v>
      </c>
      <c r="P73" t="str">
        <f>_xlfn.XLOOKUP(fSales[[#This Row],[ProductID]],dProduct[ProductID],dProduct[Product])</f>
        <v>Banana</v>
      </c>
      <c r="Q73">
        <f>_xlfn.XLOOKUP(fSales[[#This Row],[ProductID]],dProduct[ProductID],dProduct[CratePrice])-_xlfn.XLOOKUP(fSales[[#This Row],[ProductID]],dProduct[ProductID],dProduct[CrateCost])</f>
        <v>5.7749999999999986</v>
      </c>
      <c r="R73">
        <f>_xlfn.XLOOKUP(fSales[[#This Row],[ProductID]],dProduct[ProductID],dProduct[CratePrice])</f>
        <v>17.5</v>
      </c>
      <c r="S73">
        <f>_xlfn.XLOOKUP(fSales[[#This Row],[ProductID]],dProduct[ProductID],dProduct[CrateCost])</f>
        <v>11.725000000000001</v>
      </c>
    </row>
    <row r="74" spans="7:19" x14ac:dyDescent="0.25">
      <c r="G74" s="2">
        <v>45342</v>
      </c>
      <c r="H74">
        <v>60</v>
      </c>
      <c r="I74" t="s">
        <v>28</v>
      </c>
      <c r="J74" t="s">
        <v>32</v>
      </c>
      <c r="K74">
        <f>_xlfn.XLOOKUP(fSales[[#This Row],[ProductID]],dProduct[ProductID],dProduct[CratePrice])*fSales[[#This Row],[Units]]</f>
        <v>2622</v>
      </c>
      <c r="L74">
        <f>fSales[[#This Row],[Total sales]]-_xlfn.XLOOKUP(fSales[[#This Row],[ProductID]],dProduct[ProductID],dProduct[CrateCost])*fSales[[#This Row],[Units]]</f>
        <v>1101.24</v>
      </c>
      <c r="M74">
        <f>(_xlfn.XLOOKUP(fSales[[#This Row],[ProductID]],dProduct[ProductID],dProduct[CratePrice])-_xlfn.XLOOKUP(fSales[[#This Row],[ProductID]],dProduct[ProductID],dProduct[CrateCost]))/_xlfn.XLOOKUP(fSales[[#This Row],[ProductID]],dProduct[ProductID],dProduct[CratePrice])</f>
        <v>0.42000000000000004</v>
      </c>
      <c r="N74" t="str">
        <f>_xlfn.XLOOKUP(fSales[[#This Row],[SalesRepID]],dPSalesRep[SalesRepID],dPSalesRep[SalesRep])</f>
        <v>Shihara Fazzaa</v>
      </c>
      <c r="O74" t="str">
        <f>_xlfn.XLOOKUP(fSales[[#This Row],[SalesRepID]],dPSalesRep[SalesRepID],dPSalesRep[Region])</f>
        <v>East</v>
      </c>
      <c r="P74" t="str">
        <f>_xlfn.XLOOKUP(fSales[[#This Row],[ProductID]],dProduct[ProductID],dProduct[Product])</f>
        <v>Cherry</v>
      </c>
      <c r="Q74">
        <f>_xlfn.XLOOKUP(fSales[[#This Row],[ProductID]],dProduct[ProductID],dProduct[CratePrice])-_xlfn.XLOOKUP(fSales[[#This Row],[ProductID]],dProduct[ProductID],dProduct[CrateCost])</f>
        <v>18.354000000000003</v>
      </c>
      <c r="R74">
        <f>_xlfn.XLOOKUP(fSales[[#This Row],[ProductID]],dProduct[ProductID],dProduct[CratePrice])</f>
        <v>43.7</v>
      </c>
      <c r="S74">
        <f>_xlfn.XLOOKUP(fSales[[#This Row],[ProductID]],dProduct[ProductID],dProduct[CrateCost])</f>
        <v>25.346</v>
      </c>
    </row>
    <row r="75" spans="7:19" x14ac:dyDescent="0.25">
      <c r="G75" s="2">
        <v>45342</v>
      </c>
      <c r="H75">
        <v>24</v>
      </c>
      <c r="I75" t="s">
        <v>19</v>
      </c>
      <c r="J75" t="s">
        <v>22</v>
      </c>
      <c r="K75">
        <f>_xlfn.XLOOKUP(fSales[[#This Row],[ProductID]],dProduct[ProductID],dProduct[CratePrice])*fSales[[#This Row],[Units]]</f>
        <v>840</v>
      </c>
      <c r="L75">
        <f>fSales[[#This Row],[Total sales]]-_xlfn.XLOOKUP(fSales[[#This Row],[ProductID]],dProduct[ProductID],dProduct[CrateCost])*fSales[[#This Row],[Units]]</f>
        <v>470.4</v>
      </c>
      <c r="M75">
        <f>(_xlfn.XLOOKUP(fSales[[#This Row],[ProductID]],dProduct[ProductID],dProduct[CratePrice])-_xlfn.XLOOKUP(fSales[[#This Row],[ProductID]],dProduct[ProductID],dProduct[CrateCost]))/_xlfn.XLOOKUP(fSales[[#This Row],[ProductID]],dProduct[ProductID],dProduct[CratePrice])</f>
        <v>0.56000000000000005</v>
      </c>
      <c r="N75" t="str">
        <f>_xlfn.XLOOKUP(fSales[[#This Row],[SalesRepID]],dPSalesRep[SalesRepID],dPSalesRep[SalesRep])</f>
        <v>Timmy Kips</v>
      </c>
      <c r="O75" t="str">
        <f>_xlfn.XLOOKUP(fSales[[#This Row],[SalesRepID]],dPSalesRep[SalesRepID],dPSalesRep[Region])</f>
        <v>East</v>
      </c>
      <c r="P75" t="str">
        <f>_xlfn.XLOOKUP(fSales[[#This Row],[ProductID]],dProduct[ProductID],dProduct[Product])</f>
        <v>Apple</v>
      </c>
      <c r="Q75">
        <f>_xlfn.XLOOKUP(fSales[[#This Row],[ProductID]],dProduct[ProductID],dProduct[CratePrice])-_xlfn.XLOOKUP(fSales[[#This Row],[ProductID]],dProduct[ProductID],dProduct[CrateCost])</f>
        <v>19.600000000000001</v>
      </c>
      <c r="R75">
        <f>_xlfn.XLOOKUP(fSales[[#This Row],[ProductID]],dProduct[ProductID],dProduct[CratePrice])</f>
        <v>35</v>
      </c>
      <c r="S75">
        <f>_xlfn.XLOOKUP(fSales[[#This Row],[ProductID]],dProduct[ProductID],dProduct[CrateCost])</f>
        <v>15.4</v>
      </c>
    </row>
    <row r="76" spans="7:19" x14ac:dyDescent="0.25">
      <c r="G76" s="2">
        <v>45344</v>
      </c>
      <c r="H76">
        <v>180</v>
      </c>
      <c r="I76" t="s">
        <v>21</v>
      </c>
      <c r="J76" t="s">
        <v>22</v>
      </c>
      <c r="K76">
        <f>_xlfn.XLOOKUP(fSales[[#This Row],[ProductID]],dProduct[ProductID],dProduct[CratePrice])*fSales[[#This Row],[Units]]</f>
        <v>4050</v>
      </c>
      <c r="L76">
        <f>fSales[[#This Row],[Total sales]]-_xlfn.XLOOKUP(fSales[[#This Row],[ProductID]],dProduct[ProductID],dProduct[CrateCost])*fSales[[#This Row],[Units]]</f>
        <v>1781.9999999999995</v>
      </c>
      <c r="M76">
        <f>(_xlfn.XLOOKUP(fSales[[#This Row],[ProductID]],dProduct[ProductID],dProduct[CratePrice])-_xlfn.XLOOKUP(fSales[[#This Row],[ProductID]],dProduct[ProductID],dProduct[CrateCost]))/_xlfn.XLOOKUP(fSales[[#This Row],[ProductID]],dProduct[ProductID],dProduct[CratePrice])</f>
        <v>0.43999999999999995</v>
      </c>
      <c r="N76" t="str">
        <f>_xlfn.XLOOKUP(fSales[[#This Row],[SalesRepID]],dPSalesRep[SalesRepID],dPSalesRep[SalesRep])</f>
        <v>Timmy Kips</v>
      </c>
      <c r="O76" t="str">
        <f>_xlfn.XLOOKUP(fSales[[#This Row],[SalesRepID]],dPSalesRep[SalesRepID],dPSalesRep[Region])</f>
        <v>East</v>
      </c>
      <c r="P76" t="str">
        <f>_xlfn.XLOOKUP(fSales[[#This Row],[ProductID]],dProduct[ProductID],dProduct[Product])</f>
        <v>Kiwi</v>
      </c>
      <c r="Q76">
        <f>_xlfn.XLOOKUP(fSales[[#This Row],[ProductID]],dProduct[ProductID],dProduct[CratePrice])-_xlfn.XLOOKUP(fSales[[#This Row],[ProductID]],dProduct[ProductID],dProduct[CrateCost])</f>
        <v>9.8999999999999986</v>
      </c>
      <c r="R76">
        <f>_xlfn.XLOOKUP(fSales[[#This Row],[ProductID]],dProduct[ProductID],dProduct[CratePrice])</f>
        <v>22.5</v>
      </c>
      <c r="S76">
        <f>_xlfn.XLOOKUP(fSales[[#This Row],[ProductID]],dProduct[ProductID],dProduct[CrateCost])</f>
        <v>12.600000000000001</v>
      </c>
    </row>
    <row r="77" spans="7:19" x14ac:dyDescent="0.25">
      <c r="G77" s="2">
        <v>45345</v>
      </c>
      <c r="H77">
        <v>48</v>
      </c>
      <c r="I77" t="s">
        <v>28</v>
      </c>
      <c r="J77" t="s">
        <v>22</v>
      </c>
      <c r="K77">
        <f>_xlfn.XLOOKUP(fSales[[#This Row],[ProductID]],dProduct[ProductID],dProduct[CratePrice])*fSales[[#This Row],[Units]]</f>
        <v>2097.6000000000004</v>
      </c>
      <c r="L77">
        <f>fSales[[#This Row],[Total sales]]-_xlfn.XLOOKUP(fSales[[#This Row],[ProductID]],dProduct[ProductID],dProduct[CrateCost])*fSales[[#This Row],[Units]]</f>
        <v>880.99200000000042</v>
      </c>
      <c r="M77">
        <f>(_xlfn.XLOOKUP(fSales[[#This Row],[ProductID]],dProduct[ProductID],dProduct[CratePrice])-_xlfn.XLOOKUP(fSales[[#This Row],[ProductID]],dProduct[ProductID],dProduct[CrateCost]))/_xlfn.XLOOKUP(fSales[[#This Row],[ProductID]],dProduct[ProductID],dProduct[CratePrice])</f>
        <v>0.42000000000000004</v>
      </c>
      <c r="N77" t="str">
        <f>_xlfn.XLOOKUP(fSales[[#This Row],[SalesRepID]],dPSalesRep[SalesRepID],dPSalesRep[SalesRep])</f>
        <v>Timmy Kips</v>
      </c>
      <c r="O77" t="str">
        <f>_xlfn.XLOOKUP(fSales[[#This Row],[SalesRepID]],dPSalesRep[SalesRepID],dPSalesRep[Region])</f>
        <v>East</v>
      </c>
      <c r="P77" t="str">
        <f>_xlfn.XLOOKUP(fSales[[#This Row],[ProductID]],dProduct[ProductID],dProduct[Product])</f>
        <v>Cherry</v>
      </c>
      <c r="Q77">
        <f>_xlfn.XLOOKUP(fSales[[#This Row],[ProductID]],dProduct[ProductID],dProduct[CratePrice])-_xlfn.XLOOKUP(fSales[[#This Row],[ProductID]],dProduct[ProductID],dProduct[CrateCost])</f>
        <v>18.354000000000003</v>
      </c>
      <c r="R77">
        <f>_xlfn.XLOOKUP(fSales[[#This Row],[ProductID]],dProduct[ProductID],dProduct[CratePrice])</f>
        <v>43.7</v>
      </c>
      <c r="S77">
        <f>_xlfn.XLOOKUP(fSales[[#This Row],[ProductID]],dProduct[ProductID],dProduct[CrateCost])</f>
        <v>25.346</v>
      </c>
    </row>
    <row r="78" spans="7:19" x14ac:dyDescent="0.25">
      <c r="G78" s="2">
        <v>45345</v>
      </c>
      <c r="H78">
        <v>72</v>
      </c>
      <c r="I78" t="s">
        <v>34</v>
      </c>
      <c r="J78" t="s">
        <v>22</v>
      </c>
      <c r="K78">
        <f>_xlfn.XLOOKUP(fSales[[#This Row],[ProductID]],dProduct[ProductID],dProduct[CratePrice])*fSales[[#This Row],[Units]]</f>
        <v>1260</v>
      </c>
      <c r="L78">
        <f>fSales[[#This Row],[Total sales]]-_xlfn.XLOOKUP(fSales[[#This Row],[ProductID]],dProduct[ProductID],dProduct[CrateCost])*fSales[[#This Row],[Units]]</f>
        <v>415.79999999999995</v>
      </c>
      <c r="M78">
        <f>(_xlfn.XLOOKUP(fSales[[#This Row],[ProductID]],dProduct[ProductID],dProduct[CratePrice])-_xlfn.XLOOKUP(fSales[[#This Row],[ProductID]],dProduct[ProductID],dProduct[CrateCost]))/_xlfn.XLOOKUP(fSales[[#This Row],[ProductID]],dProduct[ProductID],dProduct[CratePrice])</f>
        <v>0.3299999999999999</v>
      </c>
      <c r="N78" t="str">
        <f>_xlfn.XLOOKUP(fSales[[#This Row],[SalesRepID]],dPSalesRep[SalesRepID],dPSalesRep[SalesRep])</f>
        <v>Timmy Kips</v>
      </c>
      <c r="O78" t="str">
        <f>_xlfn.XLOOKUP(fSales[[#This Row],[SalesRepID]],dPSalesRep[SalesRepID],dPSalesRep[Region])</f>
        <v>East</v>
      </c>
      <c r="P78" t="str">
        <f>_xlfn.XLOOKUP(fSales[[#This Row],[ProductID]],dProduct[ProductID],dProduct[Product])</f>
        <v>Banana</v>
      </c>
      <c r="Q78">
        <f>_xlfn.XLOOKUP(fSales[[#This Row],[ProductID]],dProduct[ProductID],dProduct[CratePrice])-_xlfn.XLOOKUP(fSales[[#This Row],[ProductID]],dProduct[ProductID],dProduct[CrateCost])</f>
        <v>5.7749999999999986</v>
      </c>
      <c r="R78">
        <f>_xlfn.XLOOKUP(fSales[[#This Row],[ProductID]],dProduct[ProductID],dProduct[CratePrice])</f>
        <v>17.5</v>
      </c>
      <c r="S78">
        <f>_xlfn.XLOOKUP(fSales[[#This Row],[ProductID]],dProduct[ProductID],dProduct[CrateCost])</f>
        <v>11.725000000000001</v>
      </c>
    </row>
    <row r="79" spans="7:19" x14ac:dyDescent="0.25">
      <c r="G79" s="2">
        <v>45347</v>
      </c>
      <c r="H79">
        <v>204</v>
      </c>
      <c r="I79" t="s">
        <v>28</v>
      </c>
      <c r="J79" t="s">
        <v>52</v>
      </c>
      <c r="K79">
        <f>_xlfn.XLOOKUP(fSales[[#This Row],[ProductID]],dProduct[ProductID],dProduct[CratePrice])*fSales[[#This Row],[Units]]</f>
        <v>8914.8000000000011</v>
      </c>
      <c r="L79">
        <f>fSales[[#This Row],[Total sales]]-_xlfn.XLOOKUP(fSales[[#This Row],[ProductID]],dProduct[ProductID],dProduct[CrateCost])*fSales[[#This Row],[Units]]</f>
        <v>3744.2160000000013</v>
      </c>
      <c r="M79">
        <f>(_xlfn.XLOOKUP(fSales[[#This Row],[ProductID]],dProduct[ProductID],dProduct[CratePrice])-_xlfn.XLOOKUP(fSales[[#This Row],[ProductID]],dProduct[ProductID],dProduct[CrateCost]))/_xlfn.XLOOKUP(fSales[[#This Row],[ProductID]],dProduct[ProductID],dProduct[CratePrice])</f>
        <v>0.42000000000000004</v>
      </c>
      <c r="N79" t="str">
        <f>_xlfn.XLOOKUP(fSales[[#This Row],[SalesRepID]],dPSalesRep[SalesRepID],dPSalesRep[SalesRep])</f>
        <v>Smitty Rad</v>
      </c>
      <c r="O79" t="str">
        <f>_xlfn.XLOOKUP(fSales[[#This Row],[SalesRepID]],dPSalesRep[SalesRepID],dPSalesRep[Region])</f>
        <v>MidWest</v>
      </c>
      <c r="P79" t="str">
        <f>_xlfn.XLOOKUP(fSales[[#This Row],[ProductID]],dProduct[ProductID],dProduct[Product])</f>
        <v>Cherry</v>
      </c>
      <c r="Q79">
        <f>_xlfn.XLOOKUP(fSales[[#This Row],[ProductID]],dProduct[ProductID],dProduct[CratePrice])-_xlfn.XLOOKUP(fSales[[#This Row],[ProductID]],dProduct[ProductID],dProduct[CrateCost])</f>
        <v>18.354000000000003</v>
      </c>
      <c r="R79">
        <f>_xlfn.XLOOKUP(fSales[[#This Row],[ProductID]],dProduct[ProductID],dProduct[CratePrice])</f>
        <v>43.7</v>
      </c>
      <c r="S79">
        <f>_xlfn.XLOOKUP(fSales[[#This Row],[ProductID]],dProduct[ProductID],dProduct[CrateCost])</f>
        <v>25.346</v>
      </c>
    </row>
    <row r="80" spans="7:19" x14ac:dyDescent="0.25">
      <c r="G80" s="2">
        <v>45347</v>
      </c>
      <c r="H80">
        <v>168</v>
      </c>
      <c r="I80" t="s">
        <v>34</v>
      </c>
      <c r="J80" t="s">
        <v>32</v>
      </c>
      <c r="K80">
        <f>_xlfn.XLOOKUP(fSales[[#This Row],[ProductID]],dProduct[ProductID],dProduct[CratePrice])*fSales[[#This Row],[Units]]</f>
        <v>2940</v>
      </c>
      <c r="L80">
        <f>fSales[[#This Row],[Total sales]]-_xlfn.XLOOKUP(fSales[[#This Row],[ProductID]],dProduct[ProductID],dProduct[CrateCost])*fSales[[#This Row],[Units]]</f>
        <v>970.19999999999982</v>
      </c>
      <c r="M80">
        <f>(_xlfn.XLOOKUP(fSales[[#This Row],[ProductID]],dProduct[ProductID],dProduct[CratePrice])-_xlfn.XLOOKUP(fSales[[#This Row],[ProductID]],dProduct[ProductID],dProduct[CrateCost]))/_xlfn.XLOOKUP(fSales[[#This Row],[ProductID]],dProduct[ProductID],dProduct[CratePrice])</f>
        <v>0.3299999999999999</v>
      </c>
      <c r="N80" t="str">
        <f>_xlfn.XLOOKUP(fSales[[#This Row],[SalesRepID]],dPSalesRep[SalesRepID],dPSalesRep[SalesRep])</f>
        <v>Shihara Fazzaa</v>
      </c>
      <c r="O80" t="str">
        <f>_xlfn.XLOOKUP(fSales[[#This Row],[SalesRepID]],dPSalesRep[SalesRepID],dPSalesRep[Region])</f>
        <v>East</v>
      </c>
      <c r="P80" t="str">
        <f>_xlfn.XLOOKUP(fSales[[#This Row],[ProductID]],dProduct[ProductID],dProduct[Product])</f>
        <v>Banana</v>
      </c>
      <c r="Q80">
        <f>_xlfn.XLOOKUP(fSales[[#This Row],[ProductID]],dProduct[ProductID],dProduct[CratePrice])-_xlfn.XLOOKUP(fSales[[#This Row],[ProductID]],dProduct[ProductID],dProduct[CrateCost])</f>
        <v>5.7749999999999986</v>
      </c>
      <c r="R80">
        <f>_xlfn.XLOOKUP(fSales[[#This Row],[ProductID]],dProduct[ProductID],dProduct[CratePrice])</f>
        <v>17.5</v>
      </c>
      <c r="S80">
        <f>_xlfn.XLOOKUP(fSales[[#This Row],[ProductID]],dProduct[ProductID],dProduct[CrateCost])</f>
        <v>11.725000000000001</v>
      </c>
    </row>
    <row r="81" spans="7:24" x14ac:dyDescent="0.25">
      <c r="G81" s="2">
        <v>45348</v>
      </c>
      <c r="H81">
        <v>96</v>
      </c>
      <c r="I81" t="s">
        <v>28</v>
      </c>
      <c r="J81" t="s">
        <v>29</v>
      </c>
      <c r="K81">
        <f>_xlfn.XLOOKUP(fSales[[#This Row],[ProductID]],dProduct[ProductID],dProduct[CratePrice])*fSales[[#This Row],[Units]]</f>
        <v>4195.2000000000007</v>
      </c>
      <c r="L81">
        <f>fSales[[#This Row],[Total sales]]-_xlfn.XLOOKUP(fSales[[#This Row],[ProductID]],dProduct[ProductID],dProduct[CrateCost])*fSales[[#This Row],[Units]]</f>
        <v>1761.9840000000008</v>
      </c>
      <c r="M81">
        <f>(_xlfn.XLOOKUP(fSales[[#This Row],[ProductID]],dProduct[ProductID],dProduct[CratePrice])-_xlfn.XLOOKUP(fSales[[#This Row],[ProductID]],dProduct[ProductID],dProduct[CrateCost]))/_xlfn.XLOOKUP(fSales[[#This Row],[ProductID]],dProduct[ProductID],dProduct[CratePrice])</f>
        <v>0.42000000000000004</v>
      </c>
      <c r="N81" t="str">
        <f>_xlfn.XLOOKUP(fSales[[#This Row],[SalesRepID]],dPSalesRep[SalesRepID],dPSalesRep[SalesRep])</f>
        <v>Sioux Best</v>
      </c>
      <c r="O81" t="str">
        <f>_xlfn.XLOOKUP(fSales[[#This Row],[SalesRepID]],dPSalesRep[SalesRepID],dPSalesRep[Region])</f>
        <v>West</v>
      </c>
      <c r="P81" t="str">
        <f>_xlfn.XLOOKUP(fSales[[#This Row],[ProductID]],dProduct[ProductID],dProduct[Product])</f>
        <v>Cherry</v>
      </c>
      <c r="Q81">
        <f>_xlfn.XLOOKUP(fSales[[#This Row],[ProductID]],dProduct[ProductID],dProduct[CratePrice])-_xlfn.XLOOKUP(fSales[[#This Row],[ProductID]],dProduct[ProductID],dProduct[CrateCost])</f>
        <v>18.354000000000003</v>
      </c>
      <c r="R81">
        <f>_xlfn.XLOOKUP(fSales[[#This Row],[ProductID]],dProduct[ProductID],dProduct[CratePrice])</f>
        <v>43.7</v>
      </c>
      <c r="S81">
        <f>_xlfn.XLOOKUP(fSales[[#This Row],[ProductID]],dProduct[ProductID],dProduct[CrateCost])</f>
        <v>25.346</v>
      </c>
    </row>
    <row r="82" spans="7:24" x14ac:dyDescent="0.25">
      <c r="G82" s="2">
        <v>45348</v>
      </c>
      <c r="H82">
        <v>144</v>
      </c>
      <c r="I82" t="s">
        <v>21</v>
      </c>
      <c r="J82" t="s">
        <v>32</v>
      </c>
      <c r="K82">
        <f>_xlfn.XLOOKUP(fSales[[#This Row],[ProductID]],dProduct[ProductID],dProduct[CratePrice])*fSales[[#This Row],[Units]]</f>
        <v>3240</v>
      </c>
      <c r="L82">
        <f>fSales[[#This Row],[Total sales]]-_xlfn.XLOOKUP(fSales[[#This Row],[ProductID]],dProduct[ProductID],dProduct[CrateCost])*fSales[[#This Row],[Units]]</f>
        <v>1425.6</v>
      </c>
      <c r="M82">
        <f>(_xlfn.XLOOKUP(fSales[[#This Row],[ProductID]],dProduct[ProductID],dProduct[CratePrice])-_xlfn.XLOOKUP(fSales[[#This Row],[ProductID]],dProduct[ProductID],dProduct[CrateCost]))/_xlfn.XLOOKUP(fSales[[#This Row],[ProductID]],dProduct[ProductID],dProduct[CratePrice])</f>
        <v>0.43999999999999995</v>
      </c>
      <c r="N82" t="str">
        <f>_xlfn.XLOOKUP(fSales[[#This Row],[SalesRepID]],dPSalesRep[SalesRepID],dPSalesRep[SalesRep])</f>
        <v>Shihara Fazzaa</v>
      </c>
      <c r="O82" t="str">
        <f>_xlfn.XLOOKUP(fSales[[#This Row],[SalesRepID]],dPSalesRep[SalesRepID],dPSalesRep[Region])</f>
        <v>East</v>
      </c>
      <c r="P82" t="str">
        <f>_xlfn.XLOOKUP(fSales[[#This Row],[ProductID]],dProduct[ProductID],dProduct[Product])</f>
        <v>Kiwi</v>
      </c>
      <c r="Q82">
        <f>_xlfn.XLOOKUP(fSales[[#This Row],[ProductID]],dProduct[ProductID],dProduct[CratePrice])-_xlfn.XLOOKUP(fSales[[#This Row],[ProductID]],dProduct[ProductID],dProduct[CrateCost])</f>
        <v>9.8999999999999986</v>
      </c>
      <c r="R82">
        <f>_xlfn.XLOOKUP(fSales[[#This Row],[ProductID]],dProduct[ProductID],dProduct[CratePrice])</f>
        <v>22.5</v>
      </c>
      <c r="S82">
        <f>_xlfn.XLOOKUP(fSales[[#This Row],[ProductID]],dProduct[ProductID],dProduct[CrateCost])</f>
        <v>12.600000000000001</v>
      </c>
    </row>
    <row r="83" spans="7:24" x14ac:dyDescent="0.25">
      <c r="G83" s="2">
        <v>45348</v>
      </c>
      <c r="H83">
        <v>156</v>
      </c>
      <c r="I83" t="s">
        <v>19</v>
      </c>
      <c r="J83" t="s">
        <v>32</v>
      </c>
      <c r="K83">
        <f>_xlfn.XLOOKUP(fSales[[#This Row],[ProductID]],dProduct[ProductID],dProduct[CratePrice])*fSales[[#This Row],[Units]]</f>
        <v>5460</v>
      </c>
      <c r="L83">
        <f>fSales[[#This Row],[Total sales]]-_xlfn.XLOOKUP(fSales[[#This Row],[ProductID]],dProduct[ProductID],dProduct[CrateCost])*fSales[[#This Row],[Units]]</f>
        <v>3057.6</v>
      </c>
      <c r="M83">
        <f>(_xlfn.XLOOKUP(fSales[[#This Row],[ProductID]],dProduct[ProductID],dProduct[CratePrice])-_xlfn.XLOOKUP(fSales[[#This Row],[ProductID]],dProduct[ProductID],dProduct[CrateCost]))/_xlfn.XLOOKUP(fSales[[#This Row],[ProductID]],dProduct[ProductID],dProduct[CratePrice])</f>
        <v>0.56000000000000005</v>
      </c>
      <c r="N83" t="str">
        <f>_xlfn.XLOOKUP(fSales[[#This Row],[SalesRepID]],dPSalesRep[SalesRepID],dPSalesRep[SalesRep])</f>
        <v>Shihara Fazzaa</v>
      </c>
      <c r="O83" t="str">
        <f>_xlfn.XLOOKUP(fSales[[#This Row],[SalesRepID]],dPSalesRep[SalesRepID],dPSalesRep[Region])</f>
        <v>East</v>
      </c>
      <c r="P83" t="str">
        <f>_xlfn.XLOOKUP(fSales[[#This Row],[ProductID]],dProduct[ProductID],dProduct[Product])</f>
        <v>Apple</v>
      </c>
      <c r="Q83">
        <f>_xlfn.XLOOKUP(fSales[[#This Row],[ProductID]],dProduct[ProductID],dProduct[CratePrice])-_xlfn.XLOOKUP(fSales[[#This Row],[ProductID]],dProduct[ProductID],dProduct[CrateCost])</f>
        <v>19.600000000000001</v>
      </c>
      <c r="R83">
        <f>_xlfn.XLOOKUP(fSales[[#This Row],[ProductID]],dProduct[ProductID],dProduct[CratePrice])</f>
        <v>35</v>
      </c>
      <c r="S83">
        <f>_xlfn.XLOOKUP(fSales[[#This Row],[ProductID]],dProduct[ProductID],dProduct[CrateCost])</f>
        <v>15.4</v>
      </c>
    </row>
    <row r="84" spans="7:24" x14ac:dyDescent="0.25">
      <c r="G84" s="2">
        <v>45349</v>
      </c>
      <c r="H84">
        <v>300</v>
      </c>
      <c r="I84" t="s">
        <v>34</v>
      </c>
      <c r="J84" t="s">
        <v>22</v>
      </c>
      <c r="K84">
        <f>_xlfn.XLOOKUP(fSales[[#This Row],[ProductID]],dProduct[ProductID],dProduct[CratePrice])*fSales[[#This Row],[Units]]</f>
        <v>5250</v>
      </c>
      <c r="L84">
        <f>fSales[[#This Row],[Total sales]]-_xlfn.XLOOKUP(fSales[[#This Row],[ProductID]],dProduct[ProductID],dProduct[CrateCost])*fSales[[#This Row],[Units]]</f>
        <v>1732.4999999999995</v>
      </c>
      <c r="M84">
        <f>(_xlfn.XLOOKUP(fSales[[#This Row],[ProductID]],dProduct[ProductID],dProduct[CratePrice])-_xlfn.XLOOKUP(fSales[[#This Row],[ProductID]],dProduct[ProductID],dProduct[CrateCost]))/_xlfn.XLOOKUP(fSales[[#This Row],[ProductID]],dProduct[ProductID],dProduct[CratePrice])</f>
        <v>0.3299999999999999</v>
      </c>
      <c r="N84" t="str">
        <f>_xlfn.XLOOKUP(fSales[[#This Row],[SalesRepID]],dPSalesRep[SalesRepID],dPSalesRep[SalesRep])</f>
        <v>Timmy Kips</v>
      </c>
      <c r="O84" t="str">
        <f>_xlfn.XLOOKUP(fSales[[#This Row],[SalesRepID]],dPSalesRep[SalesRepID],dPSalesRep[Region])</f>
        <v>East</v>
      </c>
      <c r="P84" t="str">
        <f>_xlfn.XLOOKUP(fSales[[#This Row],[ProductID]],dProduct[ProductID],dProduct[Product])</f>
        <v>Banana</v>
      </c>
      <c r="Q84">
        <f>_xlfn.XLOOKUP(fSales[[#This Row],[ProductID]],dProduct[ProductID],dProduct[CratePrice])-_xlfn.XLOOKUP(fSales[[#This Row],[ProductID]],dProduct[ProductID],dProduct[CrateCost])</f>
        <v>5.7749999999999986</v>
      </c>
      <c r="R84">
        <f>_xlfn.XLOOKUP(fSales[[#This Row],[ProductID]],dProduct[ProductID],dProduct[CratePrice])</f>
        <v>17.5</v>
      </c>
      <c r="S84">
        <f>_xlfn.XLOOKUP(fSales[[#This Row],[ProductID]],dProduct[ProductID],dProduct[CrateCost])</f>
        <v>11.725000000000001</v>
      </c>
    </row>
    <row r="85" spans="7:24" x14ac:dyDescent="0.25">
      <c r="G85" s="2">
        <v>45351</v>
      </c>
      <c r="H85">
        <v>84</v>
      </c>
      <c r="I85" t="s">
        <v>26</v>
      </c>
      <c r="J85" t="s">
        <v>22</v>
      </c>
      <c r="K85">
        <f>_xlfn.XLOOKUP(fSales[[#This Row],[ProductID]],dProduct[ProductID],dProduct[CratePrice])*fSales[[#This Row],[Units]]</f>
        <v>2499</v>
      </c>
      <c r="L85">
        <f>fSales[[#This Row],[Total sales]]-_xlfn.XLOOKUP(fSales[[#This Row],[ProductID]],dProduct[ProductID],dProduct[CrateCost])*fSales[[#This Row],[Units]]</f>
        <v>1049.5800000000002</v>
      </c>
      <c r="M85">
        <f>(_xlfn.XLOOKUP(fSales[[#This Row],[ProductID]],dProduct[ProductID],dProduct[CratePrice])-_xlfn.XLOOKUP(fSales[[#This Row],[ProductID]],dProduct[ProductID],dProduct[CrateCost]))/_xlfn.XLOOKUP(fSales[[#This Row],[ProductID]],dProduct[ProductID],dProduct[CratePrice])</f>
        <v>0.42000000000000004</v>
      </c>
      <c r="N85" t="str">
        <f>_xlfn.XLOOKUP(fSales[[#This Row],[SalesRepID]],dPSalesRep[SalesRepID],dPSalesRep[SalesRep])</f>
        <v>Timmy Kips</v>
      </c>
      <c r="O85" t="str">
        <f>_xlfn.XLOOKUP(fSales[[#This Row],[SalesRepID]],dPSalesRep[SalesRepID],dPSalesRep[Region])</f>
        <v>East</v>
      </c>
      <c r="P85" t="str">
        <f>_xlfn.XLOOKUP(fSales[[#This Row],[ProductID]],dProduct[ProductID],dProduct[Product])</f>
        <v>Orange</v>
      </c>
      <c r="Q85">
        <f>_xlfn.XLOOKUP(fSales[[#This Row],[ProductID]],dProduct[ProductID],dProduct[CratePrice])-_xlfn.XLOOKUP(fSales[[#This Row],[ProductID]],dProduct[ProductID],dProduct[CrateCost])</f>
        <v>12.495000000000001</v>
      </c>
      <c r="R85">
        <f>_xlfn.XLOOKUP(fSales[[#This Row],[ProductID]],dProduct[ProductID],dProduct[CratePrice])</f>
        <v>29.75</v>
      </c>
      <c r="S85">
        <f>_xlfn.XLOOKUP(fSales[[#This Row],[ProductID]],dProduct[ProductID],dProduct[CrateCost])</f>
        <v>17.254999999999999</v>
      </c>
    </row>
    <row r="86" spans="7:24" x14ac:dyDescent="0.25">
      <c r="G86" s="2">
        <v>45352</v>
      </c>
      <c r="H86">
        <v>300</v>
      </c>
      <c r="I86" t="s">
        <v>19</v>
      </c>
      <c r="J86" t="s">
        <v>32</v>
      </c>
      <c r="K86">
        <f>_xlfn.XLOOKUP(fSales[[#This Row],[ProductID]],dProduct[ProductID],dProduct[CratePrice])*fSales[[#This Row],[Units]]</f>
        <v>10500</v>
      </c>
      <c r="L86">
        <f>fSales[[#This Row],[Total sales]]-_xlfn.XLOOKUP(fSales[[#This Row],[ProductID]],dProduct[ProductID],dProduct[CrateCost])*fSales[[#This Row],[Units]]</f>
        <v>5880</v>
      </c>
      <c r="M86">
        <f>(_xlfn.XLOOKUP(fSales[[#This Row],[ProductID]],dProduct[ProductID],dProduct[CratePrice])-_xlfn.XLOOKUP(fSales[[#This Row],[ProductID]],dProduct[ProductID],dProduct[CrateCost]))/_xlfn.XLOOKUP(fSales[[#This Row],[ProductID]],dProduct[ProductID],dProduct[CratePrice])</f>
        <v>0.56000000000000005</v>
      </c>
      <c r="N86" t="str">
        <f>_xlfn.XLOOKUP(fSales[[#This Row],[SalesRepID]],dPSalesRep[SalesRepID],dPSalesRep[SalesRep])</f>
        <v>Shihara Fazzaa</v>
      </c>
      <c r="O86" t="str">
        <f>_xlfn.XLOOKUP(fSales[[#This Row],[SalesRepID]],dPSalesRep[SalesRepID],dPSalesRep[Region])</f>
        <v>East</v>
      </c>
      <c r="P86" t="str">
        <f>_xlfn.XLOOKUP(fSales[[#This Row],[ProductID]],dProduct[ProductID],dProduct[Product])</f>
        <v>Apple</v>
      </c>
      <c r="Q86">
        <f>_xlfn.XLOOKUP(fSales[[#This Row],[ProductID]],dProduct[ProductID],dProduct[CratePrice])-_xlfn.XLOOKUP(fSales[[#This Row],[ProductID]],dProduct[ProductID],dProduct[CrateCost])</f>
        <v>19.600000000000001</v>
      </c>
      <c r="R86">
        <f>_xlfn.XLOOKUP(fSales[[#This Row],[ProductID]],dProduct[ProductID],dProduct[CratePrice])</f>
        <v>35</v>
      </c>
      <c r="S86">
        <f>_xlfn.XLOOKUP(fSales[[#This Row],[ProductID]],dProduct[ProductID],dProduct[CrateCost])</f>
        <v>15.4</v>
      </c>
    </row>
    <row r="87" spans="7:24" x14ac:dyDescent="0.25">
      <c r="G87" s="2">
        <v>45352</v>
      </c>
      <c r="H87">
        <v>168</v>
      </c>
      <c r="I87" t="s">
        <v>26</v>
      </c>
      <c r="J87" t="s">
        <v>32</v>
      </c>
      <c r="K87">
        <f>_xlfn.XLOOKUP(fSales[[#This Row],[ProductID]],dProduct[ProductID],dProduct[CratePrice])*fSales[[#This Row],[Units]]</f>
        <v>4998</v>
      </c>
      <c r="L87">
        <f>fSales[[#This Row],[Total sales]]-_xlfn.XLOOKUP(fSales[[#This Row],[ProductID]],dProduct[ProductID],dProduct[CrateCost])*fSales[[#This Row],[Units]]</f>
        <v>2099.1600000000003</v>
      </c>
      <c r="M87">
        <f>(_xlfn.XLOOKUP(fSales[[#This Row],[ProductID]],dProduct[ProductID],dProduct[CratePrice])-_xlfn.XLOOKUP(fSales[[#This Row],[ProductID]],dProduct[ProductID],dProduct[CrateCost]))/_xlfn.XLOOKUP(fSales[[#This Row],[ProductID]],dProduct[ProductID],dProduct[CratePrice])</f>
        <v>0.42000000000000004</v>
      </c>
      <c r="N87" t="str">
        <f>_xlfn.XLOOKUP(fSales[[#This Row],[SalesRepID]],dPSalesRep[SalesRepID],dPSalesRep[SalesRep])</f>
        <v>Shihara Fazzaa</v>
      </c>
      <c r="O87" t="str">
        <f>_xlfn.XLOOKUP(fSales[[#This Row],[SalesRepID]],dPSalesRep[SalesRepID],dPSalesRep[Region])</f>
        <v>East</v>
      </c>
      <c r="P87" t="str">
        <f>_xlfn.XLOOKUP(fSales[[#This Row],[ProductID]],dProduct[ProductID],dProduct[Product])</f>
        <v>Orange</v>
      </c>
      <c r="Q87">
        <f>_xlfn.XLOOKUP(fSales[[#This Row],[ProductID]],dProduct[ProductID],dProduct[CratePrice])-_xlfn.XLOOKUP(fSales[[#This Row],[ProductID]],dProduct[ProductID],dProduct[CrateCost])</f>
        <v>12.495000000000001</v>
      </c>
      <c r="R87">
        <f>_xlfn.XLOOKUP(fSales[[#This Row],[ProductID]],dProduct[ProductID],dProduct[CratePrice])</f>
        <v>29.75</v>
      </c>
      <c r="S87">
        <f>_xlfn.XLOOKUP(fSales[[#This Row],[ProductID]],dProduct[ProductID],dProduct[CrateCost])</f>
        <v>17.254999999999999</v>
      </c>
    </row>
    <row r="88" spans="7:24" x14ac:dyDescent="0.25">
      <c r="G88" s="2">
        <v>45352</v>
      </c>
      <c r="H88">
        <v>180</v>
      </c>
      <c r="I88" t="s">
        <v>28</v>
      </c>
      <c r="J88" t="s">
        <v>52</v>
      </c>
      <c r="K88">
        <f>_xlfn.XLOOKUP(fSales[[#This Row],[ProductID]],dProduct[ProductID],dProduct[CratePrice])*fSales[[#This Row],[Units]]</f>
        <v>7866.0000000000009</v>
      </c>
      <c r="L88">
        <f>fSales[[#This Row],[Total sales]]-_xlfn.XLOOKUP(fSales[[#This Row],[ProductID]],dProduct[ProductID],dProduct[CrateCost])*fSales[[#This Row],[Units]]</f>
        <v>3303.7200000000012</v>
      </c>
      <c r="M88">
        <f>(_xlfn.XLOOKUP(fSales[[#This Row],[ProductID]],dProduct[ProductID],dProduct[CratePrice])-_xlfn.XLOOKUP(fSales[[#This Row],[ProductID]],dProduct[ProductID],dProduct[CrateCost]))/_xlfn.XLOOKUP(fSales[[#This Row],[ProductID]],dProduct[ProductID],dProduct[CratePrice])</f>
        <v>0.42000000000000004</v>
      </c>
      <c r="N88" t="str">
        <f>_xlfn.XLOOKUP(fSales[[#This Row],[SalesRepID]],dPSalesRep[SalesRepID],dPSalesRep[SalesRep])</f>
        <v>Smitty Rad</v>
      </c>
      <c r="O88" t="str">
        <f>_xlfn.XLOOKUP(fSales[[#This Row],[SalesRepID]],dPSalesRep[SalesRepID],dPSalesRep[Region])</f>
        <v>MidWest</v>
      </c>
      <c r="P88" t="str">
        <f>_xlfn.XLOOKUP(fSales[[#This Row],[ProductID]],dProduct[ProductID],dProduct[Product])</f>
        <v>Cherry</v>
      </c>
      <c r="Q88">
        <f>_xlfn.XLOOKUP(fSales[[#This Row],[ProductID]],dProduct[ProductID],dProduct[CratePrice])-_xlfn.XLOOKUP(fSales[[#This Row],[ProductID]],dProduct[ProductID],dProduct[CrateCost])</f>
        <v>18.354000000000003</v>
      </c>
      <c r="R88">
        <f>_xlfn.XLOOKUP(fSales[[#This Row],[ProductID]],dProduct[ProductID],dProduct[CratePrice])</f>
        <v>43.7</v>
      </c>
      <c r="S88">
        <f>_xlfn.XLOOKUP(fSales[[#This Row],[ProductID]],dProduct[ProductID],dProduct[CrateCost])</f>
        <v>25.346</v>
      </c>
    </row>
    <row r="89" spans="7:24" x14ac:dyDescent="0.25">
      <c r="G89" s="2">
        <v>45353</v>
      </c>
      <c r="H89">
        <v>276</v>
      </c>
      <c r="I89" t="s">
        <v>21</v>
      </c>
      <c r="J89" t="s">
        <v>32</v>
      </c>
      <c r="K89">
        <f>_xlfn.XLOOKUP(fSales[[#This Row],[ProductID]],dProduct[ProductID],dProduct[CratePrice])*fSales[[#This Row],[Units]]</f>
        <v>6210</v>
      </c>
      <c r="L89">
        <f>fSales[[#This Row],[Total sales]]-_xlfn.XLOOKUP(fSales[[#This Row],[ProductID]],dProduct[ProductID],dProduct[CrateCost])*fSales[[#This Row],[Units]]</f>
        <v>2732.3999999999996</v>
      </c>
      <c r="M89">
        <f>(_xlfn.XLOOKUP(fSales[[#This Row],[ProductID]],dProduct[ProductID],dProduct[CratePrice])-_xlfn.XLOOKUP(fSales[[#This Row],[ProductID]],dProduct[ProductID],dProduct[CrateCost]))/_xlfn.XLOOKUP(fSales[[#This Row],[ProductID]],dProduct[ProductID],dProduct[CratePrice])</f>
        <v>0.43999999999999995</v>
      </c>
      <c r="N89" t="str">
        <f>_xlfn.XLOOKUP(fSales[[#This Row],[SalesRepID]],dPSalesRep[SalesRepID],dPSalesRep[SalesRep])</f>
        <v>Shihara Fazzaa</v>
      </c>
      <c r="O89" t="str">
        <f>_xlfn.XLOOKUP(fSales[[#This Row],[SalesRepID]],dPSalesRep[SalesRepID],dPSalesRep[Region])</f>
        <v>East</v>
      </c>
      <c r="P89" t="str">
        <f>_xlfn.XLOOKUP(fSales[[#This Row],[ProductID]],dProduct[ProductID],dProduct[Product])</f>
        <v>Kiwi</v>
      </c>
      <c r="Q89">
        <f>_xlfn.XLOOKUP(fSales[[#This Row],[ProductID]],dProduct[ProductID],dProduct[CratePrice])-_xlfn.XLOOKUP(fSales[[#This Row],[ProductID]],dProduct[ProductID],dProduct[CrateCost])</f>
        <v>9.8999999999999986</v>
      </c>
      <c r="R89">
        <f>_xlfn.XLOOKUP(fSales[[#This Row],[ProductID]],dProduct[ProductID],dProduct[CratePrice])</f>
        <v>22.5</v>
      </c>
      <c r="S89">
        <f>_xlfn.XLOOKUP(fSales[[#This Row],[ProductID]],dProduct[ProductID],dProduct[CrateCost])</f>
        <v>12.600000000000001</v>
      </c>
    </row>
    <row r="90" spans="7:24" x14ac:dyDescent="0.25">
      <c r="G90" s="2">
        <v>45353</v>
      </c>
      <c r="H90">
        <v>120</v>
      </c>
      <c r="I90" t="s">
        <v>21</v>
      </c>
      <c r="J90" t="s">
        <v>22</v>
      </c>
      <c r="K90">
        <f>_xlfn.XLOOKUP(fSales[[#This Row],[ProductID]],dProduct[ProductID],dProduct[CratePrice])*fSales[[#This Row],[Units]]</f>
        <v>2700</v>
      </c>
      <c r="L90">
        <f>fSales[[#This Row],[Total sales]]-_xlfn.XLOOKUP(fSales[[#This Row],[ProductID]],dProduct[ProductID],dProduct[CrateCost])*fSales[[#This Row],[Units]]</f>
        <v>1187.9999999999998</v>
      </c>
      <c r="M90">
        <f>(_xlfn.XLOOKUP(fSales[[#This Row],[ProductID]],dProduct[ProductID],dProduct[CratePrice])-_xlfn.XLOOKUP(fSales[[#This Row],[ProductID]],dProduct[ProductID],dProduct[CrateCost]))/_xlfn.XLOOKUP(fSales[[#This Row],[ProductID]],dProduct[ProductID],dProduct[CratePrice])</f>
        <v>0.43999999999999995</v>
      </c>
      <c r="N90" t="str">
        <f>_xlfn.XLOOKUP(fSales[[#This Row],[SalesRepID]],dPSalesRep[SalesRepID],dPSalesRep[SalesRep])</f>
        <v>Timmy Kips</v>
      </c>
      <c r="O90" t="str">
        <f>_xlfn.XLOOKUP(fSales[[#This Row],[SalesRepID]],dPSalesRep[SalesRepID],dPSalesRep[Region])</f>
        <v>East</v>
      </c>
      <c r="P90" t="str">
        <f>_xlfn.XLOOKUP(fSales[[#This Row],[ProductID]],dProduct[ProductID],dProduct[Product])</f>
        <v>Kiwi</v>
      </c>
      <c r="Q90">
        <f>_xlfn.XLOOKUP(fSales[[#This Row],[ProductID]],dProduct[ProductID],dProduct[CratePrice])-_xlfn.XLOOKUP(fSales[[#This Row],[ProductID]],dProduct[ProductID],dProduct[CrateCost])</f>
        <v>9.8999999999999986</v>
      </c>
      <c r="R90">
        <f>_xlfn.XLOOKUP(fSales[[#This Row],[ProductID]],dProduct[ProductID],dProduct[CratePrice])</f>
        <v>22.5</v>
      </c>
      <c r="S90">
        <f>_xlfn.XLOOKUP(fSales[[#This Row],[ProductID]],dProduct[ProductID],dProduct[CrateCost])</f>
        <v>12.600000000000001</v>
      </c>
    </row>
    <row r="91" spans="7:24" x14ac:dyDescent="0.25">
      <c r="G91" s="2">
        <v>45354</v>
      </c>
      <c r="H91">
        <v>96</v>
      </c>
      <c r="I91" t="s">
        <v>19</v>
      </c>
      <c r="J91" t="s">
        <v>52</v>
      </c>
      <c r="K91">
        <f>_xlfn.XLOOKUP(fSales[[#This Row],[ProductID]],dProduct[ProductID],dProduct[CratePrice])*fSales[[#This Row],[Units]]</f>
        <v>3360</v>
      </c>
      <c r="L91">
        <f>fSales[[#This Row],[Total sales]]-_xlfn.XLOOKUP(fSales[[#This Row],[ProductID]],dProduct[ProductID],dProduct[CrateCost])*fSales[[#This Row],[Units]]</f>
        <v>1881.6</v>
      </c>
      <c r="M91">
        <f>(_xlfn.XLOOKUP(fSales[[#This Row],[ProductID]],dProduct[ProductID],dProduct[CratePrice])-_xlfn.XLOOKUP(fSales[[#This Row],[ProductID]],dProduct[ProductID],dProduct[CrateCost]))/_xlfn.XLOOKUP(fSales[[#This Row],[ProductID]],dProduct[ProductID],dProduct[CratePrice])</f>
        <v>0.56000000000000005</v>
      </c>
      <c r="N91" t="str">
        <f>_xlfn.XLOOKUP(fSales[[#This Row],[SalesRepID]],dPSalesRep[SalesRepID],dPSalesRep[SalesRep])</f>
        <v>Smitty Rad</v>
      </c>
      <c r="O91" t="str">
        <f>_xlfn.XLOOKUP(fSales[[#This Row],[SalesRepID]],dPSalesRep[SalesRepID],dPSalesRep[Region])</f>
        <v>MidWest</v>
      </c>
      <c r="P91" t="str">
        <f>_xlfn.XLOOKUP(fSales[[#This Row],[ProductID]],dProduct[ProductID],dProduct[Product])</f>
        <v>Apple</v>
      </c>
      <c r="Q91">
        <f>_xlfn.XLOOKUP(fSales[[#This Row],[ProductID]],dProduct[ProductID],dProduct[CratePrice])-_xlfn.XLOOKUP(fSales[[#This Row],[ProductID]],dProduct[ProductID],dProduct[CrateCost])</f>
        <v>19.600000000000001</v>
      </c>
      <c r="R91">
        <f>_xlfn.XLOOKUP(fSales[[#This Row],[ProductID]],dProduct[ProductID],dProduct[CratePrice])</f>
        <v>35</v>
      </c>
      <c r="S91">
        <f>_xlfn.XLOOKUP(fSales[[#This Row],[ProductID]],dProduct[ProductID],dProduct[CrateCost])</f>
        <v>15.4</v>
      </c>
      <c r="V91" t="s">
        <v>39</v>
      </c>
      <c r="W91" t="s">
        <v>40</v>
      </c>
      <c r="X91" t="s">
        <v>59</v>
      </c>
    </row>
    <row r="92" spans="7:24" x14ac:dyDescent="0.25">
      <c r="G92" s="2">
        <v>45354</v>
      </c>
      <c r="H92">
        <v>216</v>
      </c>
      <c r="I92" t="s">
        <v>21</v>
      </c>
      <c r="J92" t="s">
        <v>32</v>
      </c>
      <c r="K92">
        <f>_xlfn.XLOOKUP(fSales[[#This Row],[ProductID]],dProduct[ProductID],dProduct[CratePrice])*fSales[[#This Row],[Units]]</f>
        <v>4860</v>
      </c>
      <c r="L92">
        <f>fSales[[#This Row],[Total sales]]-_xlfn.XLOOKUP(fSales[[#This Row],[ProductID]],dProduct[ProductID],dProduct[CrateCost])*fSales[[#This Row],[Units]]</f>
        <v>2138.3999999999996</v>
      </c>
      <c r="M92">
        <f>(_xlfn.XLOOKUP(fSales[[#This Row],[ProductID]],dProduct[ProductID],dProduct[CratePrice])-_xlfn.XLOOKUP(fSales[[#This Row],[ProductID]],dProduct[ProductID],dProduct[CrateCost]))/_xlfn.XLOOKUP(fSales[[#This Row],[ProductID]],dProduct[ProductID],dProduct[CratePrice])</f>
        <v>0.43999999999999995</v>
      </c>
      <c r="N92" t="str">
        <f>_xlfn.XLOOKUP(fSales[[#This Row],[SalesRepID]],dPSalesRep[SalesRepID],dPSalesRep[SalesRep])</f>
        <v>Shihara Fazzaa</v>
      </c>
      <c r="O92" t="str">
        <f>_xlfn.XLOOKUP(fSales[[#This Row],[SalesRepID]],dPSalesRep[SalesRepID],dPSalesRep[Region])</f>
        <v>East</v>
      </c>
      <c r="P92" t="str">
        <f>_xlfn.XLOOKUP(fSales[[#This Row],[ProductID]],dProduct[ProductID],dProduct[Product])</f>
        <v>Kiwi</v>
      </c>
      <c r="Q92">
        <f>_xlfn.XLOOKUP(fSales[[#This Row],[ProductID]],dProduct[ProductID],dProduct[CratePrice])-_xlfn.XLOOKUP(fSales[[#This Row],[ProductID]],dProduct[ProductID],dProduct[CrateCost])</f>
        <v>9.8999999999999986</v>
      </c>
      <c r="R92">
        <f>_xlfn.XLOOKUP(fSales[[#This Row],[ProductID]],dProduct[ProductID],dProduct[CratePrice])</f>
        <v>22.5</v>
      </c>
      <c r="S92">
        <f>_xlfn.XLOOKUP(fSales[[#This Row],[ProductID]],dProduct[ProductID],dProduct[CrateCost])</f>
        <v>12.600000000000001</v>
      </c>
      <c r="V92" s="5" t="s">
        <v>20</v>
      </c>
      <c r="W92">
        <v>6504</v>
      </c>
      <c r="X92">
        <v>0.55999999999999994</v>
      </c>
    </row>
    <row r="93" spans="7:24" x14ac:dyDescent="0.25">
      <c r="G93" s="2">
        <v>45357</v>
      </c>
      <c r="H93">
        <v>48</v>
      </c>
      <c r="I93" t="s">
        <v>34</v>
      </c>
      <c r="J93" t="s">
        <v>52</v>
      </c>
      <c r="K93">
        <f>_xlfn.XLOOKUP(fSales[[#This Row],[ProductID]],dProduct[ProductID],dProduct[CratePrice])*fSales[[#This Row],[Units]]</f>
        <v>840</v>
      </c>
      <c r="L93">
        <f>fSales[[#This Row],[Total sales]]-_xlfn.XLOOKUP(fSales[[#This Row],[ProductID]],dProduct[ProductID],dProduct[CrateCost])*fSales[[#This Row],[Units]]</f>
        <v>277.19999999999993</v>
      </c>
      <c r="M93">
        <f>(_xlfn.XLOOKUP(fSales[[#This Row],[ProductID]],dProduct[ProductID],dProduct[CratePrice])-_xlfn.XLOOKUP(fSales[[#This Row],[ProductID]],dProduct[ProductID],dProduct[CrateCost]))/_xlfn.XLOOKUP(fSales[[#This Row],[ProductID]],dProduct[ProductID],dProduct[CratePrice])</f>
        <v>0.3299999999999999</v>
      </c>
      <c r="N93" t="str">
        <f>_xlfn.XLOOKUP(fSales[[#This Row],[SalesRepID]],dPSalesRep[SalesRepID],dPSalesRep[SalesRep])</f>
        <v>Smitty Rad</v>
      </c>
      <c r="O93" t="str">
        <f>_xlfn.XLOOKUP(fSales[[#This Row],[SalesRepID]],dPSalesRep[SalesRepID],dPSalesRep[Region])</f>
        <v>MidWest</v>
      </c>
      <c r="P93" t="str">
        <f>_xlfn.XLOOKUP(fSales[[#This Row],[ProductID]],dProduct[ProductID],dProduct[Product])</f>
        <v>Banana</v>
      </c>
      <c r="Q93">
        <f>_xlfn.XLOOKUP(fSales[[#This Row],[ProductID]],dProduct[ProductID],dProduct[CratePrice])-_xlfn.XLOOKUP(fSales[[#This Row],[ProductID]],dProduct[ProductID],dProduct[CrateCost])</f>
        <v>5.7749999999999986</v>
      </c>
      <c r="R93">
        <f>_xlfn.XLOOKUP(fSales[[#This Row],[ProductID]],dProduct[ProductID],dProduct[CratePrice])</f>
        <v>17.5</v>
      </c>
      <c r="S93">
        <f>_xlfn.XLOOKUP(fSales[[#This Row],[ProductID]],dProduct[ProductID],dProduct[CrateCost])</f>
        <v>11.725000000000001</v>
      </c>
      <c r="V93" s="16" t="s">
        <v>47</v>
      </c>
      <c r="W93">
        <v>6504</v>
      </c>
      <c r="X93">
        <v>0.55999999999999994</v>
      </c>
    </row>
    <row r="94" spans="7:24" x14ac:dyDescent="0.25">
      <c r="G94" s="2">
        <v>45357</v>
      </c>
      <c r="H94">
        <v>24</v>
      </c>
      <c r="I94" t="s">
        <v>21</v>
      </c>
      <c r="J94" t="s">
        <v>52</v>
      </c>
      <c r="K94">
        <f>_xlfn.XLOOKUP(fSales[[#This Row],[ProductID]],dProduct[ProductID],dProduct[CratePrice])*fSales[[#This Row],[Units]]</f>
        <v>540</v>
      </c>
      <c r="L94">
        <f>fSales[[#This Row],[Total sales]]-_xlfn.XLOOKUP(fSales[[#This Row],[ProductID]],dProduct[ProductID],dProduct[CrateCost])*fSales[[#This Row],[Units]]</f>
        <v>237.59999999999997</v>
      </c>
      <c r="M94">
        <f>(_xlfn.XLOOKUP(fSales[[#This Row],[ProductID]],dProduct[ProductID],dProduct[CratePrice])-_xlfn.XLOOKUP(fSales[[#This Row],[ProductID]],dProduct[ProductID],dProduct[CrateCost]))/_xlfn.XLOOKUP(fSales[[#This Row],[ProductID]],dProduct[ProductID],dProduct[CratePrice])</f>
        <v>0.43999999999999995</v>
      </c>
      <c r="N94" t="str">
        <f>_xlfn.XLOOKUP(fSales[[#This Row],[SalesRepID]],dPSalesRep[SalesRepID],dPSalesRep[SalesRep])</f>
        <v>Smitty Rad</v>
      </c>
      <c r="O94" t="str">
        <f>_xlfn.XLOOKUP(fSales[[#This Row],[SalesRepID]],dPSalesRep[SalesRepID],dPSalesRep[Region])</f>
        <v>MidWest</v>
      </c>
      <c r="P94" t="str">
        <f>_xlfn.XLOOKUP(fSales[[#This Row],[ProductID]],dProduct[ProductID],dProduct[Product])</f>
        <v>Kiwi</v>
      </c>
      <c r="Q94">
        <f>_xlfn.XLOOKUP(fSales[[#This Row],[ProductID]],dProduct[ProductID],dProduct[CratePrice])-_xlfn.XLOOKUP(fSales[[#This Row],[ProductID]],dProduct[ProductID],dProduct[CrateCost])</f>
        <v>9.8999999999999986</v>
      </c>
      <c r="R94">
        <f>_xlfn.XLOOKUP(fSales[[#This Row],[ProductID]],dProduct[ProductID],dProduct[CratePrice])</f>
        <v>22.5</v>
      </c>
      <c r="S94">
        <f>_xlfn.XLOOKUP(fSales[[#This Row],[ProductID]],dProduct[ProductID],dProduct[CrateCost])</f>
        <v>12.600000000000001</v>
      </c>
      <c r="V94" s="17" t="s">
        <v>48</v>
      </c>
      <c r="W94">
        <v>6504</v>
      </c>
      <c r="X94">
        <v>0.55999999999999994</v>
      </c>
    </row>
    <row r="95" spans="7:24" x14ac:dyDescent="0.25">
      <c r="G95" s="2">
        <v>45357</v>
      </c>
      <c r="H95">
        <v>228</v>
      </c>
      <c r="I95" t="s">
        <v>28</v>
      </c>
      <c r="J95" t="s">
        <v>32</v>
      </c>
      <c r="K95">
        <f>_xlfn.XLOOKUP(fSales[[#This Row],[ProductID]],dProduct[ProductID],dProduct[CratePrice])*fSales[[#This Row],[Units]]</f>
        <v>9963.6</v>
      </c>
      <c r="L95">
        <f>fSales[[#This Row],[Total sales]]-_xlfn.XLOOKUP(fSales[[#This Row],[ProductID]],dProduct[ProductID],dProduct[CrateCost])*fSales[[#This Row],[Units]]</f>
        <v>4184.7120000000004</v>
      </c>
      <c r="M95">
        <f>(_xlfn.XLOOKUP(fSales[[#This Row],[ProductID]],dProduct[ProductID],dProduct[CratePrice])-_xlfn.XLOOKUP(fSales[[#This Row],[ProductID]],dProduct[ProductID],dProduct[CrateCost]))/_xlfn.XLOOKUP(fSales[[#This Row],[ProductID]],dProduct[ProductID],dProduct[CratePrice])</f>
        <v>0.42000000000000004</v>
      </c>
      <c r="N95" t="str">
        <f>_xlfn.XLOOKUP(fSales[[#This Row],[SalesRepID]],dPSalesRep[SalesRepID],dPSalesRep[SalesRep])</f>
        <v>Shihara Fazzaa</v>
      </c>
      <c r="O95" t="str">
        <f>_xlfn.XLOOKUP(fSales[[#This Row],[SalesRepID]],dPSalesRep[SalesRepID],dPSalesRep[Region])</f>
        <v>East</v>
      </c>
      <c r="P95" t="str">
        <f>_xlfn.XLOOKUP(fSales[[#This Row],[ProductID]],dProduct[ProductID],dProduct[Product])</f>
        <v>Cherry</v>
      </c>
      <c r="Q95">
        <f>_xlfn.XLOOKUP(fSales[[#This Row],[ProductID]],dProduct[ProductID],dProduct[CratePrice])-_xlfn.XLOOKUP(fSales[[#This Row],[ProductID]],dProduct[ProductID],dProduct[CrateCost])</f>
        <v>18.354000000000003</v>
      </c>
      <c r="R95">
        <f>_xlfn.XLOOKUP(fSales[[#This Row],[ProductID]],dProduct[ProductID],dProduct[CratePrice])</f>
        <v>43.7</v>
      </c>
      <c r="S95">
        <f>_xlfn.XLOOKUP(fSales[[#This Row],[ProductID]],dProduct[ProductID],dProduct[CrateCost])</f>
        <v>25.346</v>
      </c>
      <c r="V95" s="5" t="s">
        <v>35</v>
      </c>
      <c r="W95">
        <v>8532</v>
      </c>
      <c r="X95">
        <v>0.3299999999999999</v>
      </c>
    </row>
    <row r="96" spans="7:24" x14ac:dyDescent="0.25">
      <c r="G96" s="2">
        <v>45357</v>
      </c>
      <c r="H96">
        <v>120</v>
      </c>
      <c r="I96" t="s">
        <v>21</v>
      </c>
      <c r="J96" t="s">
        <v>29</v>
      </c>
      <c r="K96">
        <f>_xlfn.XLOOKUP(fSales[[#This Row],[ProductID]],dProduct[ProductID],dProduct[CratePrice])*fSales[[#This Row],[Units]]</f>
        <v>2700</v>
      </c>
      <c r="L96">
        <f>fSales[[#This Row],[Total sales]]-_xlfn.XLOOKUP(fSales[[#This Row],[ProductID]],dProduct[ProductID],dProduct[CrateCost])*fSales[[#This Row],[Units]]</f>
        <v>1187.9999999999998</v>
      </c>
      <c r="M96">
        <f>(_xlfn.XLOOKUP(fSales[[#This Row],[ProductID]],dProduct[ProductID],dProduct[CratePrice])-_xlfn.XLOOKUP(fSales[[#This Row],[ProductID]],dProduct[ProductID],dProduct[CrateCost]))/_xlfn.XLOOKUP(fSales[[#This Row],[ProductID]],dProduct[ProductID],dProduct[CratePrice])</f>
        <v>0.43999999999999995</v>
      </c>
      <c r="N96" t="str">
        <f>_xlfn.XLOOKUP(fSales[[#This Row],[SalesRepID]],dPSalesRep[SalesRepID],dPSalesRep[SalesRep])</f>
        <v>Sioux Best</v>
      </c>
      <c r="O96" t="str">
        <f>_xlfn.XLOOKUP(fSales[[#This Row],[SalesRepID]],dPSalesRep[SalesRepID],dPSalesRep[Region])</f>
        <v>West</v>
      </c>
      <c r="P96" t="str">
        <f>_xlfn.XLOOKUP(fSales[[#This Row],[ProductID]],dProduct[ProductID],dProduct[Product])</f>
        <v>Kiwi</v>
      </c>
      <c r="Q96">
        <f>_xlfn.XLOOKUP(fSales[[#This Row],[ProductID]],dProduct[ProductID],dProduct[CratePrice])-_xlfn.XLOOKUP(fSales[[#This Row],[ProductID]],dProduct[ProductID],dProduct[CrateCost])</f>
        <v>9.8999999999999986</v>
      </c>
      <c r="R96">
        <f>_xlfn.XLOOKUP(fSales[[#This Row],[ProductID]],dProduct[ProductID],dProduct[CratePrice])</f>
        <v>22.5</v>
      </c>
      <c r="S96">
        <f>_xlfn.XLOOKUP(fSales[[#This Row],[ProductID]],dProduct[ProductID],dProduct[CrateCost])</f>
        <v>12.600000000000001</v>
      </c>
      <c r="V96" s="16" t="s">
        <v>47</v>
      </c>
      <c r="W96">
        <v>8532</v>
      </c>
      <c r="X96">
        <v>0.3299999999999999</v>
      </c>
    </row>
    <row r="97" spans="7:24" x14ac:dyDescent="0.25">
      <c r="G97" s="2">
        <v>45358</v>
      </c>
      <c r="H97">
        <v>180</v>
      </c>
      <c r="I97" t="s">
        <v>21</v>
      </c>
      <c r="J97" t="s">
        <v>32</v>
      </c>
      <c r="K97">
        <f>_xlfn.XLOOKUP(fSales[[#This Row],[ProductID]],dProduct[ProductID],dProduct[CratePrice])*fSales[[#This Row],[Units]]</f>
        <v>4050</v>
      </c>
      <c r="L97">
        <f>fSales[[#This Row],[Total sales]]-_xlfn.XLOOKUP(fSales[[#This Row],[ProductID]],dProduct[ProductID],dProduct[CrateCost])*fSales[[#This Row],[Units]]</f>
        <v>1781.9999999999995</v>
      </c>
      <c r="M97">
        <f>(_xlfn.XLOOKUP(fSales[[#This Row],[ProductID]],dProduct[ProductID],dProduct[CratePrice])-_xlfn.XLOOKUP(fSales[[#This Row],[ProductID]],dProduct[ProductID],dProduct[CrateCost]))/_xlfn.XLOOKUP(fSales[[#This Row],[ProductID]],dProduct[ProductID],dProduct[CratePrice])</f>
        <v>0.43999999999999995</v>
      </c>
      <c r="N97" t="str">
        <f>_xlfn.XLOOKUP(fSales[[#This Row],[SalesRepID]],dPSalesRep[SalesRepID],dPSalesRep[SalesRep])</f>
        <v>Shihara Fazzaa</v>
      </c>
      <c r="O97" t="str">
        <f>_xlfn.XLOOKUP(fSales[[#This Row],[SalesRepID]],dPSalesRep[SalesRepID],dPSalesRep[Region])</f>
        <v>East</v>
      </c>
      <c r="P97" t="str">
        <f>_xlfn.XLOOKUP(fSales[[#This Row],[ProductID]],dProduct[ProductID],dProduct[Product])</f>
        <v>Kiwi</v>
      </c>
      <c r="Q97">
        <f>_xlfn.XLOOKUP(fSales[[#This Row],[ProductID]],dProduct[ProductID],dProduct[CratePrice])-_xlfn.XLOOKUP(fSales[[#This Row],[ProductID]],dProduct[ProductID],dProduct[CrateCost])</f>
        <v>9.8999999999999986</v>
      </c>
      <c r="R97">
        <f>_xlfn.XLOOKUP(fSales[[#This Row],[ProductID]],dProduct[ProductID],dProduct[CratePrice])</f>
        <v>22.5</v>
      </c>
      <c r="S97">
        <f>_xlfn.XLOOKUP(fSales[[#This Row],[ProductID]],dProduct[ProductID],dProduct[CrateCost])</f>
        <v>12.600000000000001</v>
      </c>
      <c r="V97" s="17" t="s">
        <v>48</v>
      </c>
      <c r="W97">
        <v>8532</v>
      </c>
      <c r="X97">
        <v>0.3299999999999999</v>
      </c>
    </row>
    <row r="98" spans="7:24" x14ac:dyDescent="0.25">
      <c r="G98" s="2">
        <v>45358</v>
      </c>
      <c r="H98">
        <v>108</v>
      </c>
      <c r="I98" t="s">
        <v>28</v>
      </c>
      <c r="J98" t="s">
        <v>29</v>
      </c>
      <c r="K98">
        <f>_xlfn.XLOOKUP(fSales[[#This Row],[ProductID]],dProduct[ProductID],dProduct[CratePrice])*fSales[[#This Row],[Units]]</f>
        <v>4719.6000000000004</v>
      </c>
      <c r="L98">
        <f>fSales[[#This Row],[Total sales]]-_xlfn.XLOOKUP(fSales[[#This Row],[ProductID]],dProduct[ProductID],dProduct[CrateCost])*fSales[[#This Row],[Units]]</f>
        <v>1982.2320000000004</v>
      </c>
      <c r="M98">
        <f>(_xlfn.XLOOKUP(fSales[[#This Row],[ProductID]],dProduct[ProductID],dProduct[CratePrice])-_xlfn.XLOOKUP(fSales[[#This Row],[ProductID]],dProduct[ProductID],dProduct[CrateCost]))/_xlfn.XLOOKUP(fSales[[#This Row],[ProductID]],dProduct[ProductID],dProduct[CratePrice])</f>
        <v>0.42000000000000004</v>
      </c>
      <c r="N98" t="str">
        <f>_xlfn.XLOOKUP(fSales[[#This Row],[SalesRepID]],dPSalesRep[SalesRepID],dPSalesRep[SalesRep])</f>
        <v>Sioux Best</v>
      </c>
      <c r="O98" t="str">
        <f>_xlfn.XLOOKUP(fSales[[#This Row],[SalesRepID]],dPSalesRep[SalesRepID],dPSalesRep[Region])</f>
        <v>West</v>
      </c>
      <c r="P98" t="str">
        <f>_xlfn.XLOOKUP(fSales[[#This Row],[ProductID]],dProduct[ProductID],dProduct[Product])</f>
        <v>Cherry</v>
      </c>
      <c r="Q98">
        <f>_xlfn.XLOOKUP(fSales[[#This Row],[ProductID]],dProduct[ProductID],dProduct[CratePrice])-_xlfn.XLOOKUP(fSales[[#This Row],[ProductID]],dProduct[ProductID],dProduct[CrateCost])</f>
        <v>18.354000000000003</v>
      </c>
      <c r="R98">
        <f>_xlfn.XLOOKUP(fSales[[#This Row],[ProductID]],dProduct[ProductID],dProduct[CratePrice])</f>
        <v>43.7</v>
      </c>
      <c r="S98">
        <f>_xlfn.XLOOKUP(fSales[[#This Row],[ProductID]],dProduct[ProductID],dProduct[CrateCost])</f>
        <v>25.346</v>
      </c>
      <c r="V98" s="5" t="s">
        <v>36</v>
      </c>
      <c r="W98">
        <v>7800</v>
      </c>
      <c r="X98">
        <v>0.42</v>
      </c>
    </row>
    <row r="99" spans="7:24" x14ac:dyDescent="0.25">
      <c r="G99" s="2">
        <v>45360</v>
      </c>
      <c r="H99">
        <v>288</v>
      </c>
      <c r="I99" t="s">
        <v>28</v>
      </c>
      <c r="J99" t="s">
        <v>29</v>
      </c>
      <c r="K99">
        <f>_xlfn.XLOOKUP(fSales[[#This Row],[ProductID]],dProduct[ProductID],dProduct[CratePrice])*fSales[[#This Row],[Units]]</f>
        <v>12585.6</v>
      </c>
      <c r="L99">
        <f>fSales[[#This Row],[Total sales]]-_xlfn.XLOOKUP(fSales[[#This Row],[ProductID]],dProduct[ProductID],dProduct[CrateCost])*fSales[[#This Row],[Units]]</f>
        <v>5285.9520000000002</v>
      </c>
      <c r="M99">
        <f>(_xlfn.XLOOKUP(fSales[[#This Row],[ProductID]],dProduct[ProductID],dProduct[CratePrice])-_xlfn.XLOOKUP(fSales[[#This Row],[ProductID]],dProduct[ProductID],dProduct[CrateCost]))/_xlfn.XLOOKUP(fSales[[#This Row],[ProductID]],dProduct[ProductID],dProduct[CratePrice])</f>
        <v>0.42000000000000004</v>
      </c>
      <c r="N99" t="str">
        <f>_xlfn.XLOOKUP(fSales[[#This Row],[SalesRepID]],dPSalesRep[SalesRepID],dPSalesRep[SalesRep])</f>
        <v>Sioux Best</v>
      </c>
      <c r="O99" t="str">
        <f>_xlfn.XLOOKUP(fSales[[#This Row],[SalesRepID]],dPSalesRep[SalesRepID],dPSalesRep[Region])</f>
        <v>West</v>
      </c>
      <c r="P99" t="str">
        <f>_xlfn.XLOOKUP(fSales[[#This Row],[ProductID]],dProduct[ProductID],dProduct[Product])</f>
        <v>Cherry</v>
      </c>
      <c r="Q99">
        <f>_xlfn.XLOOKUP(fSales[[#This Row],[ProductID]],dProduct[ProductID],dProduct[CratePrice])-_xlfn.XLOOKUP(fSales[[#This Row],[ProductID]],dProduct[ProductID],dProduct[CrateCost])</f>
        <v>18.354000000000003</v>
      </c>
      <c r="R99">
        <f>_xlfn.XLOOKUP(fSales[[#This Row],[ProductID]],dProduct[ProductID],dProduct[CratePrice])</f>
        <v>43.7</v>
      </c>
      <c r="S99">
        <f>_xlfn.XLOOKUP(fSales[[#This Row],[ProductID]],dProduct[ProductID],dProduct[CrateCost])</f>
        <v>25.346</v>
      </c>
      <c r="V99" s="5" t="s">
        <v>31</v>
      </c>
      <c r="W99">
        <v>6552</v>
      </c>
      <c r="X99">
        <v>0.43999999999999995</v>
      </c>
    </row>
    <row r="100" spans="7:24" x14ac:dyDescent="0.25">
      <c r="G100" s="2">
        <v>45360</v>
      </c>
      <c r="H100">
        <v>24</v>
      </c>
      <c r="I100" t="s">
        <v>19</v>
      </c>
      <c r="J100" t="s">
        <v>32</v>
      </c>
      <c r="K100">
        <f>_xlfn.XLOOKUP(fSales[[#This Row],[ProductID]],dProduct[ProductID],dProduct[CratePrice])*fSales[[#This Row],[Units]]</f>
        <v>840</v>
      </c>
      <c r="L100">
        <f>fSales[[#This Row],[Total sales]]-_xlfn.XLOOKUP(fSales[[#This Row],[ProductID]],dProduct[ProductID],dProduct[CrateCost])*fSales[[#This Row],[Units]]</f>
        <v>470.4</v>
      </c>
      <c r="M100">
        <f>(_xlfn.XLOOKUP(fSales[[#This Row],[ProductID]],dProduct[ProductID],dProduct[CratePrice])-_xlfn.XLOOKUP(fSales[[#This Row],[ProductID]],dProduct[ProductID],dProduct[CrateCost]))/_xlfn.XLOOKUP(fSales[[#This Row],[ProductID]],dProduct[ProductID],dProduct[CratePrice])</f>
        <v>0.56000000000000005</v>
      </c>
      <c r="N100" t="str">
        <f>_xlfn.XLOOKUP(fSales[[#This Row],[SalesRepID]],dPSalesRep[SalesRepID],dPSalesRep[SalesRep])</f>
        <v>Shihara Fazzaa</v>
      </c>
      <c r="O100" t="str">
        <f>_xlfn.XLOOKUP(fSales[[#This Row],[SalesRepID]],dPSalesRep[SalesRepID],dPSalesRep[Region])</f>
        <v>East</v>
      </c>
      <c r="P100" t="str">
        <f>_xlfn.XLOOKUP(fSales[[#This Row],[ProductID]],dProduct[ProductID],dProduct[Product])</f>
        <v>Apple</v>
      </c>
      <c r="Q100">
        <f>_xlfn.XLOOKUP(fSales[[#This Row],[ProductID]],dProduct[ProductID],dProduct[CratePrice])-_xlfn.XLOOKUP(fSales[[#This Row],[ProductID]],dProduct[ProductID],dProduct[CrateCost])</f>
        <v>19.600000000000001</v>
      </c>
      <c r="R100">
        <f>_xlfn.XLOOKUP(fSales[[#This Row],[ProductID]],dProduct[ProductID],dProduct[CratePrice])</f>
        <v>35</v>
      </c>
      <c r="S100">
        <f>_xlfn.XLOOKUP(fSales[[#This Row],[ProductID]],dProduct[ProductID],dProduct[CrateCost])</f>
        <v>15.4</v>
      </c>
      <c r="V100" s="5" t="s">
        <v>27</v>
      </c>
      <c r="W100">
        <v>5424</v>
      </c>
      <c r="X100">
        <v>0.42000000000000004</v>
      </c>
    </row>
    <row r="101" spans="7:24" x14ac:dyDescent="0.25">
      <c r="G101" s="2">
        <v>45360</v>
      </c>
      <c r="H101">
        <v>168</v>
      </c>
      <c r="I101" t="s">
        <v>19</v>
      </c>
      <c r="J101" t="s">
        <v>52</v>
      </c>
      <c r="K101">
        <f>_xlfn.XLOOKUP(fSales[[#This Row],[ProductID]],dProduct[ProductID],dProduct[CratePrice])*fSales[[#This Row],[Units]]</f>
        <v>5880</v>
      </c>
      <c r="L101">
        <f>fSales[[#This Row],[Total sales]]-_xlfn.XLOOKUP(fSales[[#This Row],[ProductID]],dProduct[ProductID],dProduct[CrateCost])*fSales[[#This Row],[Units]]</f>
        <v>3292.7999999999997</v>
      </c>
      <c r="M101">
        <f>(_xlfn.XLOOKUP(fSales[[#This Row],[ProductID]],dProduct[ProductID],dProduct[CratePrice])-_xlfn.XLOOKUP(fSales[[#This Row],[ProductID]],dProduct[ProductID],dProduct[CrateCost]))/_xlfn.XLOOKUP(fSales[[#This Row],[ProductID]],dProduct[ProductID],dProduct[CratePrice])</f>
        <v>0.56000000000000005</v>
      </c>
      <c r="N101" t="str">
        <f>_xlfn.XLOOKUP(fSales[[#This Row],[SalesRepID]],dPSalesRep[SalesRepID],dPSalesRep[SalesRep])</f>
        <v>Smitty Rad</v>
      </c>
      <c r="O101" t="str">
        <f>_xlfn.XLOOKUP(fSales[[#This Row],[SalesRepID]],dPSalesRep[SalesRepID],dPSalesRep[Region])</f>
        <v>MidWest</v>
      </c>
      <c r="P101" t="str">
        <f>_xlfn.XLOOKUP(fSales[[#This Row],[ProductID]],dProduct[ProductID],dProduct[Product])</f>
        <v>Apple</v>
      </c>
      <c r="Q101">
        <f>_xlfn.XLOOKUP(fSales[[#This Row],[ProductID]],dProduct[ProductID],dProduct[CratePrice])-_xlfn.XLOOKUP(fSales[[#This Row],[ProductID]],dProduct[ProductID],dProduct[CrateCost])</f>
        <v>19.600000000000001</v>
      </c>
      <c r="R101">
        <f>_xlfn.XLOOKUP(fSales[[#This Row],[ProductID]],dProduct[ProductID],dProduct[CratePrice])</f>
        <v>35</v>
      </c>
      <c r="S101">
        <f>_xlfn.XLOOKUP(fSales[[#This Row],[ProductID]],dProduct[ProductID],dProduct[CrateCost])</f>
        <v>15.4</v>
      </c>
      <c r="V101" s="5" t="s">
        <v>55</v>
      </c>
      <c r="W101">
        <v>34812</v>
      </c>
      <c r="X101">
        <v>0.44082624679279242</v>
      </c>
    </row>
    <row r="102" spans="7:24" x14ac:dyDescent="0.25">
      <c r="G102" s="2">
        <v>45360</v>
      </c>
      <c r="H102">
        <v>192</v>
      </c>
      <c r="I102" t="s">
        <v>19</v>
      </c>
      <c r="J102" t="s">
        <v>32</v>
      </c>
      <c r="K102">
        <f>_xlfn.XLOOKUP(fSales[[#This Row],[ProductID]],dProduct[ProductID],dProduct[CratePrice])*fSales[[#This Row],[Units]]</f>
        <v>6720</v>
      </c>
      <c r="L102">
        <f>fSales[[#This Row],[Total sales]]-_xlfn.XLOOKUP(fSales[[#This Row],[ProductID]],dProduct[ProductID],dProduct[CrateCost])*fSales[[#This Row],[Units]]</f>
        <v>3763.2</v>
      </c>
      <c r="M102">
        <f>(_xlfn.XLOOKUP(fSales[[#This Row],[ProductID]],dProduct[ProductID],dProduct[CratePrice])-_xlfn.XLOOKUP(fSales[[#This Row],[ProductID]],dProduct[ProductID],dProduct[CrateCost]))/_xlfn.XLOOKUP(fSales[[#This Row],[ProductID]],dProduct[ProductID],dProduct[CratePrice])</f>
        <v>0.56000000000000005</v>
      </c>
      <c r="N102" t="str">
        <f>_xlfn.XLOOKUP(fSales[[#This Row],[SalesRepID]],dPSalesRep[SalesRepID],dPSalesRep[SalesRep])</f>
        <v>Shihara Fazzaa</v>
      </c>
      <c r="O102" t="str">
        <f>_xlfn.XLOOKUP(fSales[[#This Row],[SalesRepID]],dPSalesRep[SalesRepID],dPSalesRep[Region])</f>
        <v>East</v>
      </c>
      <c r="P102" t="str">
        <f>_xlfn.XLOOKUP(fSales[[#This Row],[ProductID]],dProduct[ProductID],dProduct[Product])</f>
        <v>Apple</v>
      </c>
      <c r="Q102">
        <f>_xlfn.XLOOKUP(fSales[[#This Row],[ProductID]],dProduct[ProductID],dProduct[CratePrice])-_xlfn.XLOOKUP(fSales[[#This Row],[ProductID]],dProduct[ProductID],dProduct[CrateCost])</f>
        <v>19.600000000000001</v>
      </c>
      <c r="R102">
        <f>_xlfn.XLOOKUP(fSales[[#This Row],[ProductID]],dProduct[ProductID],dProduct[CratePrice])</f>
        <v>35</v>
      </c>
      <c r="S102">
        <f>_xlfn.XLOOKUP(fSales[[#This Row],[ProductID]],dProduct[ProductID],dProduct[CrateCost])</f>
        <v>15.4</v>
      </c>
    </row>
    <row r="103" spans="7:24" x14ac:dyDescent="0.25">
      <c r="G103" s="2">
        <v>45360</v>
      </c>
      <c r="H103">
        <v>288</v>
      </c>
      <c r="I103" t="s">
        <v>19</v>
      </c>
      <c r="J103" t="s">
        <v>29</v>
      </c>
      <c r="K103">
        <f>_xlfn.XLOOKUP(fSales[[#This Row],[ProductID]],dProduct[ProductID],dProduct[CratePrice])*fSales[[#This Row],[Units]]</f>
        <v>10080</v>
      </c>
      <c r="L103">
        <f>fSales[[#This Row],[Total sales]]-_xlfn.XLOOKUP(fSales[[#This Row],[ProductID]],dProduct[ProductID],dProduct[CrateCost])*fSales[[#This Row],[Units]]</f>
        <v>5644.8</v>
      </c>
      <c r="M103">
        <f>(_xlfn.XLOOKUP(fSales[[#This Row],[ProductID]],dProduct[ProductID],dProduct[CratePrice])-_xlfn.XLOOKUP(fSales[[#This Row],[ProductID]],dProduct[ProductID],dProduct[CrateCost]))/_xlfn.XLOOKUP(fSales[[#This Row],[ProductID]],dProduct[ProductID],dProduct[CratePrice])</f>
        <v>0.56000000000000005</v>
      </c>
      <c r="N103" t="str">
        <f>_xlfn.XLOOKUP(fSales[[#This Row],[SalesRepID]],dPSalesRep[SalesRepID],dPSalesRep[SalesRep])</f>
        <v>Sioux Best</v>
      </c>
      <c r="O103" t="str">
        <f>_xlfn.XLOOKUP(fSales[[#This Row],[SalesRepID]],dPSalesRep[SalesRepID],dPSalesRep[Region])</f>
        <v>West</v>
      </c>
      <c r="P103" t="str">
        <f>_xlfn.XLOOKUP(fSales[[#This Row],[ProductID]],dProduct[ProductID],dProduct[Product])</f>
        <v>Apple</v>
      </c>
      <c r="Q103">
        <f>_xlfn.XLOOKUP(fSales[[#This Row],[ProductID]],dProduct[ProductID],dProduct[CratePrice])-_xlfn.XLOOKUP(fSales[[#This Row],[ProductID]],dProduct[ProductID],dProduct[CrateCost])</f>
        <v>19.600000000000001</v>
      </c>
      <c r="R103">
        <f>_xlfn.XLOOKUP(fSales[[#This Row],[ProductID]],dProduct[ProductID],dProduct[CratePrice])</f>
        <v>35</v>
      </c>
      <c r="S103">
        <f>_xlfn.XLOOKUP(fSales[[#This Row],[ProductID]],dProduct[ProductID],dProduct[CrateCost])</f>
        <v>15.4</v>
      </c>
    </row>
    <row r="104" spans="7:24" x14ac:dyDescent="0.25">
      <c r="G104" s="2">
        <v>45361</v>
      </c>
      <c r="H104">
        <v>72</v>
      </c>
      <c r="I104" t="s">
        <v>26</v>
      </c>
      <c r="J104" t="s">
        <v>52</v>
      </c>
      <c r="K104">
        <f>_xlfn.XLOOKUP(fSales[[#This Row],[ProductID]],dProduct[ProductID],dProduct[CratePrice])*fSales[[#This Row],[Units]]</f>
        <v>2142</v>
      </c>
      <c r="L104">
        <f>fSales[[#This Row],[Total sales]]-_xlfn.XLOOKUP(fSales[[#This Row],[ProductID]],dProduct[ProductID],dProduct[CrateCost])*fSales[[#This Row],[Units]]</f>
        <v>899.6400000000001</v>
      </c>
      <c r="M104">
        <f>(_xlfn.XLOOKUP(fSales[[#This Row],[ProductID]],dProduct[ProductID],dProduct[CratePrice])-_xlfn.XLOOKUP(fSales[[#This Row],[ProductID]],dProduct[ProductID],dProduct[CrateCost]))/_xlfn.XLOOKUP(fSales[[#This Row],[ProductID]],dProduct[ProductID],dProduct[CratePrice])</f>
        <v>0.42000000000000004</v>
      </c>
      <c r="N104" t="str">
        <f>_xlfn.XLOOKUP(fSales[[#This Row],[SalesRepID]],dPSalesRep[SalesRepID],dPSalesRep[SalesRep])</f>
        <v>Smitty Rad</v>
      </c>
      <c r="O104" t="str">
        <f>_xlfn.XLOOKUP(fSales[[#This Row],[SalesRepID]],dPSalesRep[SalesRepID],dPSalesRep[Region])</f>
        <v>MidWest</v>
      </c>
      <c r="P104" t="str">
        <f>_xlfn.XLOOKUP(fSales[[#This Row],[ProductID]],dProduct[ProductID],dProduct[Product])</f>
        <v>Orange</v>
      </c>
      <c r="Q104">
        <f>_xlfn.XLOOKUP(fSales[[#This Row],[ProductID]],dProduct[ProductID],dProduct[CratePrice])-_xlfn.XLOOKUP(fSales[[#This Row],[ProductID]],dProduct[ProductID],dProduct[CrateCost])</f>
        <v>12.495000000000001</v>
      </c>
      <c r="R104">
        <f>_xlfn.XLOOKUP(fSales[[#This Row],[ProductID]],dProduct[ProductID],dProduct[CratePrice])</f>
        <v>29.75</v>
      </c>
      <c r="S104">
        <f>_xlfn.XLOOKUP(fSales[[#This Row],[ProductID]],dProduct[ProductID],dProduct[CrateCost])</f>
        <v>17.254999999999999</v>
      </c>
    </row>
    <row r="105" spans="7:24" x14ac:dyDescent="0.25">
      <c r="G105" s="2">
        <v>45362</v>
      </c>
      <c r="H105">
        <v>24</v>
      </c>
      <c r="I105" t="s">
        <v>28</v>
      </c>
      <c r="J105" t="s">
        <v>52</v>
      </c>
      <c r="K105">
        <f>_xlfn.XLOOKUP(fSales[[#This Row],[ProductID]],dProduct[ProductID],dProduct[CratePrice])*fSales[[#This Row],[Units]]</f>
        <v>1048.8000000000002</v>
      </c>
      <c r="L105">
        <f>fSales[[#This Row],[Total sales]]-_xlfn.XLOOKUP(fSales[[#This Row],[ProductID]],dProduct[ProductID],dProduct[CrateCost])*fSales[[#This Row],[Units]]</f>
        <v>440.49600000000021</v>
      </c>
      <c r="M105">
        <f>(_xlfn.XLOOKUP(fSales[[#This Row],[ProductID]],dProduct[ProductID],dProduct[CratePrice])-_xlfn.XLOOKUP(fSales[[#This Row],[ProductID]],dProduct[ProductID],dProduct[CrateCost]))/_xlfn.XLOOKUP(fSales[[#This Row],[ProductID]],dProduct[ProductID],dProduct[CratePrice])</f>
        <v>0.42000000000000004</v>
      </c>
      <c r="N105" t="str">
        <f>_xlfn.XLOOKUP(fSales[[#This Row],[SalesRepID]],dPSalesRep[SalesRepID],dPSalesRep[SalesRep])</f>
        <v>Smitty Rad</v>
      </c>
      <c r="O105" t="str">
        <f>_xlfn.XLOOKUP(fSales[[#This Row],[SalesRepID]],dPSalesRep[SalesRepID],dPSalesRep[Region])</f>
        <v>MidWest</v>
      </c>
      <c r="P105" t="str">
        <f>_xlfn.XLOOKUP(fSales[[#This Row],[ProductID]],dProduct[ProductID],dProduct[Product])</f>
        <v>Cherry</v>
      </c>
      <c r="Q105">
        <f>_xlfn.XLOOKUP(fSales[[#This Row],[ProductID]],dProduct[ProductID],dProduct[CratePrice])-_xlfn.XLOOKUP(fSales[[#This Row],[ProductID]],dProduct[ProductID],dProduct[CrateCost])</f>
        <v>18.354000000000003</v>
      </c>
      <c r="R105">
        <f>_xlfn.XLOOKUP(fSales[[#This Row],[ProductID]],dProduct[ProductID],dProduct[CratePrice])</f>
        <v>43.7</v>
      </c>
      <c r="S105">
        <f>_xlfn.XLOOKUP(fSales[[#This Row],[ProductID]],dProduct[ProductID],dProduct[CrateCost])</f>
        <v>25.346</v>
      </c>
    </row>
    <row r="106" spans="7:24" x14ac:dyDescent="0.25">
      <c r="G106" s="2">
        <v>45365</v>
      </c>
      <c r="H106">
        <v>48</v>
      </c>
      <c r="I106" t="s">
        <v>26</v>
      </c>
      <c r="J106" t="s">
        <v>22</v>
      </c>
      <c r="K106">
        <f>_xlfn.XLOOKUP(fSales[[#This Row],[ProductID]],dProduct[ProductID],dProduct[CratePrice])*fSales[[#This Row],[Units]]</f>
        <v>1428</v>
      </c>
      <c r="L106">
        <f>fSales[[#This Row],[Total sales]]-_xlfn.XLOOKUP(fSales[[#This Row],[ProductID]],dProduct[ProductID],dProduct[CrateCost])*fSales[[#This Row],[Units]]</f>
        <v>599.76</v>
      </c>
      <c r="M106">
        <f>(_xlfn.XLOOKUP(fSales[[#This Row],[ProductID]],dProduct[ProductID],dProduct[CratePrice])-_xlfn.XLOOKUP(fSales[[#This Row],[ProductID]],dProduct[ProductID],dProduct[CrateCost]))/_xlfn.XLOOKUP(fSales[[#This Row],[ProductID]],dProduct[ProductID],dProduct[CratePrice])</f>
        <v>0.42000000000000004</v>
      </c>
      <c r="N106" t="str">
        <f>_xlfn.XLOOKUP(fSales[[#This Row],[SalesRepID]],dPSalesRep[SalesRepID],dPSalesRep[SalesRep])</f>
        <v>Timmy Kips</v>
      </c>
      <c r="O106" t="str">
        <f>_xlfn.XLOOKUP(fSales[[#This Row],[SalesRepID]],dPSalesRep[SalesRepID],dPSalesRep[Region])</f>
        <v>East</v>
      </c>
      <c r="P106" t="str">
        <f>_xlfn.XLOOKUP(fSales[[#This Row],[ProductID]],dProduct[ProductID],dProduct[Product])</f>
        <v>Orange</v>
      </c>
      <c r="Q106">
        <f>_xlfn.XLOOKUP(fSales[[#This Row],[ProductID]],dProduct[ProductID],dProduct[CratePrice])-_xlfn.XLOOKUP(fSales[[#This Row],[ProductID]],dProduct[ProductID],dProduct[CrateCost])</f>
        <v>12.495000000000001</v>
      </c>
      <c r="R106">
        <f>_xlfn.XLOOKUP(fSales[[#This Row],[ProductID]],dProduct[ProductID],dProduct[CratePrice])</f>
        <v>29.75</v>
      </c>
      <c r="S106">
        <f>_xlfn.XLOOKUP(fSales[[#This Row],[ProductID]],dProduct[ProductID],dProduct[CrateCost])</f>
        <v>17.254999999999999</v>
      </c>
    </row>
    <row r="107" spans="7:24" x14ac:dyDescent="0.25">
      <c r="G107" s="2">
        <v>45366</v>
      </c>
      <c r="H107">
        <v>288</v>
      </c>
      <c r="I107" t="s">
        <v>21</v>
      </c>
      <c r="J107" t="s">
        <v>22</v>
      </c>
      <c r="K107">
        <f>_xlfn.XLOOKUP(fSales[[#This Row],[ProductID]],dProduct[ProductID],dProduct[CratePrice])*fSales[[#This Row],[Units]]</f>
        <v>6480</v>
      </c>
      <c r="L107">
        <f>fSales[[#This Row],[Total sales]]-_xlfn.XLOOKUP(fSales[[#This Row],[ProductID]],dProduct[ProductID],dProduct[CrateCost])*fSales[[#This Row],[Units]]</f>
        <v>2851.2</v>
      </c>
      <c r="M107">
        <f>(_xlfn.XLOOKUP(fSales[[#This Row],[ProductID]],dProduct[ProductID],dProduct[CratePrice])-_xlfn.XLOOKUP(fSales[[#This Row],[ProductID]],dProduct[ProductID],dProduct[CrateCost]))/_xlfn.XLOOKUP(fSales[[#This Row],[ProductID]],dProduct[ProductID],dProduct[CratePrice])</f>
        <v>0.43999999999999995</v>
      </c>
      <c r="N107" t="str">
        <f>_xlfn.XLOOKUP(fSales[[#This Row],[SalesRepID]],dPSalesRep[SalesRepID],dPSalesRep[SalesRep])</f>
        <v>Timmy Kips</v>
      </c>
      <c r="O107" t="str">
        <f>_xlfn.XLOOKUP(fSales[[#This Row],[SalesRepID]],dPSalesRep[SalesRepID],dPSalesRep[Region])</f>
        <v>East</v>
      </c>
      <c r="P107" t="str">
        <f>_xlfn.XLOOKUP(fSales[[#This Row],[ProductID]],dProduct[ProductID],dProduct[Product])</f>
        <v>Kiwi</v>
      </c>
      <c r="Q107">
        <f>_xlfn.XLOOKUP(fSales[[#This Row],[ProductID]],dProduct[ProductID],dProduct[CratePrice])-_xlfn.XLOOKUP(fSales[[#This Row],[ProductID]],dProduct[ProductID],dProduct[CrateCost])</f>
        <v>9.8999999999999986</v>
      </c>
      <c r="R107">
        <f>_xlfn.XLOOKUP(fSales[[#This Row],[ProductID]],dProduct[ProductID],dProduct[CratePrice])</f>
        <v>22.5</v>
      </c>
      <c r="S107">
        <f>_xlfn.XLOOKUP(fSales[[#This Row],[ProductID]],dProduct[ProductID],dProduct[CrateCost])</f>
        <v>12.600000000000001</v>
      </c>
    </row>
    <row r="108" spans="7:24" x14ac:dyDescent="0.25">
      <c r="G108" s="2">
        <v>45366</v>
      </c>
      <c r="H108">
        <v>204</v>
      </c>
      <c r="I108" t="s">
        <v>28</v>
      </c>
      <c r="J108" t="s">
        <v>52</v>
      </c>
      <c r="K108">
        <f>_xlfn.XLOOKUP(fSales[[#This Row],[ProductID]],dProduct[ProductID],dProduct[CratePrice])*fSales[[#This Row],[Units]]</f>
        <v>8914.8000000000011</v>
      </c>
      <c r="L108">
        <f>fSales[[#This Row],[Total sales]]-_xlfn.XLOOKUP(fSales[[#This Row],[ProductID]],dProduct[ProductID],dProduct[CrateCost])*fSales[[#This Row],[Units]]</f>
        <v>3744.2160000000013</v>
      </c>
      <c r="M108">
        <f>(_xlfn.XLOOKUP(fSales[[#This Row],[ProductID]],dProduct[ProductID],dProduct[CratePrice])-_xlfn.XLOOKUP(fSales[[#This Row],[ProductID]],dProduct[ProductID],dProduct[CrateCost]))/_xlfn.XLOOKUP(fSales[[#This Row],[ProductID]],dProduct[ProductID],dProduct[CratePrice])</f>
        <v>0.42000000000000004</v>
      </c>
      <c r="N108" t="str">
        <f>_xlfn.XLOOKUP(fSales[[#This Row],[SalesRepID]],dPSalesRep[SalesRepID],dPSalesRep[SalesRep])</f>
        <v>Smitty Rad</v>
      </c>
      <c r="O108" t="str">
        <f>_xlfn.XLOOKUP(fSales[[#This Row],[SalesRepID]],dPSalesRep[SalesRepID],dPSalesRep[Region])</f>
        <v>MidWest</v>
      </c>
      <c r="P108" t="str">
        <f>_xlfn.XLOOKUP(fSales[[#This Row],[ProductID]],dProduct[ProductID],dProduct[Product])</f>
        <v>Cherry</v>
      </c>
      <c r="Q108">
        <f>_xlfn.XLOOKUP(fSales[[#This Row],[ProductID]],dProduct[ProductID],dProduct[CratePrice])-_xlfn.XLOOKUP(fSales[[#This Row],[ProductID]],dProduct[ProductID],dProduct[CrateCost])</f>
        <v>18.354000000000003</v>
      </c>
      <c r="R108">
        <f>_xlfn.XLOOKUP(fSales[[#This Row],[ProductID]],dProduct[ProductID],dProduct[CratePrice])</f>
        <v>43.7</v>
      </c>
      <c r="S108">
        <f>_xlfn.XLOOKUP(fSales[[#This Row],[ProductID]],dProduct[ProductID],dProduct[CrateCost])</f>
        <v>25.346</v>
      </c>
    </row>
    <row r="109" spans="7:24" x14ac:dyDescent="0.25">
      <c r="G109" s="2">
        <v>45367</v>
      </c>
      <c r="H109">
        <v>132</v>
      </c>
      <c r="I109" t="s">
        <v>21</v>
      </c>
      <c r="J109" t="s">
        <v>32</v>
      </c>
      <c r="K109">
        <f>_xlfn.XLOOKUP(fSales[[#This Row],[ProductID]],dProduct[ProductID],dProduct[CratePrice])*fSales[[#This Row],[Units]]</f>
        <v>2970</v>
      </c>
      <c r="L109">
        <f>fSales[[#This Row],[Total sales]]-_xlfn.XLOOKUP(fSales[[#This Row],[ProductID]],dProduct[ProductID],dProduct[CrateCost])*fSales[[#This Row],[Units]]</f>
        <v>1306.7999999999997</v>
      </c>
      <c r="M109">
        <f>(_xlfn.XLOOKUP(fSales[[#This Row],[ProductID]],dProduct[ProductID],dProduct[CratePrice])-_xlfn.XLOOKUP(fSales[[#This Row],[ProductID]],dProduct[ProductID],dProduct[CrateCost]))/_xlfn.XLOOKUP(fSales[[#This Row],[ProductID]],dProduct[ProductID],dProduct[CratePrice])</f>
        <v>0.43999999999999995</v>
      </c>
      <c r="N109" t="str">
        <f>_xlfn.XLOOKUP(fSales[[#This Row],[SalesRepID]],dPSalesRep[SalesRepID],dPSalesRep[SalesRep])</f>
        <v>Shihara Fazzaa</v>
      </c>
      <c r="O109" t="str">
        <f>_xlfn.XLOOKUP(fSales[[#This Row],[SalesRepID]],dPSalesRep[SalesRepID],dPSalesRep[Region])</f>
        <v>East</v>
      </c>
      <c r="P109" t="str">
        <f>_xlfn.XLOOKUP(fSales[[#This Row],[ProductID]],dProduct[ProductID],dProduct[Product])</f>
        <v>Kiwi</v>
      </c>
      <c r="Q109">
        <f>_xlfn.XLOOKUP(fSales[[#This Row],[ProductID]],dProduct[ProductID],dProduct[CratePrice])-_xlfn.XLOOKUP(fSales[[#This Row],[ProductID]],dProduct[ProductID],dProduct[CrateCost])</f>
        <v>9.8999999999999986</v>
      </c>
      <c r="R109">
        <f>_xlfn.XLOOKUP(fSales[[#This Row],[ProductID]],dProduct[ProductID],dProduct[CratePrice])</f>
        <v>22.5</v>
      </c>
      <c r="S109">
        <f>_xlfn.XLOOKUP(fSales[[#This Row],[ProductID]],dProduct[ProductID],dProduct[CrateCost])</f>
        <v>12.600000000000001</v>
      </c>
    </row>
    <row r="110" spans="7:24" x14ac:dyDescent="0.25">
      <c r="G110" s="2">
        <v>45367</v>
      </c>
      <c r="H110">
        <v>72</v>
      </c>
      <c r="I110" t="s">
        <v>34</v>
      </c>
      <c r="J110" t="s">
        <v>29</v>
      </c>
      <c r="K110">
        <f>_xlfn.XLOOKUP(fSales[[#This Row],[ProductID]],dProduct[ProductID],dProduct[CratePrice])*fSales[[#This Row],[Units]]</f>
        <v>1260</v>
      </c>
      <c r="L110">
        <f>fSales[[#This Row],[Total sales]]-_xlfn.XLOOKUP(fSales[[#This Row],[ProductID]],dProduct[ProductID],dProduct[CrateCost])*fSales[[#This Row],[Units]]</f>
        <v>415.79999999999995</v>
      </c>
      <c r="M110">
        <f>(_xlfn.XLOOKUP(fSales[[#This Row],[ProductID]],dProduct[ProductID],dProduct[CratePrice])-_xlfn.XLOOKUP(fSales[[#This Row],[ProductID]],dProduct[ProductID],dProduct[CrateCost]))/_xlfn.XLOOKUP(fSales[[#This Row],[ProductID]],dProduct[ProductID],dProduct[CratePrice])</f>
        <v>0.3299999999999999</v>
      </c>
      <c r="N110" t="str">
        <f>_xlfn.XLOOKUP(fSales[[#This Row],[SalesRepID]],dPSalesRep[SalesRepID],dPSalesRep[SalesRep])</f>
        <v>Sioux Best</v>
      </c>
      <c r="O110" t="str">
        <f>_xlfn.XLOOKUP(fSales[[#This Row],[SalesRepID]],dPSalesRep[SalesRepID],dPSalesRep[Region])</f>
        <v>West</v>
      </c>
      <c r="P110" t="str">
        <f>_xlfn.XLOOKUP(fSales[[#This Row],[ProductID]],dProduct[ProductID],dProduct[Product])</f>
        <v>Banana</v>
      </c>
      <c r="Q110">
        <f>_xlfn.XLOOKUP(fSales[[#This Row],[ProductID]],dProduct[ProductID],dProduct[CratePrice])-_xlfn.XLOOKUP(fSales[[#This Row],[ProductID]],dProduct[ProductID],dProduct[CrateCost])</f>
        <v>5.7749999999999986</v>
      </c>
      <c r="R110">
        <f>_xlfn.XLOOKUP(fSales[[#This Row],[ProductID]],dProduct[ProductID],dProduct[CratePrice])</f>
        <v>17.5</v>
      </c>
      <c r="S110">
        <f>_xlfn.XLOOKUP(fSales[[#This Row],[ProductID]],dProduct[ProductID],dProduct[CrateCost])</f>
        <v>11.725000000000001</v>
      </c>
    </row>
    <row r="111" spans="7:24" x14ac:dyDescent="0.25">
      <c r="G111" s="2">
        <v>45367</v>
      </c>
      <c r="H111">
        <v>24</v>
      </c>
      <c r="I111" t="s">
        <v>34</v>
      </c>
      <c r="J111" t="s">
        <v>32</v>
      </c>
      <c r="K111">
        <f>_xlfn.XLOOKUP(fSales[[#This Row],[ProductID]],dProduct[ProductID],dProduct[CratePrice])*fSales[[#This Row],[Units]]</f>
        <v>420</v>
      </c>
      <c r="L111">
        <f>fSales[[#This Row],[Total sales]]-_xlfn.XLOOKUP(fSales[[#This Row],[ProductID]],dProduct[ProductID],dProduct[CrateCost])*fSales[[#This Row],[Units]]</f>
        <v>138.59999999999997</v>
      </c>
      <c r="M111">
        <f>(_xlfn.XLOOKUP(fSales[[#This Row],[ProductID]],dProduct[ProductID],dProduct[CratePrice])-_xlfn.XLOOKUP(fSales[[#This Row],[ProductID]],dProduct[ProductID],dProduct[CrateCost]))/_xlfn.XLOOKUP(fSales[[#This Row],[ProductID]],dProduct[ProductID],dProduct[CratePrice])</f>
        <v>0.3299999999999999</v>
      </c>
      <c r="N111" t="str">
        <f>_xlfn.XLOOKUP(fSales[[#This Row],[SalesRepID]],dPSalesRep[SalesRepID],dPSalesRep[SalesRep])</f>
        <v>Shihara Fazzaa</v>
      </c>
      <c r="O111" t="str">
        <f>_xlfn.XLOOKUP(fSales[[#This Row],[SalesRepID]],dPSalesRep[SalesRepID],dPSalesRep[Region])</f>
        <v>East</v>
      </c>
      <c r="P111" t="str">
        <f>_xlfn.XLOOKUP(fSales[[#This Row],[ProductID]],dProduct[ProductID],dProduct[Product])</f>
        <v>Banana</v>
      </c>
      <c r="Q111">
        <f>_xlfn.XLOOKUP(fSales[[#This Row],[ProductID]],dProduct[ProductID],dProduct[CratePrice])-_xlfn.XLOOKUP(fSales[[#This Row],[ProductID]],dProduct[ProductID],dProduct[CrateCost])</f>
        <v>5.7749999999999986</v>
      </c>
      <c r="R111">
        <f>_xlfn.XLOOKUP(fSales[[#This Row],[ProductID]],dProduct[ProductID],dProduct[CratePrice])</f>
        <v>17.5</v>
      </c>
      <c r="S111">
        <f>_xlfn.XLOOKUP(fSales[[#This Row],[ProductID]],dProduct[ProductID],dProduct[CrateCost])</f>
        <v>11.725000000000001</v>
      </c>
    </row>
    <row r="112" spans="7:24" x14ac:dyDescent="0.25">
      <c r="G112" s="2">
        <v>45368</v>
      </c>
      <c r="H112">
        <v>156</v>
      </c>
      <c r="I112" t="s">
        <v>19</v>
      </c>
      <c r="J112" t="s">
        <v>29</v>
      </c>
      <c r="K112">
        <f>_xlfn.XLOOKUP(fSales[[#This Row],[ProductID]],dProduct[ProductID],dProduct[CratePrice])*fSales[[#This Row],[Units]]</f>
        <v>5460</v>
      </c>
      <c r="L112">
        <f>fSales[[#This Row],[Total sales]]-_xlfn.XLOOKUP(fSales[[#This Row],[ProductID]],dProduct[ProductID],dProduct[CrateCost])*fSales[[#This Row],[Units]]</f>
        <v>3057.6</v>
      </c>
      <c r="M112">
        <f>(_xlfn.XLOOKUP(fSales[[#This Row],[ProductID]],dProduct[ProductID],dProduct[CratePrice])-_xlfn.XLOOKUP(fSales[[#This Row],[ProductID]],dProduct[ProductID],dProduct[CrateCost]))/_xlfn.XLOOKUP(fSales[[#This Row],[ProductID]],dProduct[ProductID],dProduct[CratePrice])</f>
        <v>0.56000000000000005</v>
      </c>
      <c r="N112" t="str">
        <f>_xlfn.XLOOKUP(fSales[[#This Row],[SalesRepID]],dPSalesRep[SalesRepID],dPSalesRep[SalesRep])</f>
        <v>Sioux Best</v>
      </c>
      <c r="O112" t="str">
        <f>_xlfn.XLOOKUP(fSales[[#This Row],[SalesRepID]],dPSalesRep[SalesRepID],dPSalesRep[Region])</f>
        <v>West</v>
      </c>
      <c r="P112" t="str">
        <f>_xlfn.XLOOKUP(fSales[[#This Row],[ProductID]],dProduct[ProductID],dProduct[Product])</f>
        <v>Apple</v>
      </c>
      <c r="Q112">
        <f>_xlfn.XLOOKUP(fSales[[#This Row],[ProductID]],dProduct[ProductID],dProduct[CratePrice])-_xlfn.XLOOKUP(fSales[[#This Row],[ProductID]],dProduct[ProductID],dProduct[CrateCost])</f>
        <v>19.600000000000001</v>
      </c>
      <c r="R112">
        <f>_xlfn.XLOOKUP(fSales[[#This Row],[ProductID]],dProduct[ProductID],dProduct[CratePrice])</f>
        <v>35</v>
      </c>
      <c r="S112">
        <f>_xlfn.XLOOKUP(fSales[[#This Row],[ProductID]],dProduct[ProductID],dProduct[CrateCost])</f>
        <v>15.4</v>
      </c>
    </row>
    <row r="113" spans="7:31" x14ac:dyDescent="0.25">
      <c r="G113" s="2">
        <v>45368</v>
      </c>
      <c r="H113">
        <v>252</v>
      </c>
      <c r="I113" t="s">
        <v>26</v>
      </c>
      <c r="J113" t="s">
        <v>22</v>
      </c>
      <c r="K113">
        <f>_xlfn.XLOOKUP(fSales[[#This Row],[ProductID]],dProduct[ProductID],dProduct[CratePrice])*fSales[[#This Row],[Units]]</f>
        <v>7497</v>
      </c>
      <c r="L113">
        <f>fSales[[#This Row],[Total sales]]-_xlfn.XLOOKUP(fSales[[#This Row],[ProductID]],dProduct[ProductID],dProduct[CrateCost])*fSales[[#This Row],[Units]]</f>
        <v>3148.7400000000007</v>
      </c>
      <c r="M113">
        <f>(_xlfn.XLOOKUP(fSales[[#This Row],[ProductID]],dProduct[ProductID],dProduct[CratePrice])-_xlfn.XLOOKUP(fSales[[#This Row],[ProductID]],dProduct[ProductID],dProduct[CrateCost]))/_xlfn.XLOOKUP(fSales[[#This Row],[ProductID]],dProduct[ProductID],dProduct[CratePrice])</f>
        <v>0.42000000000000004</v>
      </c>
      <c r="N113" t="str">
        <f>_xlfn.XLOOKUP(fSales[[#This Row],[SalesRepID]],dPSalesRep[SalesRepID],dPSalesRep[SalesRep])</f>
        <v>Timmy Kips</v>
      </c>
      <c r="O113" t="str">
        <f>_xlfn.XLOOKUP(fSales[[#This Row],[SalesRepID]],dPSalesRep[SalesRepID],dPSalesRep[Region])</f>
        <v>East</v>
      </c>
      <c r="P113" t="str">
        <f>_xlfn.XLOOKUP(fSales[[#This Row],[ProductID]],dProduct[ProductID],dProduct[Product])</f>
        <v>Orange</v>
      </c>
      <c r="Q113">
        <f>_xlfn.XLOOKUP(fSales[[#This Row],[ProductID]],dProduct[ProductID],dProduct[CratePrice])-_xlfn.XLOOKUP(fSales[[#This Row],[ProductID]],dProduct[ProductID],dProduct[CrateCost])</f>
        <v>12.495000000000001</v>
      </c>
      <c r="R113">
        <f>_xlfn.XLOOKUP(fSales[[#This Row],[ProductID]],dProduct[ProductID],dProduct[CratePrice])</f>
        <v>29.75</v>
      </c>
      <c r="S113">
        <f>_xlfn.XLOOKUP(fSales[[#This Row],[ProductID]],dProduct[ProductID],dProduct[CrateCost])</f>
        <v>17.254999999999999</v>
      </c>
    </row>
    <row r="114" spans="7:31" x14ac:dyDescent="0.25">
      <c r="G114" s="2">
        <v>45369</v>
      </c>
      <c r="H114">
        <v>24</v>
      </c>
      <c r="I114" t="s">
        <v>28</v>
      </c>
      <c r="J114" t="s">
        <v>52</v>
      </c>
      <c r="K114">
        <f>_xlfn.XLOOKUP(fSales[[#This Row],[ProductID]],dProduct[ProductID],dProduct[CratePrice])*fSales[[#This Row],[Units]]</f>
        <v>1048.8000000000002</v>
      </c>
      <c r="L114">
        <f>fSales[[#This Row],[Total sales]]-_xlfn.XLOOKUP(fSales[[#This Row],[ProductID]],dProduct[ProductID],dProduct[CrateCost])*fSales[[#This Row],[Units]]</f>
        <v>440.49600000000021</v>
      </c>
      <c r="M114">
        <f>(_xlfn.XLOOKUP(fSales[[#This Row],[ProductID]],dProduct[ProductID],dProduct[CratePrice])-_xlfn.XLOOKUP(fSales[[#This Row],[ProductID]],dProduct[ProductID],dProduct[CrateCost]))/_xlfn.XLOOKUP(fSales[[#This Row],[ProductID]],dProduct[ProductID],dProduct[CratePrice])</f>
        <v>0.42000000000000004</v>
      </c>
      <c r="N114" t="str">
        <f>_xlfn.XLOOKUP(fSales[[#This Row],[SalesRepID]],dPSalesRep[SalesRepID],dPSalesRep[SalesRep])</f>
        <v>Smitty Rad</v>
      </c>
      <c r="O114" t="str">
        <f>_xlfn.XLOOKUP(fSales[[#This Row],[SalesRepID]],dPSalesRep[SalesRepID],dPSalesRep[Region])</f>
        <v>MidWest</v>
      </c>
      <c r="P114" t="str">
        <f>_xlfn.XLOOKUP(fSales[[#This Row],[ProductID]],dProduct[ProductID],dProduct[Product])</f>
        <v>Cherry</v>
      </c>
      <c r="Q114">
        <f>_xlfn.XLOOKUP(fSales[[#This Row],[ProductID]],dProduct[ProductID],dProduct[CratePrice])-_xlfn.XLOOKUP(fSales[[#This Row],[ProductID]],dProduct[ProductID],dProduct[CrateCost])</f>
        <v>18.354000000000003</v>
      </c>
      <c r="R114">
        <f>_xlfn.XLOOKUP(fSales[[#This Row],[ProductID]],dProduct[ProductID],dProduct[CratePrice])</f>
        <v>43.7</v>
      </c>
      <c r="S114">
        <f>_xlfn.XLOOKUP(fSales[[#This Row],[ProductID]],dProduct[ProductID],dProduct[CrateCost])</f>
        <v>25.346</v>
      </c>
    </row>
    <row r="115" spans="7:31" x14ac:dyDescent="0.25">
      <c r="G115" s="2">
        <v>45370</v>
      </c>
      <c r="H115">
        <v>84</v>
      </c>
      <c r="I115" t="s">
        <v>34</v>
      </c>
      <c r="J115" t="s">
        <v>22</v>
      </c>
      <c r="K115">
        <f>_xlfn.XLOOKUP(fSales[[#This Row],[ProductID]],dProduct[ProductID],dProduct[CratePrice])*fSales[[#This Row],[Units]]</f>
        <v>1470</v>
      </c>
      <c r="L115">
        <f>fSales[[#This Row],[Total sales]]-_xlfn.XLOOKUP(fSales[[#This Row],[ProductID]],dProduct[ProductID],dProduct[CrateCost])*fSales[[#This Row],[Units]]</f>
        <v>485.09999999999991</v>
      </c>
      <c r="M115">
        <f>(_xlfn.XLOOKUP(fSales[[#This Row],[ProductID]],dProduct[ProductID],dProduct[CratePrice])-_xlfn.XLOOKUP(fSales[[#This Row],[ProductID]],dProduct[ProductID],dProduct[CrateCost]))/_xlfn.XLOOKUP(fSales[[#This Row],[ProductID]],dProduct[ProductID],dProduct[CratePrice])</f>
        <v>0.3299999999999999</v>
      </c>
      <c r="N115" t="str">
        <f>_xlfn.XLOOKUP(fSales[[#This Row],[SalesRepID]],dPSalesRep[SalesRepID],dPSalesRep[SalesRep])</f>
        <v>Timmy Kips</v>
      </c>
      <c r="O115" t="str">
        <f>_xlfn.XLOOKUP(fSales[[#This Row],[SalesRepID]],dPSalesRep[SalesRepID],dPSalesRep[Region])</f>
        <v>East</v>
      </c>
      <c r="P115" t="str">
        <f>_xlfn.XLOOKUP(fSales[[#This Row],[ProductID]],dProduct[ProductID],dProduct[Product])</f>
        <v>Banana</v>
      </c>
      <c r="Q115">
        <f>_xlfn.XLOOKUP(fSales[[#This Row],[ProductID]],dProduct[ProductID],dProduct[CratePrice])-_xlfn.XLOOKUP(fSales[[#This Row],[ProductID]],dProduct[ProductID],dProduct[CrateCost])</f>
        <v>5.7749999999999986</v>
      </c>
      <c r="R115">
        <f>_xlfn.XLOOKUP(fSales[[#This Row],[ProductID]],dProduct[ProductID],dProduct[CratePrice])</f>
        <v>17.5</v>
      </c>
      <c r="S115">
        <f>_xlfn.XLOOKUP(fSales[[#This Row],[ProductID]],dProduct[ProductID],dProduct[CrateCost])</f>
        <v>11.725000000000001</v>
      </c>
    </row>
    <row r="116" spans="7:31" x14ac:dyDescent="0.25">
      <c r="G116" s="2">
        <v>45371</v>
      </c>
      <c r="H116">
        <v>276</v>
      </c>
      <c r="I116" t="s">
        <v>34</v>
      </c>
      <c r="J116" t="s">
        <v>29</v>
      </c>
      <c r="K116">
        <f>_xlfn.XLOOKUP(fSales[[#This Row],[ProductID]],dProduct[ProductID],dProduct[CratePrice])*fSales[[#This Row],[Units]]</f>
        <v>4830</v>
      </c>
      <c r="L116">
        <f>fSales[[#This Row],[Total sales]]-_xlfn.XLOOKUP(fSales[[#This Row],[ProductID]],dProduct[ProductID],dProduct[CrateCost])*fSales[[#This Row],[Units]]</f>
        <v>1593.8999999999996</v>
      </c>
      <c r="M116">
        <f>(_xlfn.XLOOKUP(fSales[[#This Row],[ProductID]],dProduct[ProductID],dProduct[CratePrice])-_xlfn.XLOOKUP(fSales[[#This Row],[ProductID]],dProduct[ProductID],dProduct[CrateCost]))/_xlfn.XLOOKUP(fSales[[#This Row],[ProductID]],dProduct[ProductID],dProduct[CratePrice])</f>
        <v>0.3299999999999999</v>
      </c>
      <c r="N116" t="str">
        <f>_xlfn.XLOOKUP(fSales[[#This Row],[SalesRepID]],dPSalesRep[SalesRepID],dPSalesRep[SalesRep])</f>
        <v>Sioux Best</v>
      </c>
      <c r="O116" t="str">
        <f>_xlfn.XLOOKUP(fSales[[#This Row],[SalesRepID]],dPSalesRep[SalesRepID],dPSalesRep[Region])</f>
        <v>West</v>
      </c>
      <c r="P116" t="str">
        <f>_xlfn.XLOOKUP(fSales[[#This Row],[ProductID]],dProduct[ProductID],dProduct[Product])</f>
        <v>Banana</v>
      </c>
      <c r="Q116">
        <f>_xlfn.XLOOKUP(fSales[[#This Row],[ProductID]],dProduct[ProductID],dProduct[CratePrice])-_xlfn.XLOOKUP(fSales[[#This Row],[ProductID]],dProduct[ProductID],dProduct[CrateCost])</f>
        <v>5.7749999999999986</v>
      </c>
      <c r="R116">
        <f>_xlfn.XLOOKUP(fSales[[#This Row],[ProductID]],dProduct[ProductID],dProduct[CratePrice])</f>
        <v>17.5</v>
      </c>
      <c r="S116">
        <f>_xlfn.XLOOKUP(fSales[[#This Row],[ProductID]],dProduct[ProductID],dProduct[CrateCost])</f>
        <v>11.725000000000001</v>
      </c>
    </row>
    <row r="117" spans="7:31" x14ac:dyDescent="0.25">
      <c r="G117" s="2">
        <v>45371</v>
      </c>
      <c r="H117">
        <v>120</v>
      </c>
      <c r="I117" t="s">
        <v>21</v>
      </c>
      <c r="J117" t="s">
        <v>52</v>
      </c>
      <c r="K117">
        <f>_xlfn.XLOOKUP(fSales[[#This Row],[ProductID]],dProduct[ProductID],dProduct[CratePrice])*fSales[[#This Row],[Units]]</f>
        <v>2700</v>
      </c>
      <c r="L117">
        <f>fSales[[#This Row],[Total sales]]-_xlfn.XLOOKUP(fSales[[#This Row],[ProductID]],dProduct[ProductID],dProduct[CrateCost])*fSales[[#This Row],[Units]]</f>
        <v>1187.9999999999998</v>
      </c>
      <c r="M117">
        <f>(_xlfn.XLOOKUP(fSales[[#This Row],[ProductID]],dProduct[ProductID],dProduct[CratePrice])-_xlfn.XLOOKUP(fSales[[#This Row],[ProductID]],dProduct[ProductID],dProduct[CrateCost]))/_xlfn.XLOOKUP(fSales[[#This Row],[ProductID]],dProduct[ProductID],dProduct[CratePrice])</f>
        <v>0.43999999999999995</v>
      </c>
      <c r="N117" t="str">
        <f>_xlfn.XLOOKUP(fSales[[#This Row],[SalesRepID]],dPSalesRep[SalesRepID],dPSalesRep[SalesRep])</f>
        <v>Smitty Rad</v>
      </c>
      <c r="O117" t="str">
        <f>_xlfn.XLOOKUP(fSales[[#This Row],[SalesRepID]],dPSalesRep[SalesRepID],dPSalesRep[Region])</f>
        <v>MidWest</v>
      </c>
      <c r="P117" t="str">
        <f>_xlfn.XLOOKUP(fSales[[#This Row],[ProductID]],dProduct[ProductID],dProduct[Product])</f>
        <v>Kiwi</v>
      </c>
      <c r="Q117">
        <f>_xlfn.XLOOKUP(fSales[[#This Row],[ProductID]],dProduct[ProductID],dProduct[CratePrice])-_xlfn.XLOOKUP(fSales[[#This Row],[ProductID]],dProduct[ProductID],dProduct[CrateCost])</f>
        <v>9.8999999999999986</v>
      </c>
      <c r="R117">
        <f>_xlfn.XLOOKUP(fSales[[#This Row],[ProductID]],dProduct[ProductID],dProduct[CratePrice])</f>
        <v>22.5</v>
      </c>
      <c r="S117">
        <f>_xlfn.XLOOKUP(fSales[[#This Row],[ProductID]],dProduct[ProductID],dProduct[CrateCost])</f>
        <v>12.600000000000001</v>
      </c>
    </row>
    <row r="118" spans="7:31" x14ac:dyDescent="0.25">
      <c r="G118" s="2">
        <v>45371</v>
      </c>
      <c r="H118">
        <v>108</v>
      </c>
      <c r="I118" t="s">
        <v>19</v>
      </c>
      <c r="J118" t="s">
        <v>32</v>
      </c>
      <c r="K118">
        <f>_xlfn.XLOOKUP(fSales[[#This Row],[ProductID]],dProduct[ProductID],dProduct[CratePrice])*fSales[[#This Row],[Units]]</f>
        <v>3780</v>
      </c>
      <c r="L118">
        <f>fSales[[#This Row],[Total sales]]-_xlfn.XLOOKUP(fSales[[#This Row],[ProductID]],dProduct[ProductID],dProduct[CrateCost])*fSales[[#This Row],[Units]]</f>
        <v>2116.8000000000002</v>
      </c>
      <c r="M118">
        <f>(_xlfn.XLOOKUP(fSales[[#This Row],[ProductID]],dProduct[ProductID],dProduct[CratePrice])-_xlfn.XLOOKUP(fSales[[#This Row],[ProductID]],dProduct[ProductID],dProduct[CrateCost]))/_xlfn.XLOOKUP(fSales[[#This Row],[ProductID]],dProduct[ProductID],dProduct[CratePrice])</f>
        <v>0.56000000000000005</v>
      </c>
      <c r="N118" t="str">
        <f>_xlfn.XLOOKUP(fSales[[#This Row],[SalesRepID]],dPSalesRep[SalesRepID],dPSalesRep[SalesRep])</f>
        <v>Shihara Fazzaa</v>
      </c>
      <c r="O118" t="str">
        <f>_xlfn.XLOOKUP(fSales[[#This Row],[SalesRepID]],dPSalesRep[SalesRepID],dPSalesRep[Region])</f>
        <v>East</v>
      </c>
      <c r="P118" t="str">
        <f>_xlfn.XLOOKUP(fSales[[#This Row],[ProductID]],dProduct[ProductID],dProduct[Product])</f>
        <v>Apple</v>
      </c>
      <c r="Q118">
        <f>_xlfn.XLOOKUP(fSales[[#This Row],[ProductID]],dProduct[ProductID],dProduct[CratePrice])-_xlfn.XLOOKUP(fSales[[#This Row],[ProductID]],dProduct[ProductID],dProduct[CrateCost])</f>
        <v>19.600000000000001</v>
      </c>
      <c r="R118">
        <f>_xlfn.XLOOKUP(fSales[[#This Row],[ProductID]],dProduct[ProductID],dProduct[CratePrice])</f>
        <v>35</v>
      </c>
      <c r="S118">
        <f>_xlfn.XLOOKUP(fSales[[#This Row],[ProductID]],dProduct[ProductID],dProduct[CrateCost])</f>
        <v>15.4</v>
      </c>
    </row>
    <row r="119" spans="7:31" x14ac:dyDescent="0.25">
      <c r="G119" s="2">
        <v>45371</v>
      </c>
      <c r="H119">
        <v>264</v>
      </c>
      <c r="I119" t="s">
        <v>21</v>
      </c>
      <c r="J119" t="s">
        <v>29</v>
      </c>
      <c r="K119">
        <f>_xlfn.XLOOKUP(fSales[[#This Row],[ProductID]],dProduct[ProductID],dProduct[CratePrice])*fSales[[#This Row],[Units]]</f>
        <v>5940</v>
      </c>
      <c r="L119">
        <f>fSales[[#This Row],[Total sales]]-_xlfn.XLOOKUP(fSales[[#This Row],[ProductID]],dProduct[ProductID],dProduct[CrateCost])*fSales[[#This Row],[Units]]</f>
        <v>2613.5999999999995</v>
      </c>
      <c r="M119">
        <f>(_xlfn.XLOOKUP(fSales[[#This Row],[ProductID]],dProduct[ProductID],dProduct[CratePrice])-_xlfn.XLOOKUP(fSales[[#This Row],[ProductID]],dProduct[ProductID],dProduct[CrateCost]))/_xlfn.XLOOKUP(fSales[[#This Row],[ProductID]],dProduct[ProductID],dProduct[CratePrice])</f>
        <v>0.43999999999999995</v>
      </c>
      <c r="N119" t="str">
        <f>_xlfn.XLOOKUP(fSales[[#This Row],[SalesRepID]],dPSalesRep[SalesRepID],dPSalesRep[SalesRep])</f>
        <v>Sioux Best</v>
      </c>
      <c r="O119" t="str">
        <f>_xlfn.XLOOKUP(fSales[[#This Row],[SalesRepID]],dPSalesRep[SalesRepID],dPSalesRep[Region])</f>
        <v>West</v>
      </c>
      <c r="P119" t="str">
        <f>_xlfn.XLOOKUP(fSales[[#This Row],[ProductID]],dProduct[ProductID],dProduct[Product])</f>
        <v>Kiwi</v>
      </c>
      <c r="Q119">
        <f>_xlfn.XLOOKUP(fSales[[#This Row],[ProductID]],dProduct[ProductID],dProduct[CratePrice])-_xlfn.XLOOKUP(fSales[[#This Row],[ProductID]],dProduct[ProductID],dProduct[CrateCost])</f>
        <v>9.8999999999999986</v>
      </c>
      <c r="R119">
        <f>_xlfn.XLOOKUP(fSales[[#This Row],[ProductID]],dProduct[ProductID],dProduct[CratePrice])</f>
        <v>22.5</v>
      </c>
      <c r="S119">
        <f>_xlfn.XLOOKUP(fSales[[#This Row],[ProductID]],dProduct[ProductID],dProduct[CrateCost])</f>
        <v>12.600000000000001</v>
      </c>
    </row>
    <row r="120" spans="7:31" x14ac:dyDescent="0.25">
      <c r="G120" s="2">
        <v>45371</v>
      </c>
      <c r="H120">
        <v>204</v>
      </c>
      <c r="I120" t="s">
        <v>26</v>
      </c>
      <c r="J120" t="s">
        <v>29</v>
      </c>
      <c r="K120">
        <f>_xlfn.XLOOKUP(fSales[[#This Row],[ProductID]],dProduct[ProductID],dProduct[CratePrice])*fSales[[#This Row],[Units]]</f>
        <v>6069</v>
      </c>
      <c r="L120">
        <f>fSales[[#This Row],[Total sales]]-_xlfn.XLOOKUP(fSales[[#This Row],[ProductID]],dProduct[ProductID],dProduct[CrateCost])*fSales[[#This Row],[Units]]</f>
        <v>2548.98</v>
      </c>
      <c r="M120">
        <f>(_xlfn.XLOOKUP(fSales[[#This Row],[ProductID]],dProduct[ProductID],dProduct[CratePrice])-_xlfn.XLOOKUP(fSales[[#This Row],[ProductID]],dProduct[ProductID],dProduct[CrateCost]))/_xlfn.XLOOKUP(fSales[[#This Row],[ProductID]],dProduct[ProductID],dProduct[CratePrice])</f>
        <v>0.42000000000000004</v>
      </c>
      <c r="N120" t="str">
        <f>_xlfn.XLOOKUP(fSales[[#This Row],[SalesRepID]],dPSalesRep[SalesRepID],dPSalesRep[SalesRep])</f>
        <v>Sioux Best</v>
      </c>
      <c r="O120" t="str">
        <f>_xlfn.XLOOKUP(fSales[[#This Row],[SalesRepID]],dPSalesRep[SalesRepID],dPSalesRep[Region])</f>
        <v>West</v>
      </c>
      <c r="P120" t="str">
        <f>_xlfn.XLOOKUP(fSales[[#This Row],[ProductID]],dProduct[ProductID],dProduct[Product])</f>
        <v>Orange</v>
      </c>
      <c r="Q120">
        <f>_xlfn.XLOOKUP(fSales[[#This Row],[ProductID]],dProduct[ProductID],dProduct[CratePrice])-_xlfn.XLOOKUP(fSales[[#This Row],[ProductID]],dProduct[ProductID],dProduct[CrateCost])</f>
        <v>12.495000000000001</v>
      </c>
      <c r="R120">
        <f>_xlfn.XLOOKUP(fSales[[#This Row],[ProductID]],dProduct[ProductID],dProduct[CratePrice])</f>
        <v>29.75</v>
      </c>
      <c r="S120">
        <f>_xlfn.XLOOKUP(fSales[[#This Row],[ProductID]],dProduct[ProductID],dProduct[CrateCost])</f>
        <v>17.254999999999999</v>
      </c>
    </row>
    <row r="121" spans="7:31" x14ac:dyDescent="0.25">
      <c r="G121" s="2">
        <v>45372</v>
      </c>
      <c r="H121">
        <v>72</v>
      </c>
      <c r="I121" t="s">
        <v>26</v>
      </c>
      <c r="J121" t="s">
        <v>52</v>
      </c>
      <c r="K121">
        <f>_xlfn.XLOOKUP(fSales[[#This Row],[ProductID]],dProduct[ProductID],dProduct[CratePrice])*fSales[[#This Row],[Units]]</f>
        <v>2142</v>
      </c>
      <c r="L121">
        <f>fSales[[#This Row],[Total sales]]-_xlfn.XLOOKUP(fSales[[#This Row],[ProductID]],dProduct[ProductID],dProduct[CrateCost])*fSales[[#This Row],[Units]]</f>
        <v>899.6400000000001</v>
      </c>
      <c r="M121">
        <f>(_xlfn.XLOOKUP(fSales[[#This Row],[ProductID]],dProduct[ProductID],dProduct[CratePrice])-_xlfn.XLOOKUP(fSales[[#This Row],[ProductID]],dProduct[ProductID],dProduct[CrateCost]))/_xlfn.XLOOKUP(fSales[[#This Row],[ProductID]],dProduct[ProductID],dProduct[CratePrice])</f>
        <v>0.42000000000000004</v>
      </c>
      <c r="N121" t="str">
        <f>_xlfn.XLOOKUP(fSales[[#This Row],[SalesRepID]],dPSalesRep[SalesRepID],dPSalesRep[SalesRep])</f>
        <v>Smitty Rad</v>
      </c>
      <c r="O121" t="str">
        <f>_xlfn.XLOOKUP(fSales[[#This Row],[SalesRepID]],dPSalesRep[SalesRepID],dPSalesRep[Region])</f>
        <v>MidWest</v>
      </c>
      <c r="P121" t="str">
        <f>_xlfn.XLOOKUP(fSales[[#This Row],[ProductID]],dProduct[ProductID],dProduct[Product])</f>
        <v>Orange</v>
      </c>
      <c r="Q121">
        <f>_xlfn.XLOOKUP(fSales[[#This Row],[ProductID]],dProduct[ProductID],dProduct[CratePrice])-_xlfn.XLOOKUP(fSales[[#This Row],[ProductID]],dProduct[ProductID],dProduct[CrateCost])</f>
        <v>12.495000000000001</v>
      </c>
      <c r="R121">
        <f>_xlfn.XLOOKUP(fSales[[#This Row],[ProductID]],dProduct[ProductID],dProduct[CratePrice])</f>
        <v>29.75</v>
      </c>
      <c r="S121">
        <f>_xlfn.XLOOKUP(fSales[[#This Row],[ProductID]],dProduct[ProductID],dProduct[CrateCost])</f>
        <v>17.254999999999999</v>
      </c>
    </row>
    <row r="122" spans="7:31" x14ac:dyDescent="0.25">
      <c r="G122" s="2">
        <v>45373</v>
      </c>
      <c r="H122">
        <v>276</v>
      </c>
      <c r="I122" t="s">
        <v>34</v>
      </c>
      <c r="J122" t="s">
        <v>37</v>
      </c>
      <c r="K122">
        <f>_xlfn.XLOOKUP(fSales[[#This Row],[ProductID]],dProduct[ProductID],dProduct[CratePrice])*fSales[[#This Row],[Units]]</f>
        <v>4830</v>
      </c>
      <c r="L122">
        <f>fSales[[#This Row],[Total sales]]-_xlfn.XLOOKUP(fSales[[#This Row],[ProductID]],dProduct[ProductID],dProduct[CrateCost])*fSales[[#This Row],[Units]]</f>
        <v>1593.8999999999996</v>
      </c>
      <c r="M122">
        <f>(_xlfn.XLOOKUP(fSales[[#This Row],[ProductID]],dProduct[ProductID],dProduct[CratePrice])-_xlfn.XLOOKUP(fSales[[#This Row],[ProductID]],dProduct[ProductID],dProduct[CrateCost]))/_xlfn.XLOOKUP(fSales[[#This Row],[ProductID]],dProduct[ProductID],dProduct[CratePrice])</f>
        <v>0.3299999999999999</v>
      </c>
      <c r="N122" t="str">
        <f>_xlfn.XLOOKUP(fSales[[#This Row],[SalesRepID]],dPSalesRep[SalesRepID],dPSalesRep[SalesRep])</f>
        <v>Chantel Mims</v>
      </c>
      <c r="O122" t="str">
        <f>_xlfn.XLOOKUP(fSales[[#This Row],[SalesRepID]],dPSalesRep[SalesRepID],dPSalesRep[Region])</f>
        <v>NW</v>
      </c>
      <c r="P122" t="str">
        <f>_xlfn.XLOOKUP(fSales[[#This Row],[ProductID]],dProduct[ProductID],dProduct[Product])</f>
        <v>Banana</v>
      </c>
      <c r="Q122">
        <f>_xlfn.XLOOKUP(fSales[[#This Row],[ProductID]],dProduct[ProductID],dProduct[CratePrice])-_xlfn.XLOOKUP(fSales[[#This Row],[ProductID]],dProduct[ProductID],dProduct[CrateCost])</f>
        <v>5.7749999999999986</v>
      </c>
      <c r="R122">
        <f>_xlfn.XLOOKUP(fSales[[#This Row],[ProductID]],dProduct[ProductID],dProduct[CratePrice])</f>
        <v>17.5</v>
      </c>
      <c r="S122">
        <f>_xlfn.XLOOKUP(fSales[[#This Row],[ProductID]],dProduct[ProductID],dProduct[CrateCost])</f>
        <v>11.725000000000001</v>
      </c>
    </row>
    <row r="123" spans="7:31" x14ac:dyDescent="0.25">
      <c r="G123" s="2">
        <v>45373</v>
      </c>
      <c r="H123">
        <v>24</v>
      </c>
      <c r="I123" t="s">
        <v>21</v>
      </c>
      <c r="J123" t="s">
        <v>32</v>
      </c>
      <c r="K123">
        <f>_xlfn.XLOOKUP(fSales[[#This Row],[ProductID]],dProduct[ProductID],dProduct[CratePrice])*fSales[[#This Row],[Units]]</f>
        <v>540</v>
      </c>
      <c r="L123">
        <f>fSales[[#This Row],[Total sales]]-_xlfn.XLOOKUP(fSales[[#This Row],[ProductID]],dProduct[ProductID],dProduct[CrateCost])*fSales[[#This Row],[Units]]</f>
        <v>237.59999999999997</v>
      </c>
      <c r="M123">
        <f>(_xlfn.XLOOKUP(fSales[[#This Row],[ProductID]],dProduct[ProductID],dProduct[CratePrice])-_xlfn.XLOOKUP(fSales[[#This Row],[ProductID]],dProduct[ProductID],dProduct[CrateCost]))/_xlfn.XLOOKUP(fSales[[#This Row],[ProductID]],dProduct[ProductID],dProduct[CratePrice])</f>
        <v>0.43999999999999995</v>
      </c>
      <c r="N123" t="str">
        <f>_xlfn.XLOOKUP(fSales[[#This Row],[SalesRepID]],dPSalesRep[SalesRepID],dPSalesRep[SalesRep])</f>
        <v>Shihara Fazzaa</v>
      </c>
      <c r="O123" t="str">
        <f>_xlfn.XLOOKUP(fSales[[#This Row],[SalesRepID]],dPSalesRep[SalesRepID],dPSalesRep[Region])</f>
        <v>East</v>
      </c>
      <c r="P123" t="str">
        <f>_xlfn.XLOOKUP(fSales[[#This Row],[ProductID]],dProduct[ProductID],dProduct[Product])</f>
        <v>Kiwi</v>
      </c>
      <c r="Q123">
        <f>_xlfn.XLOOKUP(fSales[[#This Row],[ProductID]],dProduct[ProductID],dProduct[CratePrice])-_xlfn.XLOOKUP(fSales[[#This Row],[ProductID]],dProduct[ProductID],dProduct[CrateCost])</f>
        <v>9.8999999999999986</v>
      </c>
      <c r="R123">
        <f>_xlfn.XLOOKUP(fSales[[#This Row],[ProductID]],dProduct[ProductID],dProduct[CratePrice])</f>
        <v>22.5</v>
      </c>
      <c r="S123">
        <f>_xlfn.XLOOKUP(fSales[[#This Row],[ProductID]],dProduct[ProductID],dProduct[CrateCost])</f>
        <v>12.600000000000001</v>
      </c>
      <c r="AB123" t="s">
        <v>60</v>
      </c>
      <c r="AC123" t="s">
        <v>10</v>
      </c>
      <c r="AD123" t="s">
        <v>23</v>
      </c>
      <c r="AE123" t="s">
        <v>25</v>
      </c>
    </row>
    <row r="124" spans="7:31" x14ac:dyDescent="0.25">
      <c r="G124" s="2">
        <v>45373</v>
      </c>
      <c r="H124">
        <v>240</v>
      </c>
      <c r="I124" t="s">
        <v>19</v>
      </c>
      <c r="J124" t="s">
        <v>32</v>
      </c>
      <c r="K124">
        <f>_xlfn.XLOOKUP(fSales[[#This Row],[ProductID]],dProduct[ProductID],dProduct[CratePrice])*fSales[[#This Row],[Units]]</f>
        <v>8400</v>
      </c>
      <c r="L124">
        <f>fSales[[#This Row],[Total sales]]-_xlfn.XLOOKUP(fSales[[#This Row],[ProductID]],dProduct[ProductID],dProduct[CrateCost])*fSales[[#This Row],[Units]]</f>
        <v>4704</v>
      </c>
      <c r="M124">
        <f>(_xlfn.XLOOKUP(fSales[[#This Row],[ProductID]],dProduct[ProductID],dProduct[CratePrice])-_xlfn.XLOOKUP(fSales[[#This Row],[ProductID]],dProduct[ProductID],dProduct[CrateCost]))/_xlfn.XLOOKUP(fSales[[#This Row],[ProductID]],dProduct[ProductID],dProduct[CratePrice])</f>
        <v>0.56000000000000005</v>
      </c>
      <c r="N124" t="str">
        <f>_xlfn.XLOOKUP(fSales[[#This Row],[SalesRepID]],dPSalesRep[SalesRepID],dPSalesRep[SalesRep])</f>
        <v>Shihara Fazzaa</v>
      </c>
      <c r="O124" t="str">
        <f>_xlfn.XLOOKUP(fSales[[#This Row],[SalesRepID]],dPSalesRep[SalesRepID],dPSalesRep[Region])</f>
        <v>East</v>
      </c>
      <c r="P124" t="str">
        <f>_xlfn.XLOOKUP(fSales[[#This Row],[ProductID]],dProduct[ProductID],dProduct[Product])</f>
        <v>Apple</v>
      </c>
      <c r="Q124">
        <f>_xlfn.XLOOKUP(fSales[[#This Row],[ProductID]],dProduct[ProductID],dProduct[CratePrice])-_xlfn.XLOOKUP(fSales[[#This Row],[ProductID]],dProduct[ProductID],dProduct[CrateCost])</f>
        <v>19.600000000000001</v>
      </c>
      <c r="R124">
        <f>_xlfn.XLOOKUP(fSales[[#This Row],[ProductID]],dProduct[ProductID],dProduct[CratePrice])</f>
        <v>35</v>
      </c>
      <c r="S124">
        <f>_xlfn.XLOOKUP(fSales[[#This Row],[ProductID]],dProduct[ProductID],dProduct[CrateCost])</f>
        <v>15.4</v>
      </c>
      <c r="AB124" t="str" cm="1">
        <f t="array" ref="AB124:AB128">_xlfn._xlws.SORT(_xlfn.UNIQUE(fSales[product]))</f>
        <v>Apple</v>
      </c>
      <c r="AC124">
        <f>SUMIFS(fSales[Total sales],fSales[product],AB124)</f>
        <v>1260420</v>
      </c>
    </row>
    <row r="125" spans="7:31" x14ac:dyDescent="0.25">
      <c r="G125" s="2">
        <v>45373</v>
      </c>
      <c r="H125">
        <v>228</v>
      </c>
      <c r="I125" t="s">
        <v>34</v>
      </c>
      <c r="J125" t="s">
        <v>29</v>
      </c>
      <c r="K125">
        <f>_xlfn.XLOOKUP(fSales[[#This Row],[ProductID]],dProduct[ProductID],dProduct[CratePrice])*fSales[[#This Row],[Units]]</f>
        <v>3990</v>
      </c>
      <c r="L125">
        <f>fSales[[#This Row],[Total sales]]-_xlfn.XLOOKUP(fSales[[#This Row],[ProductID]],dProduct[ProductID],dProduct[CrateCost])*fSales[[#This Row],[Units]]</f>
        <v>1316.6999999999998</v>
      </c>
      <c r="M125">
        <f>(_xlfn.XLOOKUP(fSales[[#This Row],[ProductID]],dProduct[ProductID],dProduct[CratePrice])-_xlfn.XLOOKUP(fSales[[#This Row],[ProductID]],dProduct[ProductID],dProduct[CrateCost]))/_xlfn.XLOOKUP(fSales[[#This Row],[ProductID]],dProduct[ProductID],dProduct[CratePrice])</f>
        <v>0.3299999999999999</v>
      </c>
      <c r="N125" t="str">
        <f>_xlfn.XLOOKUP(fSales[[#This Row],[SalesRepID]],dPSalesRep[SalesRepID],dPSalesRep[SalesRep])</f>
        <v>Sioux Best</v>
      </c>
      <c r="O125" t="str">
        <f>_xlfn.XLOOKUP(fSales[[#This Row],[SalesRepID]],dPSalesRep[SalesRepID],dPSalesRep[Region])</f>
        <v>West</v>
      </c>
      <c r="P125" t="str">
        <f>_xlfn.XLOOKUP(fSales[[#This Row],[ProductID]],dProduct[ProductID],dProduct[Product])</f>
        <v>Banana</v>
      </c>
      <c r="Q125">
        <f>_xlfn.XLOOKUP(fSales[[#This Row],[ProductID]],dProduct[ProductID],dProduct[CratePrice])-_xlfn.XLOOKUP(fSales[[#This Row],[ProductID]],dProduct[ProductID],dProduct[CrateCost])</f>
        <v>5.7749999999999986</v>
      </c>
      <c r="R125">
        <f>_xlfn.XLOOKUP(fSales[[#This Row],[ProductID]],dProduct[ProductID],dProduct[CratePrice])</f>
        <v>17.5</v>
      </c>
      <c r="S125">
        <f>_xlfn.XLOOKUP(fSales[[#This Row],[ProductID]],dProduct[ProductID],dProduct[CrateCost])</f>
        <v>11.725000000000001</v>
      </c>
      <c r="AB125" t="str">
        <v>Banana</v>
      </c>
      <c r="AC125">
        <f>SUMIFS(fSales[Total sales],fSales[product],AB125)</f>
        <v>548940</v>
      </c>
    </row>
    <row r="126" spans="7:31" x14ac:dyDescent="0.25">
      <c r="G126" s="2">
        <v>45374</v>
      </c>
      <c r="H126">
        <v>48</v>
      </c>
      <c r="I126" t="s">
        <v>21</v>
      </c>
      <c r="J126" t="s">
        <v>29</v>
      </c>
      <c r="K126">
        <f>_xlfn.XLOOKUP(fSales[[#This Row],[ProductID]],dProduct[ProductID],dProduct[CratePrice])*fSales[[#This Row],[Units]]</f>
        <v>1080</v>
      </c>
      <c r="L126">
        <f>fSales[[#This Row],[Total sales]]-_xlfn.XLOOKUP(fSales[[#This Row],[ProductID]],dProduct[ProductID],dProduct[CrateCost])*fSales[[#This Row],[Units]]</f>
        <v>475.19999999999993</v>
      </c>
      <c r="M126">
        <f>(_xlfn.XLOOKUP(fSales[[#This Row],[ProductID]],dProduct[ProductID],dProduct[CratePrice])-_xlfn.XLOOKUP(fSales[[#This Row],[ProductID]],dProduct[ProductID],dProduct[CrateCost]))/_xlfn.XLOOKUP(fSales[[#This Row],[ProductID]],dProduct[ProductID],dProduct[CratePrice])</f>
        <v>0.43999999999999995</v>
      </c>
      <c r="N126" t="str">
        <f>_xlfn.XLOOKUP(fSales[[#This Row],[SalesRepID]],dPSalesRep[SalesRepID],dPSalesRep[SalesRep])</f>
        <v>Sioux Best</v>
      </c>
      <c r="O126" t="str">
        <f>_xlfn.XLOOKUP(fSales[[#This Row],[SalesRepID]],dPSalesRep[SalesRepID],dPSalesRep[Region])</f>
        <v>West</v>
      </c>
      <c r="P126" t="str">
        <f>_xlfn.XLOOKUP(fSales[[#This Row],[ProductID]],dProduct[ProductID],dProduct[Product])</f>
        <v>Kiwi</v>
      </c>
      <c r="Q126">
        <f>_xlfn.XLOOKUP(fSales[[#This Row],[ProductID]],dProduct[ProductID],dProduct[CratePrice])-_xlfn.XLOOKUP(fSales[[#This Row],[ProductID]],dProduct[ProductID],dProduct[CrateCost])</f>
        <v>9.8999999999999986</v>
      </c>
      <c r="R126">
        <f>_xlfn.XLOOKUP(fSales[[#This Row],[ProductID]],dProduct[ProductID],dProduct[CratePrice])</f>
        <v>22.5</v>
      </c>
      <c r="S126">
        <f>_xlfn.XLOOKUP(fSales[[#This Row],[ProductID]],dProduct[ProductID],dProduct[CrateCost])</f>
        <v>12.600000000000001</v>
      </c>
      <c r="V126" s="18" t="s">
        <v>39</v>
      </c>
      <c r="W126" t="s">
        <v>41</v>
      </c>
      <c r="AB126" t="str">
        <v>Cherry</v>
      </c>
      <c r="AC126">
        <f>SUMIFS(fSales[Total sales],fSales[product],AB126)</f>
        <v>1635079.2000000009</v>
      </c>
    </row>
    <row r="127" spans="7:31" x14ac:dyDescent="0.25">
      <c r="G127" s="2">
        <v>45376</v>
      </c>
      <c r="H127">
        <v>156</v>
      </c>
      <c r="I127" t="s">
        <v>28</v>
      </c>
      <c r="J127" t="s">
        <v>37</v>
      </c>
      <c r="K127">
        <f>_xlfn.XLOOKUP(fSales[[#This Row],[ProductID]],dProduct[ProductID],dProduct[CratePrice])*fSales[[#This Row],[Units]]</f>
        <v>6817.2000000000007</v>
      </c>
      <c r="L127">
        <f>fSales[[#This Row],[Total sales]]-_xlfn.XLOOKUP(fSales[[#This Row],[ProductID]],dProduct[ProductID],dProduct[CrateCost])*fSales[[#This Row],[Units]]</f>
        <v>2863.2240000000006</v>
      </c>
      <c r="M127">
        <f>(_xlfn.XLOOKUP(fSales[[#This Row],[ProductID]],dProduct[ProductID],dProduct[CratePrice])-_xlfn.XLOOKUP(fSales[[#This Row],[ProductID]],dProduct[ProductID],dProduct[CrateCost]))/_xlfn.XLOOKUP(fSales[[#This Row],[ProductID]],dProduct[ProductID],dProduct[CratePrice])</f>
        <v>0.42000000000000004</v>
      </c>
      <c r="N127" t="str">
        <f>_xlfn.XLOOKUP(fSales[[#This Row],[SalesRepID]],dPSalesRep[SalesRepID],dPSalesRep[SalesRep])</f>
        <v>Chantel Mims</v>
      </c>
      <c r="O127" t="str">
        <f>_xlfn.XLOOKUP(fSales[[#This Row],[SalesRepID]],dPSalesRep[SalesRepID],dPSalesRep[Region])</f>
        <v>NW</v>
      </c>
      <c r="P127" t="str">
        <f>_xlfn.XLOOKUP(fSales[[#This Row],[ProductID]],dProduct[ProductID],dProduct[Product])</f>
        <v>Cherry</v>
      </c>
      <c r="Q127">
        <f>_xlfn.XLOOKUP(fSales[[#This Row],[ProductID]],dProduct[ProductID],dProduct[CratePrice])-_xlfn.XLOOKUP(fSales[[#This Row],[ProductID]],dProduct[ProductID],dProduct[CrateCost])</f>
        <v>18.354000000000003</v>
      </c>
      <c r="R127">
        <f>_xlfn.XLOOKUP(fSales[[#This Row],[ProductID]],dProduct[ProductID],dProduct[CratePrice])</f>
        <v>43.7</v>
      </c>
      <c r="S127">
        <f>_xlfn.XLOOKUP(fSales[[#This Row],[ProductID]],dProduct[ProductID],dProduct[CrateCost])</f>
        <v>25.346</v>
      </c>
      <c r="V127" s="5" t="s">
        <v>61</v>
      </c>
      <c r="W127" s="19">
        <v>471419.99999999994</v>
      </c>
      <c r="AB127" t="str">
        <v>Kiwi</v>
      </c>
      <c r="AC127">
        <f>SUMIFS(fSales[Total sales],fSales[product],AB127)</f>
        <v>811890</v>
      </c>
    </row>
    <row r="128" spans="7:31" x14ac:dyDescent="0.25">
      <c r="G128" s="2">
        <v>45376</v>
      </c>
      <c r="H128">
        <v>48</v>
      </c>
      <c r="I128" t="s">
        <v>19</v>
      </c>
      <c r="J128" t="s">
        <v>37</v>
      </c>
      <c r="K128">
        <f>_xlfn.XLOOKUP(fSales[[#This Row],[ProductID]],dProduct[ProductID],dProduct[CratePrice])*fSales[[#This Row],[Units]]</f>
        <v>1680</v>
      </c>
      <c r="L128">
        <f>fSales[[#This Row],[Total sales]]-_xlfn.XLOOKUP(fSales[[#This Row],[ProductID]],dProduct[ProductID],dProduct[CrateCost])*fSales[[#This Row],[Units]]</f>
        <v>940.8</v>
      </c>
      <c r="M128">
        <f>(_xlfn.XLOOKUP(fSales[[#This Row],[ProductID]],dProduct[ProductID],dProduct[CratePrice])-_xlfn.XLOOKUP(fSales[[#This Row],[ProductID]],dProduct[ProductID],dProduct[CrateCost]))/_xlfn.XLOOKUP(fSales[[#This Row],[ProductID]],dProduct[ProductID],dProduct[CratePrice])</f>
        <v>0.56000000000000005</v>
      </c>
      <c r="N128" t="str">
        <f>_xlfn.XLOOKUP(fSales[[#This Row],[SalesRepID]],dPSalesRep[SalesRepID],dPSalesRep[SalesRep])</f>
        <v>Chantel Mims</v>
      </c>
      <c r="O128" t="str">
        <f>_xlfn.XLOOKUP(fSales[[#This Row],[SalesRepID]],dPSalesRep[SalesRepID],dPSalesRep[Region])</f>
        <v>NW</v>
      </c>
      <c r="P128" t="str">
        <f>_xlfn.XLOOKUP(fSales[[#This Row],[ProductID]],dProduct[ProductID],dProduct[Product])</f>
        <v>Apple</v>
      </c>
      <c r="Q128">
        <f>_xlfn.XLOOKUP(fSales[[#This Row],[ProductID]],dProduct[ProductID],dProduct[CratePrice])-_xlfn.XLOOKUP(fSales[[#This Row],[ProductID]],dProduct[ProductID],dProduct[CrateCost])</f>
        <v>19.600000000000001</v>
      </c>
      <c r="R128">
        <f>_xlfn.XLOOKUP(fSales[[#This Row],[ProductID]],dProduct[ProductID],dProduct[CratePrice])</f>
        <v>35</v>
      </c>
      <c r="S128">
        <f>_xlfn.XLOOKUP(fSales[[#This Row],[ProductID]],dProduct[ProductID],dProduct[CrateCost])</f>
        <v>15.4</v>
      </c>
      <c r="V128" s="5" t="s">
        <v>62</v>
      </c>
      <c r="W128" s="19">
        <v>322351.80000000005</v>
      </c>
      <c r="AB128" t="str">
        <v>Orange</v>
      </c>
      <c r="AC128">
        <f>SUMIFS(fSales[Total sales],fSales[product],AB128)</f>
        <v>912849</v>
      </c>
    </row>
    <row r="129" spans="7:23" x14ac:dyDescent="0.25">
      <c r="G129" s="2">
        <v>45376</v>
      </c>
      <c r="H129">
        <v>48</v>
      </c>
      <c r="I129" t="s">
        <v>19</v>
      </c>
      <c r="J129" t="s">
        <v>22</v>
      </c>
      <c r="K129">
        <f>_xlfn.XLOOKUP(fSales[[#This Row],[ProductID]],dProduct[ProductID],dProduct[CratePrice])*fSales[[#This Row],[Units]]</f>
        <v>1680</v>
      </c>
      <c r="L129">
        <f>fSales[[#This Row],[Total sales]]-_xlfn.XLOOKUP(fSales[[#This Row],[ProductID]],dProduct[ProductID],dProduct[CrateCost])*fSales[[#This Row],[Units]]</f>
        <v>940.8</v>
      </c>
      <c r="M129">
        <f>(_xlfn.XLOOKUP(fSales[[#This Row],[ProductID]],dProduct[ProductID],dProduct[CratePrice])-_xlfn.XLOOKUP(fSales[[#This Row],[ProductID]],dProduct[ProductID],dProduct[CrateCost]))/_xlfn.XLOOKUP(fSales[[#This Row],[ProductID]],dProduct[ProductID],dProduct[CratePrice])</f>
        <v>0.56000000000000005</v>
      </c>
      <c r="N129" t="str">
        <f>_xlfn.XLOOKUP(fSales[[#This Row],[SalesRepID]],dPSalesRep[SalesRepID],dPSalesRep[SalesRep])</f>
        <v>Timmy Kips</v>
      </c>
      <c r="O129" t="str">
        <f>_xlfn.XLOOKUP(fSales[[#This Row],[SalesRepID]],dPSalesRep[SalesRepID],dPSalesRep[Region])</f>
        <v>East</v>
      </c>
      <c r="P129" t="str">
        <f>_xlfn.XLOOKUP(fSales[[#This Row],[ProductID]],dProduct[ProductID],dProduct[Product])</f>
        <v>Apple</v>
      </c>
      <c r="Q129">
        <f>_xlfn.XLOOKUP(fSales[[#This Row],[ProductID]],dProduct[ProductID],dProduct[CratePrice])-_xlfn.XLOOKUP(fSales[[#This Row],[ProductID]],dProduct[ProductID],dProduct[CrateCost])</f>
        <v>19.600000000000001</v>
      </c>
      <c r="R129">
        <f>_xlfn.XLOOKUP(fSales[[#This Row],[ProductID]],dProduct[ProductID],dProduct[CratePrice])</f>
        <v>35</v>
      </c>
      <c r="S129">
        <f>_xlfn.XLOOKUP(fSales[[#This Row],[ProductID]],dProduct[ProductID],dProduct[CrateCost])</f>
        <v>15.4</v>
      </c>
      <c r="V129" s="5" t="s">
        <v>63</v>
      </c>
      <c r="W129" s="19">
        <v>439938.00000000006</v>
      </c>
    </row>
    <row r="130" spans="7:23" x14ac:dyDescent="0.25">
      <c r="G130" s="2">
        <v>45377</v>
      </c>
      <c r="H130">
        <v>240</v>
      </c>
      <c r="I130" t="s">
        <v>19</v>
      </c>
      <c r="J130" t="s">
        <v>37</v>
      </c>
      <c r="K130">
        <f>_xlfn.XLOOKUP(fSales[[#This Row],[ProductID]],dProduct[ProductID],dProduct[CratePrice])*fSales[[#This Row],[Units]]</f>
        <v>8400</v>
      </c>
      <c r="L130">
        <f>fSales[[#This Row],[Total sales]]-_xlfn.XLOOKUP(fSales[[#This Row],[ProductID]],dProduct[ProductID],dProduct[CrateCost])*fSales[[#This Row],[Units]]</f>
        <v>4704</v>
      </c>
      <c r="M130">
        <f>(_xlfn.XLOOKUP(fSales[[#This Row],[ProductID]],dProduct[ProductID],dProduct[CratePrice])-_xlfn.XLOOKUP(fSales[[#This Row],[ProductID]],dProduct[ProductID],dProduct[CrateCost]))/_xlfn.XLOOKUP(fSales[[#This Row],[ProductID]],dProduct[ProductID],dProduct[CratePrice])</f>
        <v>0.56000000000000005</v>
      </c>
      <c r="N130" t="str">
        <f>_xlfn.XLOOKUP(fSales[[#This Row],[SalesRepID]],dPSalesRep[SalesRepID],dPSalesRep[SalesRep])</f>
        <v>Chantel Mims</v>
      </c>
      <c r="O130" t="str">
        <f>_xlfn.XLOOKUP(fSales[[#This Row],[SalesRepID]],dPSalesRep[SalesRepID],dPSalesRep[Region])</f>
        <v>NW</v>
      </c>
      <c r="P130" t="str">
        <f>_xlfn.XLOOKUP(fSales[[#This Row],[ProductID]],dProduct[ProductID],dProduct[Product])</f>
        <v>Apple</v>
      </c>
      <c r="Q130">
        <f>_xlfn.XLOOKUP(fSales[[#This Row],[ProductID]],dProduct[ProductID],dProduct[CratePrice])-_xlfn.XLOOKUP(fSales[[#This Row],[ProductID]],dProduct[ProductID],dProduct[CrateCost])</f>
        <v>19.600000000000001</v>
      </c>
      <c r="R130">
        <f>_xlfn.XLOOKUP(fSales[[#This Row],[ProductID]],dProduct[ProductID],dProduct[CratePrice])</f>
        <v>35</v>
      </c>
      <c r="S130">
        <f>_xlfn.XLOOKUP(fSales[[#This Row],[ProductID]],dProduct[ProductID],dProduct[CrateCost])</f>
        <v>15.4</v>
      </c>
      <c r="V130" s="5" t="s">
        <v>64</v>
      </c>
      <c r="W130" s="19">
        <v>376163.39999999997</v>
      </c>
    </row>
    <row r="131" spans="7:23" x14ac:dyDescent="0.25">
      <c r="G131" s="2">
        <v>45377</v>
      </c>
      <c r="H131">
        <v>192</v>
      </c>
      <c r="I131" t="s">
        <v>28</v>
      </c>
      <c r="J131" t="s">
        <v>22</v>
      </c>
      <c r="K131">
        <f>_xlfn.XLOOKUP(fSales[[#This Row],[ProductID]],dProduct[ProductID],dProduct[CratePrice])*fSales[[#This Row],[Units]]</f>
        <v>8390.4000000000015</v>
      </c>
      <c r="L131">
        <f>fSales[[#This Row],[Total sales]]-_xlfn.XLOOKUP(fSales[[#This Row],[ProductID]],dProduct[ProductID],dProduct[CrateCost])*fSales[[#This Row],[Units]]</f>
        <v>3523.9680000000017</v>
      </c>
      <c r="M131">
        <f>(_xlfn.XLOOKUP(fSales[[#This Row],[ProductID]],dProduct[ProductID],dProduct[CratePrice])-_xlfn.XLOOKUP(fSales[[#This Row],[ProductID]],dProduct[ProductID],dProduct[CrateCost]))/_xlfn.XLOOKUP(fSales[[#This Row],[ProductID]],dProduct[ProductID],dProduct[CratePrice])</f>
        <v>0.42000000000000004</v>
      </c>
      <c r="N131" t="str">
        <f>_xlfn.XLOOKUP(fSales[[#This Row],[SalesRepID]],dPSalesRep[SalesRepID],dPSalesRep[SalesRep])</f>
        <v>Timmy Kips</v>
      </c>
      <c r="O131" t="str">
        <f>_xlfn.XLOOKUP(fSales[[#This Row],[SalesRepID]],dPSalesRep[SalesRepID],dPSalesRep[Region])</f>
        <v>East</v>
      </c>
      <c r="P131" t="str">
        <f>_xlfn.XLOOKUP(fSales[[#This Row],[ProductID]],dProduct[ProductID],dProduct[Product])</f>
        <v>Cherry</v>
      </c>
      <c r="Q131">
        <f>_xlfn.XLOOKUP(fSales[[#This Row],[ProductID]],dProduct[ProductID],dProduct[CratePrice])-_xlfn.XLOOKUP(fSales[[#This Row],[ProductID]],dProduct[ProductID],dProduct[CrateCost])</f>
        <v>18.354000000000003</v>
      </c>
      <c r="R131">
        <f>_xlfn.XLOOKUP(fSales[[#This Row],[ProductID]],dProduct[ProductID],dProduct[CratePrice])</f>
        <v>43.7</v>
      </c>
      <c r="S131">
        <f>_xlfn.XLOOKUP(fSales[[#This Row],[ProductID]],dProduct[ProductID],dProduct[CrateCost])</f>
        <v>25.346</v>
      </c>
      <c r="V131" s="5" t="s">
        <v>65</v>
      </c>
      <c r="W131" s="19">
        <v>396327</v>
      </c>
    </row>
    <row r="132" spans="7:23" x14ac:dyDescent="0.25">
      <c r="G132" s="2">
        <v>45379</v>
      </c>
      <c r="H132">
        <v>300</v>
      </c>
      <c r="I132" t="s">
        <v>28</v>
      </c>
      <c r="J132" t="s">
        <v>52</v>
      </c>
      <c r="K132">
        <f>_xlfn.XLOOKUP(fSales[[#This Row],[ProductID]],dProduct[ProductID],dProduct[CratePrice])*fSales[[#This Row],[Units]]</f>
        <v>13110</v>
      </c>
      <c r="L132">
        <f>fSales[[#This Row],[Total sales]]-_xlfn.XLOOKUP(fSales[[#This Row],[ProductID]],dProduct[ProductID],dProduct[CrateCost])*fSales[[#This Row],[Units]]</f>
        <v>5506.2</v>
      </c>
      <c r="M132">
        <f>(_xlfn.XLOOKUP(fSales[[#This Row],[ProductID]],dProduct[ProductID],dProduct[CratePrice])-_xlfn.XLOOKUP(fSales[[#This Row],[ProductID]],dProduct[ProductID],dProduct[CrateCost]))/_xlfn.XLOOKUP(fSales[[#This Row],[ProductID]],dProduct[ProductID],dProduct[CratePrice])</f>
        <v>0.42000000000000004</v>
      </c>
      <c r="N132" t="str">
        <f>_xlfn.XLOOKUP(fSales[[#This Row],[SalesRepID]],dPSalesRep[SalesRepID],dPSalesRep[SalesRep])</f>
        <v>Smitty Rad</v>
      </c>
      <c r="O132" t="str">
        <f>_xlfn.XLOOKUP(fSales[[#This Row],[SalesRepID]],dPSalesRep[SalesRepID],dPSalesRep[Region])</f>
        <v>MidWest</v>
      </c>
      <c r="P132" t="str">
        <f>_xlfn.XLOOKUP(fSales[[#This Row],[ProductID]],dProduct[ProductID],dProduct[Product])</f>
        <v>Cherry</v>
      </c>
      <c r="Q132">
        <f>_xlfn.XLOOKUP(fSales[[#This Row],[ProductID]],dProduct[ProductID],dProduct[CratePrice])-_xlfn.XLOOKUP(fSales[[#This Row],[ProductID]],dProduct[ProductID],dProduct[CrateCost])</f>
        <v>18.354000000000003</v>
      </c>
      <c r="R132">
        <f>_xlfn.XLOOKUP(fSales[[#This Row],[ProductID]],dProduct[ProductID],dProduct[CratePrice])</f>
        <v>43.7</v>
      </c>
      <c r="S132">
        <f>_xlfn.XLOOKUP(fSales[[#This Row],[ProductID]],dProduct[ProductID],dProduct[CrateCost])</f>
        <v>25.346</v>
      </c>
      <c r="V132" s="5" t="s">
        <v>66</v>
      </c>
      <c r="W132" s="19">
        <v>365487</v>
      </c>
    </row>
    <row r="133" spans="7:23" x14ac:dyDescent="0.25">
      <c r="G133" s="2">
        <v>45379</v>
      </c>
      <c r="H133">
        <v>180</v>
      </c>
      <c r="I133" t="s">
        <v>21</v>
      </c>
      <c r="J133" t="s">
        <v>37</v>
      </c>
      <c r="K133">
        <f>_xlfn.XLOOKUP(fSales[[#This Row],[ProductID]],dProduct[ProductID],dProduct[CratePrice])*fSales[[#This Row],[Units]]</f>
        <v>4050</v>
      </c>
      <c r="L133">
        <f>fSales[[#This Row],[Total sales]]-_xlfn.XLOOKUP(fSales[[#This Row],[ProductID]],dProduct[ProductID],dProduct[CrateCost])*fSales[[#This Row],[Units]]</f>
        <v>1781.9999999999995</v>
      </c>
      <c r="M133">
        <f>(_xlfn.XLOOKUP(fSales[[#This Row],[ProductID]],dProduct[ProductID],dProduct[CratePrice])-_xlfn.XLOOKUP(fSales[[#This Row],[ProductID]],dProduct[ProductID],dProduct[CrateCost]))/_xlfn.XLOOKUP(fSales[[#This Row],[ProductID]],dProduct[ProductID],dProduct[CratePrice])</f>
        <v>0.43999999999999995</v>
      </c>
      <c r="N133" t="str">
        <f>_xlfn.XLOOKUP(fSales[[#This Row],[SalesRepID]],dPSalesRep[SalesRepID],dPSalesRep[SalesRep])</f>
        <v>Chantel Mims</v>
      </c>
      <c r="O133" t="str">
        <f>_xlfn.XLOOKUP(fSales[[#This Row],[SalesRepID]],dPSalesRep[SalesRepID],dPSalesRep[Region])</f>
        <v>NW</v>
      </c>
      <c r="P133" t="str">
        <f>_xlfn.XLOOKUP(fSales[[#This Row],[ProductID]],dProduct[ProductID],dProduct[Product])</f>
        <v>Kiwi</v>
      </c>
      <c r="Q133">
        <f>_xlfn.XLOOKUP(fSales[[#This Row],[ProductID]],dProduct[ProductID],dProduct[CratePrice])-_xlfn.XLOOKUP(fSales[[#This Row],[ProductID]],dProduct[ProductID],dProduct[CrateCost])</f>
        <v>9.8999999999999986</v>
      </c>
      <c r="R133">
        <f>_xlfn.XLOOKUP(fSales[[#This Row],[ProductID]],dProduct[ProductID],dProduct[CratePrice])</f>
        <v>22.5</v>
      </c>
      <c r="S133">
        <f>_xlfn.XLOOKUP(fSales[[#This Row],[ProductID]],dProduct[ProductID],dProduct[CrateCost])</f>
        <v>12.600000000000001</v>
      </c>
      <c r="V133" s="5" t="s">
        <v>67</v>
      </c>
      <c r="W133" s="19">
        <v>486724.79999999987</v>
      </c>
    </row>
    <row r="134" spans="7:23" x14ac:dyDescent="0.25">
      <c r="G134" s="2">
        <v>45380</v>
      </c>
      <c r="H134">
        <v>156</v>
      </c>
      <c r="I134" t="s">
        <v>26</v>
      </c>
      <c r="J134" t="s">
        <v>52</v>
      </c>
      <c r="K134">
        <f>_xlfn.XLOOKUP(fSales[[#This Row],[ProductID]],dProduct[ProductID],dProduct[CratePrice])*fSales[[#This Row],[Units]]</f>
        <v>4641</v>
      </c>
      <c r="L134">
        <f>fSales[[#This Row],[Total sales]]-_xlfn.XLOOKUP(fSales[[#This Row],[ProductID]],dProduct[ProductID],dProduct[CrateCost])*fSales[[#This Row],[Units]]</f>
        <v>1949.2200000000003</v>
      </c>
      <c r="M134">
        <f>(_xlfn.XLOOKUP(fSales[[#This Row],[ProductID]],dProduct[ProductID],dProduct[CratePrice])-_xlfn.XLOOKUP(fSales[[#This Row],[ProductID]],dProduct[ProductID],dProduct[CrateCost]))/_xlfn.XLOOKUP(fSales[[#This Row],[ProductID]],dProduct[ProductID],dProduct[CratePrice])</f>
        <v>0.42000000000000004</v>
      </c>
      <c r="N134" t="str">
        <f>_xlfn.XLOOKUP(fSales[[#This Row],[SalesRepID]],dPSalesRep[SalesRepID],dPSalesRep[SalesRep])</f>
        <v>Smitty Rad</v>
      </c>
      <c r="O134" t="str">
        <f>_xlfn.XLOOKUP(fSales[[#This Row],[SalesRepID]],dPSalesRep[SalesRepID],dPSalesRep[Region])</f>
        <v>MidWest</v>
      </c>
      <c r="P134" t="str">
        <f>_xlfn.XLOOKUP(fSales[[#This Row],[ProductID]],dProduct[ProductID],dProduct[Product])</f>
        <v>Orange</v>
      </c>
      <c r="Q134">
        <f>_xlfn.XLOOKUP(fSales[[#This Row],[ProductID]],dProduct[ProductID],dProduct[CratePrice])-_xlfn.XLOOKUP(fSales[[#This Row],[ProductID]],dProduct[ProductID],dProduct[CrateCost])</f>
        <v>12.495000000000001</v>
      </c>
      <c r="R134">
        <f>_xlfn.XLOOKUP(fSales[[#This Row],[ProductID]],dProduct[ProductID],dProduct[CratePrice])</f>
        <v>29.75</v>
      </c>
      <c r="S134">
        <f>_xlfn.XLOOKUP(fSales[[#This Row],[ProductID]],dProduct[ProductID],dProduct[CrateCost])</f>
        <v>17.254999999999999</v>
      </c>
      <c r="V134" s="5" t="s">
        <v>68</v>
      </c>
      <c r="W134" s="19">
        <v>438166.2</v>
      </c>
    </row>
    <row r="135" spans="7:23" x14ac:dyDescent="0.25">
      <c r="G135" s="2">
        <v>45380</v>
      </c>
      <c r="H135">
        <v>84</v>
      </c>
      <c r="I135" t="s">
        <v>28</v>
      </c>
      <c r="J135" t="s">
        <v>32</v>
      </c>
      <c r="K135">
        <f>_xlfn.XLOOKUP(fSales[[#This Row],[ProductID]],dProduct[ProductID],dProduct[CratePrice])*fSales[[#This Row],[Units]]</f>
        <v>3670.8</v>
      </c>
      <c r="L135">
        <f>fSales[[#This Row],[Total sales]]-_xlfn.XLOOKUP(fSales[[#This Row],[ProductID]],dProduct[ProductID],dProduct[CrateCost])*fSales[[#This Row],[Units]]</f>
        <v>1541.7360000000003</v>
      </c>
      <c r="M135">
        <f>(_xlfn.XLOOKUP(fSales[[#This Row],[ProductID]],dProduct[ProductID],dProduct[CratePrice])-_xlfn.XLOOKUP(fSales[[#This Row],[ProductID]],dProduct[ProductID],dProduct[CrateCost]))/_xlfn.XLOOKUP(fSales[[#This Row],[ProductID]],dProduct[ProductID],dProduct[CratePrice])</f>
        <v>0.42000000000000004</v>
      </c>
      <c r="N135" t="str">
        <f>_xlfn.XLOOKUP(fSales[[#This Row],[SalesRepID]],dPSalesRep[SalesRepID],dPSalesRep[SalesRep])</f>
        <v>Shihara Fazzaa</v>
      </c>
      <c r="O135" t="str">
        <f>_xlfn.XLOOKUP(fSales[[#This Row],[SalesRepID]],dPSalesRep[SalesRepID],dPSalesRep[Region])</f>
        <v>East</v>
      </c>
      <c r="P135" t="str">
        <f>_xlfn.XLOOKUP(fSales[[#This Row],[ProductID]],dProduct[ProductID],dProduct[Product])</f>
        <v>Cherry</v>
      </c>
      <c r="Q135">
        <f>_xlfn.XLOOKUP(fSales[[#This Row],[ProductID]],dProduct[ProductID],dProduct[CratePrice])-_xlfn.XLOOKUP(fSales[[#This Row],[ProductID]],dProduct[ProductID],dProduct[CrateCost])</f>
        <v>18.354000000000003</v>
      </c>
      <c r="R135">
        <f>_xlfn.XLOOKUP(fSales[[#This Row],[ProductID]],dProduct[ProductID],dProduct[CratePrice])</f>
        <v>43.7</v>
      </c>
      <c r="S135">
        <f>_xlfn.XLOOKUP(fSales[[#This Row],[ProductID]],dProduct[ProductID],dProduct[CrateCost])</f>
        <v>25.346</v>
      </c>
      <c r="V135" s="5" t="s">
        <v>69</v>
      </c>
      <c r="W135" s="19">
        <v>489489.00000000006</v>
      </c>
    </row>
    <row r="136" spans="7:23" x14ac:dyDescent="0.25">
      <c r="G136" s="2">
        <v>45381</v>
      </c>
      <c r="H136">
        <v>132</v>
      </c>
      <c r="I136" t="s">
        <v>21</v>
      </c>
      <c r="J136" t="s">
        <v>52</v>
      </c>
      <c r="K136">
        <f>_xlfn.XLOOKUP(fSales[[#This Row],[ProductID]],dProduct[ProductID],dProduct[CratePrice])*fSales[[#This Row],[Units]]</f>
        <v>2970</v>
      </c>
      <c r="L136">
        <f>fSales[[#This Row],[Total sales]]-_xlfn.XLOOKUP(fSales[[#This Row],[ProductID]],dProduct[ProductID],dProduct[CrateCost])*fSales[[#This Row],[Units]]</f>
        <v>1306.7999999999997</v>
      </c>
      <c r="M136">
        <f>(_xlfn.XLOOKUP(fSales[[#This Row],[ProductID]],dProduct[ProductID],dProduct[CratePrice])-_xlfn.XLOOKUP(fSales[[#This Row],[ProductID]],dProduct[ProductID],dProduct[CrateCost]))/_xlfn.XLOOKUP(fSales[[#This Row],[ProductID]],dProduct[ProductID],dProduct[CratePrice])</f>
        <v>0.43999999999999995</v>
      </c>
      <c r="N136" t="str">
        <f>_xlfn.XLOOKUP(fSales[[#This Row],[SalesRepID]],dPSalesRep[SalesRepID],dPSalesRep[SalesRep])</f>
        <v>Smitty Rad</v>
      </c>
      <c r="O136" t="str">
        <f>_xlfn.XLOOKUP(fSales[[#This Row],[SalesRepID]],dPSalesRep[SalesRepID],dPSalesRep[Region])</f>
        <v>MidWest</v>
      </c>
      <c r="P136" t="str">
        <f>_xlfn.XLOOKUP(fSales[[#This Row],[ProductID]],dProduct[ProductID],dProduct[Product])</f>
        <v>Kiwi</v>
      </c>
      <c r="Q136">
        <f>_xlfn.XLOOKUP(fSales[[#This Row],[ProductID]],dProduct[ProductID],dProduct[CratePrice])-_xlfn.XLOOKUP(fSales[[#This Row],[ProductID]],dProduct[ProductID],dProduct[CrateCost])</f>
        <v>9.8999999999999986</v>
      </c>
      <c r="R136">
        <f>_xlfn.XLOOKUP(fSales[[#This Row],[ProductID]],dProduct[ProductID],dProduct[CratePrice])</f>
        <v>22.5</v>
      </c>
      <c r="S136">
        <f>_xlfn.XLOOKUP(fSales[[#This Row],[ProductID]],dProduct[ProductID],dProduct[CrateCost])</f>
        <v>12.600000000000001</v>
      </c>
      <c r="V136" s="5" t="s">
        <v>70</v>
      </c>
      <c r="W136" s="19">
        <v>476482.2</v>
      </c>
    </row>
    <row r="137" spans="7:23" x14ac:dyDescent="0.25">
      <c r="G137" s="2">
        <v>45381</v>
      </c>
      <c r="H137">
        <v>156</v>
      </c>
      <c r="I137" t="s">
        <v>28</v>
      </c>
      <c r="J137" t="s">
        <v>29</v>
      </c>
      <c r="K137">
        <f>_xlfn.XLOOKUP(fSales[[#This Row],[ProductID]],dProduct[ProductID],dProduct[CratePrice])*fSales[[#This Row],[Units]]</f>
        <v>6817.2000000000007</v>
      </c>
      <c r="L137">
        <f>fSales[[#This Row],[Total sales]]-_xlfn.XLOOKUP(fSales[[#This Row],[ProductID]],dProduct[ProductID],dProduct[CrateCost])*fSales[[#This Row],[Units]]</f>
        <v>2863.2240000000006</v>
      </c>
      <c r="M137">
        <f>(_xlfn.XLOOKUP(fSales[[#This Row],[ProductID]],dProduct[ProductID],dProduct[CratePrice])-_xlfn.XLOOKUP(fSales[[#This Row],[ProductID]],dProduct[ProductID],dProduct[CrateCost]))/_xlfn.XLOOKUP(fSales[[#This Row],[ProductID]],dProduct[ProductID],dProduct[CratePrice])</f>
        <v>0.42000000000000004</v>
      </c>
      <c r="N137" t="str">
        <f>_xlfn.XLOOKUP(fSales[[#This Row],[SalesRepID]],dPSalesRep[SalesRepID],dPSalesRep[SalesRep])</f>
        <v>Sioux Best</v>
      </c>
      <c r="O137" t="str">
        <f>_xlfn.XLOOKUP(fSales[[#This Row],[SalesRepID]],dPSalesRep[SalesRepID],dPSalesRep[Region])</f>
        <v>West</v>
      </c>
      <c r="P137" t="str">
        <f>_xlfn.XLOOKUP(fSales[[#This Row],[ProductID]],dProduct[ProductID],dProduct[Product])</f>
        <v>Cherry</v>
      </c>
      <c r="Q137">
        <f>_xlfn.XLOOKUP(fSales[[#This Row],[ProductID]],dProduct[ProductID],dProduct[CratePrice])-_xlfn.XLOOKUP(fSales[[#This Row],[ProductID]],dProduct[ProductID],dProduct[CrateCost])</f>
        <v>18.354000000000003</v>
      </c>
      <c r="R137">
        <f>_xlfn.XLOOKUP(fSales[[#This Row],[ProductID]],dProduct[ProductID],dProduct[CratePrice])</f>
        <v>43.7</v>
      </c>
      <c r="S137">
        <f>_xlfn.XLOOKUP(fSales[[#This Row],[ProductID]],dProduct[ProductID],dProduct[CrateCost])</f>
        <v>25.346</v>
      </c>
      <c r="V137" s="5" t="s">
        <v>71</v>
      </c>
      <c r="W137" s="19">
        <v>509379.59999999992</v>
      </c>
    </row>
    <row r="138" spans="7:23" x14ac:dyDescent="0.25">
      <c r="G138" s="2">
        <v>45381</v>
      </c>
      <c r="H138">
        <v>204</v>
      </c>
      <c r="I138" t="s">
        <v>19</v>
      </c>
      <c r="J138" t="s">
        <v>52</v>
      </c>
      <c r="K138">
        <f>_xlfn.XLOOKUP(fSales[[#This Row],[ProductID]],dProduct[ProductID],dProduct[CratePrice])*fSales[[#This Row],[Units]]</f>
        <v>7140</v>
      </c>
      <c r="L138">
        <f>fSales[[#This Row],[Total sales]]-_xlfn.XLOOKUP(fSales[[#This Row],[ProductID]],dProduct[ProductID],dProduct[CrateCost])*fSales[[#This Row],[Units]]</f>
        <v>3998.4</v>
      </c>
      <c r="M138">
        <f>(_xlfn.XLOOKUP(fSales[[#This Row],[ProductID]],dProduct[ProductID],dProduct[CratePrice])-_xlfn.XLOOKUP(fSales[[#This Row],[ProductID]],dProduct[ProductID],dProduct[CrateCost]))/_xlfn.XLOOKUP(fSales[[#This Row],[ProductID]],dProduct[ProductID],dProduct[CratePrice])</f>
        <v>0.56000000000000005</v>
      </c>
      <c r="N138" t="str">
        <f>_xlfn.XLOOKUP(fSales[[#This Row],[SalesRepID]],dPSalesRep[SalesRepID],dPSalesRep[SalesRep])</f>
        <v>Smitty Rad</v>
      </c>
      <c r="O138" t="str">
        <f>_xlfn.XLOOKUP(fSales[[#This Row],[SalesRepID]],dPSalesRep[SalesRepID],dPSalesRep[Region])</f>
        <v>MidWest</v>
      </c>
      <c r="P138" t="str">
        <f>_xlfn.XLOOKUP(fSales[[#This Row],[ProductID]],dProduct[ProductID],dProduct[Product])</f>
        <v>Apple</v>
      </c>
      <c r="Q138">
        <f>_xlfn.XLOOKUP(fSales[[#This Row],[ProductID]],dProduct[ProductID],dProduct[CratePrice])-_xlfn.XLOOKUP(fSales[[#This Row],[ProductID]],dProduct[ProductID],dProduct[CrateCost])</f>
        <v>19.600000000000001</v>
      </c>
      <c r="R138">
        <f>_xlfn.XLOOKUP(fSales[[#This Row],[ProductID]],dProduct[ProductID],dProduct[CratePrice])</f>
        <v>35</v>
      </c>
      <c r="S138">
        <f>_xlfn.XLOOKUP(fSales[[#This Row],[ProductID]],dProduct[ProductID],dProduct[CrateCost])</f>
        <v>15.4</v>
      </c>
      <c r="V138" s="5" t="s">
        <v>72</v>
      </c>
      <c r="W138" s="19">
        <v>397249.19999999995</v>
      </c>
    </row>
    <row r="139" spans="7:23" x14ac:dyDescent="0.25">
      <c r="G139" s="2">
        <v>45382</v>
      </c>
      <c r="H139">
        <v>168</v>
      </c>
      <c r="I139" t="s">
        <v>21</v>
      </c>
      <c r="J139" t="s">
        <v>37</v>
      </c>
      <c r="K139">
        <f>_xlfn.XLOOKUP(fSales[[#This Row],[ProductID]],dProduct[ProductID],dProduct[CratePrice])*fSales[[#This Row],[Units]]</f>
        <v>3780</v>
      </c>
      <c r="L139">
        <f>fSales[[#This Row],[Total sales]]-_xlfn.XLOOKUP(fSales[[#This Row],[ProductID]],dProduct[ProductID],dProduct[CrateCost])*fSales[[#This Row],[Units]]</f>
        <v>1663.1999999999998</v>
      </c>
      <c r="M139">
        <f>(_xlfn.XLOOKUP(fSales[[#This Row],[ProductID]],dProduct[ProductID],dProduct[CratePrice])-_xlfn.XLOOKUP(fSales[[#This Row],[ProductID]],dProduct[ProductID],dProduct[CrateCost]))/_xlfn.XLOOKUP(fSales[[#This Row],[ProductID]],dProduct[ProductID],dProduct[CratePrice])</f>
        <v>0.43999999999999995</v>
      </c>
      <c r="N139" t="str">
        <f>_xlfn.XLOOKUP(fSales[[#This Row],[SalesRepID]],dPSalesRep[SalesRepID],dPSalesRep[SalesRep])</f>
        <v>Chantel Mims</v>
      </c>
      <c r="O139" t="str">
        <f>_xlfn.XLOOKUP(fSales[[#This Row],[SalesRepID]],dPSalesRep[SalesRepID],dPSalesRep[Region])</f>
        <v>NW</v>
      </c>
      <c r="P139" t="str">
        <f>_xlfn.XLOOKUP(fSales[[#This Row],[ProductID]],dProduct[ProductID],dProduct[Product])</f>
        <v>Kiwi</v>
      </c>
      <c r="Q139">
        <f>_xlfn.XLOOKUP(fSales[[#This Row],[ProductID]],dProduct[ProductID],dProduct[CratePrice])-_xlfn.XLOOKUP(fSales[[#This Row],[ProductID]],dProduct[ProductID],dProduct[CrateCost])</f>
        <v>9.8999999999999986</v>
      </c>
      <c r="R139">
        <f>_xlfn.XLOOKUP(fSales[[#This Row],[ProductID]],dProduct[ProductID],dProduct[CratePrice])</f>
        <v>22.5</v>
      </c>
      <c r="S139">
        <f>_xlfn.XLOOKUP(fSales[[#This Row],[ProductID]],dProduct[ProductID],dProduct[CrateCost])</f>
        <v>12.600000000000001</v>
      </c>
      <c r="V139" s="5" t="s">
        <v>55</v>
      </c>
      <c r="W139" s="19">
        <v>5169178.2</v>
      </c>
    </row>
    <row r="140" spans="7:23" x14ac:dyDescent="0.25">
      <c r="G140" s="2">
        <v>45383</v>
      </c>
      <c r="H140">
        <v>84</v>
      </c>
      <c r="I140" t="s">
        <v>34</v>
      </c>
      <c r="J140" t="s">
        <v>32</v>
      </c>
      <c r="K140">
        <f>_xlfn.XLOOKUP(fSales[[#This Row],[ProductID]],dProduct[ProductID],dProduct[CratePrice])*fSales[[#This Row],[Units]]</f>
        <v>1470</v>
      </c>
      <c r="L140">
        <f>fSales[[#This Row],[Total sales]]-_xlfn.XLOOKUP(fSales[[#This Row],[ProductID]],dProduct[ProductID],dProduct[CrateCost])*fSales[[#This Row],[Units]]</f>
        <v>485.09999999999991</v>
      </c>
      <c r="M140">
        <f>(_xlfn.XLOOKUP(fSales[[#This Row],[ProductID]],dProduct[ProductID],dProduct[CratePrice])-_xlfn.XLOOKUP(fSales[[#This Row],[ProductID]],dProduct[ProductID],dProduct[CrateCost]))/_xlfn.XLOOKUP(fSales[[#This Row],[ProductID]],dProduct[ProductID],dProduct[CratePrice])</f>
        <v>0.3299999999999999</v>
      </c>
      <c r="N140" t="str">
        <f>_xlfn.XLOOKUP(fSales[[#This Row],[SalesRepID]],dPSalesRep[SalesRepID],dPSalesRep[SalesRep])</f>
        <v>Shihara Fazzaa</v>
      </c>
      <c r="O140" t="str">
        <f>_xlfn.XLOOKUP(fSales[[#This Row],[SalesRepID]],dPSalesRep[SalesRepID],dPSalesRep[Region])</f>
        <v>East</v>
      </c>
      <c r="P140" t="str">
        <f>_xlfn.XLOOKUP(fSales[[#This Row],[ProductID]],dProduct[ProductID],dProduct[Product])</f>
        <v>Banana</v>
      </c>
      <c r="Q140">
        <f>_xlfn.XLOOKUP(fSales[[#This Row],[ProductID]],dProduct[ProductID],dProduct[CratePrice])-_xlfn.XLOOKUP(fSales[[#This Row],[ProductID]],dProduct[ProductID],dProduct[CrateCost])</f>
        <v>5.7749999999999986</v>
      </c>
      <c r="R140">
        <f>_xlfn.XLOOKUP(fSales[[#This Row],[ProductID]],dProduct[ProductID],dProduct[CratePrice])</f>
        <v>17.5</v>
      </c>
      <c r="S140">
        <f>_xlfn.XLOOKUP(fSales[[#This Row],[ProductID]],dProduct[ProductID],dProduct[CrateCost])</f>
        <v>11.725000000000001</v>
      </c>
    </row>
    <row r="141" spans="7:23" x14ac:dyDescent="0.25">
      <c r="G141" s="2">
        <v>45383</v>
      </c>
      <c r="H141">
        <v>204</v>
      </c>
      <c r="I141" t="s">
        <v>19</v>
      </c>
      <c r="J141" t="s">
        <v>52</v>
      </c>
      <c r="K141">
        <f>_xlfn.XLOOKUP(fSales[[#This Row],[ProductID]],dProduct[ProductID],dProduct[CratePrice])*fSales[[#This Row],[Units]]</f>
        <v>7140</v>
      </c>
      <c r="L141">
        <f>fSales[[#This Row],[Total sales]]-_xlfn.XLOOKUP(fSales[[#This Row],[ProductID]],dProduct[ProductID],dProduct[CrateCost])*fSales[[#This Row],[Units]]</f>
        <v>3998.4</v>
      </c>
      <c r="M141">
        <f>(_xlfn.XLOOKUP(fSales[[#This Row],[ProductID]],dProduct[ProductID],dProduct[CratePrice])-_xlfn.XLOOKUP(fSales[[#This Row],[ProductID]],dProduct[ProductID],dProduct[CrateCost]))/_xlfn.XLOOKUP(fSales[[#This Row],[ProductID]],dProduct[ProductID],dProduct[CratePrice])</f>
        <v>0.56000000000000005</v>
      </c>
      <c r="N141" t="str">
        <f>_xlfn.XLOOKUP(fSales[[#This Row],[SalesRepID]],dPSalesRep[SalesRepID],dPSalesRep[SalesRep])</f>
        <v>Smitty Rad</v>
      </c>
      <c r="O141" t="str">
        <f>_xlfn.XLOOKUP(fSales[[#This Row],[SalesRepID]],dPSalesRep[SalesRepID],dPSalesRep[Region])</f>
        <v>MidWest</v>
      </c>
      <c r="P141" t="str">
        <f>_xlfn.XLOOKUP(fSales[[#This Row],[ProductID]],dProduct[ProductID],dProduct[Product])</f>
        <v>Apple</v>
      </c>
      <c r="Q141">
        <f>_xlfn.XLOOKUP(fSales[[#This Row],[ProductID]],dProduct[ProductID],dProduct[CratePrice])-_xlfn.XLOOKUP(fSales[[#This Row],[ProductID]],dProduct[ProductID],dProduct[CrateCost])</f>
        <v>19.600000000000001</v>
      </c>
      <c r="R141">
        <f>_xlfn.XLOOKUP(fSales[[#This Row],[ProductID]],dProduct[ProductID],dProduct[CratePrice])</f>
        <v>35</v>
      </c>
      <c r="S141">
        <f>_xlfn.XLOOKUP(fSales[[#This Row],[ProductID]],dProduct[ProductID],dProduct[CrateCost])</f>
        <v>15.4</v>
      </c>
    </row>
    <row r="142" spans="7:23" x14ac:dyDescent="0.25">
      <c r="G142" s="2">
        <v>45383</v>
      </c>
      <c r="H142">
        <v>60</v>
      </c>
      <c r="I142" t="s">
        <v>28</v>
      </c>
      <c r="J142" t="s">
        <v>29</v>
      </c>
      <c r="K142">
        <f>_xlfn.XLOOKUP(fSales[[#This Row],[ProductID]],dProduct[ProductID],dProduct[CratePrice])*fSales[[#This Row],[Units]]</f>
        <v>2622</v>
      </c>
      <c r="L142">
        <f>fSales[[#This Row],[Total sales]]-_xlfn.XLOOKUP(fSales[[#This Row],[ProductID]],dProduct[ProductID],dProduct[CrateCost])*fSales[[#This Row],[Units]]</f>
        <v>1101.24</v>
      </c>
      <c r="M142">
        <f>(_xlfn.XLOOKUP(fSales[[#This Row],[ProductID]],dProduct[ProductID],dProduct[CratePrice])-_xlfn.XLOOKUP(fSales[[#This Row],[ProductID]],dProduct[ProductID],dProduct[CrateCost]))/_xlfn.XLOOKUP(fSales[[#This Row],[ProductID]],dProduct[ProductID],dProduct[CratePrice])</f>
        <v>0.42000000000000004</v>
      </c>
      <c r="N142" t="str">
        <f>_xlfn.XLOOKUP(fSales[[#This Row],[SalesRepID]],dPSalesRep[SalesRepID],dPSalesRep[SalesRep])</f>
        <v>Sioux Best</v>
      </c>
      <c r="O142" t="str">
        <f>_xlfn.XLOOKUP(fSales[[#This Row],[SalesRepID]],dPSalesRep[SalesRepID],dPSalesRep[Region])</f>
        <v>West</v>
      </c>
      <c r="P142" t="str">
        <f>_xlfn.XLOOKUP(fSales[[#This Row],[ProductID]],dProduct[ProductID],dProduct[Product])</f>
        <v>Cherry</v>
      </c>
      <c r="Q142">
        <f>_xlfn.XLOOKUP(fSales[[#This Row],[ProductID]],dProduct[ProductID],dProduct[CratePrice])-_xlfn.XLOOKUP(fSales[[#This Row],[ProductID]],dProduct[ProductID],dProduct[CrateCost])</f>
        <v>18.354000000000003</v>
      </c>
      <c r="R142">
        <f>_xlfn.XLOOKUP(fSales[[#This Row],[ProductID]],dProduct[ProductID],dProduct[CratePrice])</f>
        <v>43.7</v>
      </c>
      <c r="S142">
        <f>_xlfn.XLOOKUP(fSales[[#This Row],[ProductID]],dProduct[ProductID],dProduct[CrateCost])</f>
        <v>25.346</v>
      </c>
    </row>
    <row r="143" spans="7:23" x14ac:dyDescent="0.25">
      <c r="G143" s="2">
        <v>45384</v>
      </c>
      <c r="H143">
        <v>132</v>
      </c>
      <c r="I143" t="s">
        <v>34</v>
      </c>
      <c r="J143" t="s">
        <v>22</v>
      </c>
      <c r="K143">
        <f>_xlfn.XLOOKUP(fSales[[#This Row],[ProductID]],dProduct[ProductID],dProduct[CratePrice])*fSales[[#This Row],[Units]]</f>
        <v>2310</v>
      </c>
      <c r="L143">
        <f>fSales[[#This Row],[Total sales]]-_xlfn.XLOOKUP(fSales[[#This Row],[ProductID]],dProduct[ProductID],dProduct[CrateCost])*fSales[[#This Row],[Units]]</f>
        <v>762.29999999999973</v>
      </c>
      <c r="M143">
        <f>(_xlfn.XLOOKUP(fSales[[#This Row],[ProductID]],dProduct[ProductID],dProduct[CratePrice])-_xlfn.XLOOKUP(fSales[[#This Row],[ProductID]],dProduct[ProductID],dProduct[CrateCost]))/_xlfn.XLOOKUP(fSales[[#This Row],[ProductID]],dProduct[ProductID],dProduct[CratePrice])</f>
        <v>0.3299999999999999</v>
      </c>
      <c r="N143" t="str">
        <f>_xlfn.XLOOKUP(fSales[[#This Row],[SalesRepID]],dPSalesRep[SalesRepID],dPSalesRep[SalesRep])</f>
        <v>Timmy Kips</v>
      </c>
      <c r="O143" t="str">
        <f>_xlfn.XLOOKUP(fSales[[#This Row],[SalesRepID]],dPSalesRep[SalesRepID],dPSalesRep[Region])</f>
        <v>East</v>
      </c>
      <c r="P143" t="str">
        <f>_xlfn.XLOOKUP(fSales[[#This Row],[ProductID]],dProduct[ProductID],dProduct[Product])</f>
        <v>Banana</v>
      </c>
      <c r="Q143">
        <f>_xlfn.XLOOKUP(fSales[[#This Row],[ProductID]],dProduct[ProductID],dProduct[CratePrice])-_xlfn.XLOOKUP(fSales[[#This Row],[ProductID]],dProduct[ProductID],dProduct[CrateCost])</f>
        <v>5.7749999999999986</v>
      </c>
      <c r="R143">
        <f>_xlfn.XLOOKUP(fSales[[#This Row],[ProductID]],dProduct[ProductID],dProduct[CratePrice])</f>
        <v>17.5</v>
      </c>
      <c r="S143">
        <f>_xlfn.XLOOKUP(fSales[[#This Row],[ProductID]],dProduct[ProductID],dProduct[CrateCost])</f>
        <v>11.725000000000001</v>
      </c>
    </row>
    <row r="144" spans="7:23" x14ac:dyDescent="0.25">
      <c r="G144" s="2">
        <v>45386</v>
      </c>
      <c r="H144">
        <v>132</v>
      </c>
      <c r="I144" t="s">
        <v>21</v>
      </c>
      <c r="J144" t="s">
        <v>29</v>
      </c>
      <c r="K144">
        <f>_xlfn.XLOOKUP(fSales[[#This Row],[ProductID]],dProduct[ProductID],dProduct[CratePrice])*fSales[[#This Row],[Units]]</f>
        <v>2970</v>
      </c>
      <c r="L144">
        <f>fSales[[#This Row],[Total sales]]-_xlfn.XLOOKUP(fSales[[#This Row],[ProductID]],dProduct[ProductID],dProduct[CrateCost])*fSales[[#This Row],[Units]]</f>
        <v>1306.7999999999997</v>
      </c>
      <c r="M144">
        <f>(_xlfn.XLOOKUP(fSales[[#This Row],[ProductID]],dProduct[ProductID],dProduct[CratePrice])-_xlfn.XLOOKUP(fSales[[#This Row],[ProductID]],dProduct[ProductID],dProduct[CrateCost]))/_xlfn.XLOOKUP(fSales[[#This Row],[ProductID]],dProduct[ProductID],dProduct[CratePrice])</f>
        <v>0.43999999999999995</v>
      </c>
      <c r="N144" t="str">
        <f>_xlfn.XLOOKUP(fSales[[#This Row],[SalesRepID]],dPSalesRep[SalesRepID],dPSalesRep[SalesRep])</f>
        <v>Sioux Best</v>
      </c>
      <c r="O144" t="str">
        <f>_xlfn.XLOOKUP(fSales[[#This Row],[SalesRepID]],dPSalesRep[SalesRepID],dPSalesRep[Region])</f>
        <v>West</v>
      </c>
      <c r="P144" t="str">
        <f>_xlfn.XLOOKUP(fSales[[#This Row],[ProductID]],dProduct[ProductID],dProduct[Product])</f>
        <v>Kiwi</v>
      </c>
      <c r="Q144">
        <f>_xlfn.XLOOKUP(fSales[[#This Row],[ProductID]],dProduct[ProductID],dProduct[CratePrice])-_xlfn.XLOOKUP(fSales[[#This Row],[ProductID]],dProduct[ProductID],dProduct[CrateCost])</f>
        <v>9.8999999999999986</v>
      </c>
      <c r="R144">
        <f>_xlfn.XLOOKUP(fSales[[#This Row],[ProductID]],dProduct[ProductID],dProduct[CratePrice])</f>
        <v>22.5</v>
      </c>
      <c r="S144">
        <f>_xlfn.XLOOKUP(fSales[[#This Row],[ProductID]],dProduct[ProductID],dProduct[CrateCost])</f>
        <v>12.600000000000001</v>
      </c>
    </row>
    <row r="145" spans="7:19" x14ac:dyDescent="0.25">
      <c r="G145" s="2">
        <v>45386</v>
      </c>
      <c r="H145">
        <v>252</v>
      </c>
      <c r="I145" t="s">
        <v>26</v>
      </c>
      <c r="J145" t="s">
        <v>29</v>
      </c>
      <c r="K145">
        <f>_xlfn.XLOOKUP(fSales[[#This Row],[ProductID]],dProduct[ProductID],dProduct[CratePrice])*fSales[[#This Row],[Units]]</f>
        <v>7497</v>
      </c>
      <c r="L145">
        <f>fSales[[#This Row],[Total sales]]-_xlfn.XLOOKUP(fSales[[#This Row],[ProductID]],dProduct[ProductID],dProduct[CrateCost])*fSales[[#This Row],[Units]]</f>
        <v>3148.7400000000007</v>
      </c>
      <c r="M145">
        <f>(_xlfn.XLOOKUP(fSales[[#This Row],[ProductID]],dProduct[ProductID],dProduct[CratePrice])-_xlfn.XLOOKUP(fSales[[#This Row],[ProductID]],dProduct[ProductID],dProduct[CrateCost]))/_xlfn.XLOOKUP(fSales[[#This Row],[ProductID]],dProduct[ProductID],dProduct[CratePrice])</f>
        <v>0.42000000000000004</v>
      </c>
      <c r="N145" t="str">
        <f>_xlfn.XLOOKUP(fSales[[#This Row],[SalesRepID]],dPSalesRep[SalesRepID],dPSalesRep[SalesRep])</f>
        <v>Sioux Best</v>
      </c>
      <c r="O145" t="str">
        <f>_xlfn.XLOOKUP(fSales[[#This Row],[SalesRepID]],dPSalesRep[SalesRepID],dPSalesRep[Region])</f>
        <v>West</v>
      </c>
      <c r="P145" t="str">
        <f>_xlfn.XLOOKUP(fSales[[#This Row],[ProductID]],dProduct[ProductID],dProduct[Product])</f>
        <v>Orange</v>
      </c>
      <c r="Q145">
        <f>_xlfn.XLOOKUP(fSales[[#This Row],[ProductID]],dProduct[ProductID],dProduct[CratePrice])-_xlfn.XLOOKUP(fSales[[#This Row],[ProductID]],dProduct[ProductID],dProduct[CrateCost])</f>
        <v>12.495000000000001</v>
      </c>
      <c r="R145">
        <f>_xlfn.XLOOKUP(fSales[[#This Row],[ProductID]],dProduct[ProductID],dProduct[CratePrice])</f>
        <v>29.75</v>
      </c>
      <c r="S145">
        <f>_xlfn.XLOOKUP(fSales[[#This Row],[ProductID]],dProduct[ProductID],dProduct[CrateCost])</f>
        <v>17.254999999999999</v>
      </c>
    </row>
    <row r="146" spans="7:19" x14ac:dyDescent="0.25">
      <c r="G146" s="2">
        <v>45387</v>
      </c>
      <c r="H146">
        <v>60</v>
      </c>
      <c r="I146" t="s">
        <v>34</v>
      </c>
      <c r="J146" t="s">
        <v>52</v>
      </c>
      <c r="K146">
        <f>_xlfn.XLOOKUP(fSales[[#This Row],[ProductID]],dProduct[ProductID],dProduct[CratePrice])*fSales[[#This Row],[Units]]</f>
        <v>1050</v>
      </c>
      <c r="L146">
        <f>fSales[[#This Row],[Total sales]]-_xlfn.XLOOKUP(fSales[[#This Row],[ProductID]],dProduct[ProductID],dProduct[CrateCost])*fSales[[#This Row],[Units]]</f>
        <v>346.49999999999989</v>
      </c>
      <c r="M146">
        <f>(_xlfn.XLOOKUP(fSales[[#This Row],[ProductID]],dProduct[ProductID],dProduct[CratePrice])-_xlfn.XLOOKUP(fSales[[#This Row],[ProductID]],dProduct[ProductID],dProduct[CrateCost]))/_xlfn.XLOOKUP(fSales[[#This Row],[ProductID]],dProduct[ProductID],dProduct[CratePrice])</f>
        <v>0.3299999999999999</v>
      </c>
      <c r="N146" t="str">
        <f>_xlfn.XLOOKUP(fSales[[#This Row],[SalesRepID]],dPSalesRep[SalesRepID],dPSalesRep[SalesRep])</f>
        <v>Smitty Rad</v>
      </c>
      <c r="O146" t="str">
        <f>_xlfn.XLOOKUP(fSales[[#This Row],[SalesRepID]],dPSalesRep[SalesRepID],dPSalesRep[Region])</f>
        <v>MidWest</v>
      </c>
      <c r="P146" t="str">
        <f>_xlfn.XLOOKUP(fSales[[#This Row],[ProductID]],dProduct[ProductID],dProduct[Product])</f>
        <v>Banana</v>
      </c>
      <c r="Q146">
        <f>_xlfn.XLOOKUP(fSales[[#This Row],[ProductID]],dProduct[ProductID],dProduct[CratePrice])-_xlfn.XLOOKUP(fSales[[#This Row],[ProductID]],dProduct[ProductID],dProduct[CrateCost])</f>
        <v>5.7749999999999986</v>
      </c>
      <c r="R146">
        <f>_xlfn.XLOOKUP(fSales[[#This Row],[ProductID]],dProduct[ProductID],dProduct[CratePrice])</f>
        <v>17.5</v>
      </c>
      <c r="S146">
        <f>_xlfn.XLOOKUP(fSales[[#This Row],[ProductID]],dProduct[ProductID],dProduct[CrateCost])</f>
        <v>11.725000000000001</v>
      </c>
    </row>
    <row r="147" spans="7:19" x14ac:dyDescent="0.25">
      <c r="G147" s="2">
        <v>45387</v>
      </c>
      <c r="H147">
        <v>144</v>
      </c>
      <c r="I147" t="s">
        <v>34</v>
      </c>
      <c r="J147" t="s">
        <v>37</v>
      </c>
      <c r="K147">
        <f>_xlfn.XLOOKUP(fSales[[#This Row],[ProductID]],dProduct[ProductID],dProduct[CratePrice])*fSales[[#This Row],[Units]]</f>
        <v>2520</v>
      </c>
      <c r="L147">
        <f>fSales[[#This Row],[Total sales]]-_xlfn.XLOOKUP(fSales[[#This Row],[ProductID]],dProduct[ProductID],dProduct[CrateCost])*fSales[[#This Row],[Units]]</f>
        <v>831.59999999999991</v>
      </c>
      <c r="M147">
        <f>(_xlfn.XLOOKUP(fSales[[#This Row],[ProductID]],dProduct[ProductID],dProduct[CratePrice])-_xlfn.XLOOKUP(fSales[[#This Row],[ProductID]],dProduct[ProductID],dProduct[CrateCost]))/_xlfn.XLOOKUP(fSales[[#This Row],[ProductID]],dProduct[ProductID],dProduct[CratePrice])</f>
        <v>0.3299999999999999</v>
      </c>
      <c r="N147" t="str">
        <f>_xlfn.XLOOKUP(fSales[[#This Row],[SalesRepID]],dPSalesRep[SalesRepID],dPSalesRep[SalesRep])</f>
        <v>Chantel Mims</v>
      </c>
      <c r="O147" t="str">
        <f>_xlfn.XLOOKUP(fSales[[#This Row],[SalesRepID]],dPSalesRep[SalesRepID],dPSalesRep[Region])</f>
        <v>NW</v>
      </c>
      <c r="P147" t="str">
        <f>_xlfn.XLOOKUP(fSales[[#This Row],[ProductID]],dProduct[ProductID],dProduct[Product])</f>
        <v>Banana</v>
      </c>
      <c r="Q147">
        <f>_xlfn.XLOOKUP(fSales[[#This Row],[ProductID]],dProduct[ProductID],dProduct[CratePrice])-_xlfn.XLOOKUP(fSales[[#This Row],[ProductID]],dProduct[ProductID],dProduct[CrateCost])</f>
        <v>5.7749999999999986</v>
      </c>
      <c r="R147">
        <f>_xlfn.XLOOKUP(fSales[[#This Row],[ProductID]],dProduct[ProductID],dProduct[CratePrice])</f>
        <v>17.5</v>
      </c>
      <c r="S147">
        <f>_xlfn.XLOOKUP(fSales[[#This Row],[ProductID]],dProduct[ProductID],dProduct[CrateCost])</f>
        <v>11.725000000000001</v>
      </c>
    </row>
    <row r="148" spans="7:19" x14ac:dyDescent="0.25">
      <c r="G148" s="2">
        <v>45388</v>
      </c>
      <c r="H148">
        <v>228</v>
      </c>
      <c r="I148" t="s">
        <v>19</v>
      </c>
      <c r="J148" t="s">
        <v>22</v>
      </c>
      <c r="K148">
        <f>_xlfn.XLOOKUP(fSales[[#This Row],[ProductID]],dProduct[ProductID],dProduct[CratePrice])*fSales[[#This Row],[Units]]</f>
        <v>7980</v>
      </c>
      <c r="L148">
        <f>fSales[[#This Row],[Total sales]]-_xlfn.XLOOKUP(fSales[[#This Row],[ProductID]],dProduct[ProductID],dProduct[CrateCost])*fSales[[#This Row],[Units]]</f>
        <v>4468.7999999999993</v>
      </c>
      <c r="M148">
        <f>(_xlfn.XLOOKUP(fSales[[#This Row],[ProductID]],dProduct[ProductID],dProduct[CratePrice])-_xlfn.XLOOKUP(fSales[[#This Row],[ProductID]],dProduct[ProductID],dProduct[CrateCost]))/_xlfn.XLOOKUP(fSales[[#This Row],[ProductID]],dProduct[ProductID],dProduct[CratePrice])</f>
        <v>0.56000000000000005</v>
      </c>
      <c r="N148" t="str">
        <f>_xlfn.XLOOKUP(fSales[[#This Row],[SalesRepID]],dPSalesRep[SalesRepID],dPSalesRep[SalesRep])</f>
        <v>Timmy Kips</v>
      </c>
      <c r="O148" t="str">
        <f>_xlfn.XLOOKUP(fSales[[#This Row],[SalesRepID]],dPSalesRep[SalesRepID],dPSalesRep[Region])</f>
        <v>East</v>
      </c>
      <c r="P148" t="str">
        <f>_xlfn.XLOOKUP(fSales[[#This Row],[ProductID]],dProduct[ProductID],dProduct[Product])</f>
        <v>Apple</v>
      </c>
      <c r="Q148">
        <f>_xlfn.XLOOKUP(fSales[[#This Row],[ProductID]],dProduct[ProductID],dProduct[CratePrice])-_xlfn.XLOOKUP(fSales[[#This Row],[ProductID]],dProduct[ProductID],dProduct[CrateCost])</f>
        <v>19.600000000000001</v>
      </c>
      <c r="R148">
        <f>_xlfn.XLOOKUP(fSales[[#This Row],[ProductID]],dProduct[ProductID],dProduct[CratePrice])</f>
        <v>35</v>
      </c>
      <c r="S148">
        <f>_xlfn.XLOOKUP(fSales[[#This Row],[ProductID]],dProduct[ProductID],dProduct[CrateCost])</f>
        <v>15.4</v>
      </c>
    </row>
    <row r="149" spans="7:19" x14ac:dyDescent="0.25">
      <c r="G149" s="2">
        <v>45388</v>
      </c>
      <c r="H149">
        <v>240</v>
      </c>
      <c r="I149" t="s">
        <v>26</v>
      </c>
      <c r="J149" t="s">
        <v>37</v>
      </c>
      <c r="K149">
        <f>_xlfn.XLOOKUP(fSales[[#This Row],[ProductID]],dProduct[ProductID],dProduct[CratePrice])*fSales[[#This Row],[Units]]</f>
        <v>7140</v>
      </c>
      <c r="L149">
        <f>fSales[[#This Row],[Total sales]]-_xlfn.XLOOKUP(fSales[[#This Row],[ProductID]],dProduct[ProductID],dProduct[CrateCost])*fSales[[#This Row],[Units]]</f>
        <v>2998.8</v>
      </c>
      <c r="M149">
        <f>(_xlfn.XLOOKUP(fSales[[#This Row],[ProductID]],dProduct[ProductID],dProduct[CratePrice])-_xlfn.XLOOKUP(fSales[[#This Row],[ProductID]],dProduct[ProductID],dProduct[CrateCost]))/_xlfn.XLOOKUP(fSales[[#This Row],[ProductID]],dProduct[ProductID],dProduct[CratePrice])</f>
        <v>0.42000000000000004</v>
      </c>
      <c r="N149" t="str">
        <f>_xlfn.XLOOKUP(fSales[[#This Row],[SalesRepID]],dPSalesRep[SalesRepID],dPSalesRep[SalesRep])</f>
        <v>Chantel Mims</v>
      </c>
      <c r="O149" t="str">
        <f>_xlfn.XLOOKUP(fSales[[#This Row],[SalesRepID]],dPSalesRep[SalesRepID],dPSalesRep[Region])</f>
        <v>NW</v>
      </c>
      <c r="P149" t="str">
        <f>_xlfn.XLOOKUP(fSales[[#This Row],[ProductID]],dProduct[ProductID],dProduct[Product])</f>
        <v>Orange</v>
      </c>
      <c r="Q149">
        <f>_xlfn.XLOOKUP(fSales[[#This Row],[ProductID]],dProduct[ProductID],dProduct[CratePrice])-_xlfn.XLOOKUP(fSales[[#This Row],[ProductID]],dProduct[ProductID],dProduct[CrateCost])</f>
        <v>12.495000000000001</v>
      </c>
      <c r="R149">
        <f>_xlfn.XLOOKUP(fSales[[#This Row],[ProductID]],dProduct[ProductID],dProduct[CratePrice])</f>
        <v>29.75</v>
      </c>
      <c r="S149">
        <f>_xlfn.XLOOKUP(fSales[[#This Row],[ProductID]],dProduct[ProductID],dProduct[CrateCost])</f>
        <v>17.254999999999999</v>
      </c>
    </row>
    <row r="150" spans="7:19" x14ac:dyDescent="0.25">
      <c r="G150" s="2">
        <v>45389</v>
      </c>
      <c r="H150">
        <v>204</v>
      </c>
      <c r="I150" t="s">
        <v>34</v>
      </c>
      <c r="J150" t="s">
        <v>22</v>
      </c>
      <c r="K150">
        <f>_xlfn.XLOOKUP(fSales[[#This Row],[ProductID]],dProduct[ProductID],dProduct[CratePrice])*fSales[[#This Row],[Units]]</f>
        <v>3570</v>
      </c>
      <c r="L150">
        <f>fSales[[#This Row],[Total sales]]-_xlfn.XLOOKUP(fSales[[#This Row],[ProductID]],dProduct[ProductID],dProduct[CrateCost])*fSales[[#This Row],[Units]]</f>
        <v>1178.0999999999999</v>
      </c>
      <c r="M150">
        <f>(_xlfn.XLOOKUP(fSales[[#This Row],[ProductID]],dProduct[ProductID],dProduct[CratePrice])-_xlfn.XLOOKUP(fSales[[#This Row],[ProductID]],dProduct[ProductID],dProduct[CrateCost]))/_xlfn.XLOOKUP(fSales[[#This Row],[ProductID]],dProduct[ProductID],dProduct[CratePrice])</f>
        <v>0.3299999999999999</v>
      </c>
      <c r="N150" t="str">
        <f>_xlfn.XLOOKUP(fSales[[#This Row],[SalesRepID]],dPSalesRep[SalesRepID],dPSalesRep[SalesRep])</f>
        <v>Timmy Kips</v>
      </c>
      <c r="O150" t="str">
        <f>_xlfn.XLOOKUP(fSales[[#This Row],[SalesRepID]],dPSalesRep[SalesRepID],dPSalesRep[Region])</f>
        <v>East</v>
      </c>
      <c r="P150" t="str">
        <f>_xlfn.XLOOKUP(fSales[[#This Row],[ProductID]],dProduct[ProductID],dProduct[Product])</f>
        <v>Banana</v>
      </c>
      <c r="Q150">
        <f>_xlfn.XLOOKUP(fSales[[#This Row],[ProductID]],dProduct[ProductID],dProduct[CratePrice])-_xlfn.XLOOKUP(fSales[[#This Row],[ProductID]],dProduct[ProductID],dProduct[CrateCost])</f>
        <v>5.7749999999999986</v>
      </c>
      <c r="R150">
        <f>_xlfn.XLOOKUP(fSales[[#This Row],[ProductID]],dProduct[ProductID],dProduct[CratePrice])</f>
        <v>17.5</v>
      </c>
      <c r="S150">
        <f>_xlfn.XLOOKUP(fSales[[#This Row],[ProductID]],dProduct[ProductID],dProduct[CrateCost])</f>
        <v>11.725000000000001</v>
      </c>
    </row>
    <row r="151" spans="7:19" x14ac:dyDescent="0.25">
      <c r="G151" s="2">
        <v>45390</v>
      </c>
      <c r="H151">
        <v>300</v>
      </c>
      <c r="I151" t="s">
        <v>34</v>
      </c>
      <c r="J151" t="s">
        <v>37</v>
      </c>
      <c r="K151">
        <f>_xlfn.XLOOKUP(fSales[[#This Row],[ProductID]],dProduct[ProductID],dProduct[CratePrice])*fSales[[#This Row],[Units]]</f>
        <v>5250</v>
      </c>
      <c r="L151">
        <f>fSales[[#This Row],[Total sales]]-_xlfn.XLOOKUP(fSales[[#This Row],[ProductID]],dProduct[ProductID],dProduct[CrateCost])*fSales[[#This Row],[Units]]</f>
        <v>1732.4999999999995</v>
      </c>
      <c r="M151">
        <f>(_xlfn.XLOOKUP(fSales[[#This Row],[ProductID]],dProduct[ProductID],dProduct[CratePrice])-_xlfn.XLOOKUP(fSales[[#This Row],[ProductID]],dProduct[ProductID],dProduct[CrateCost]))/_xlfn.XLOOKUP(fSales[[#This Row],[ProductID]],dProduct[ProductID],dProduct[CratePrice])</f>
        <v>0.3299999999999999</v>
      </c>
      <c r="N151" t="str">
        <f>_xlfn.XLOOKUP(fSales[[#This Row],[SalesRepID]],dPSalesRep[SalesRepID],dPSalesRep[SalesRep])</f>
        <v>Chantel Mims</v>
      </c>
      <c r="O151" t="str">
        <f>_xlfn.XLOOKUP(fSales[[#This Row],[SalesRepID]],dPSalesRep[SalesRepID],dPSalesRep[Region])</f>
        <v>NW</v>
      </c>
      <c r="P151" t="str">
        <f>_xlfn.XLOOKUP(fSales[[#This Row],[ProductID]],dProduct[ProductID],dProduct[Product])</f>
        <v>Banana</v>
      </c>
      <c r="Q151">
        <f>_xlfn.XLOOKUP(fSales[[#This Row],[ProductID]],dProduct[ProductID],dProduct[CratePrice])-_xlfn.XLOOKUP(fSales[[#This Row],[ProductID]],dProduct[ProductID],dProduct[CrateCost])</f>
        <v>5.7749999999999986</v>
      </c>
      <c r="R151">
        <f>_xlfn.XLOOKUP(fSales[[#This Row],[ProductID]],dProduct[ProductID],dProduct[CratePrice])</f>
        <v>17.5</v>
      </c>
      <c r="S151">
        <f>_xlfn.XLOOKUP(fSales[[#This Row],[ProductID]],dProduct[ProductID],dProduct[CrateCost])</f>
        <v>11.725000000000001</v>
      </c>
    </row>
    <row r="152" spans="7:19" x14ac:dyDescent="0.25">
      <c r="G152" s="2">
        <v>45390</v>
      </c>
      <c r="H152">
        <v>252</v>
      </c>
      <c r="I152" t="s">
        <v>28</v>
      </c>
      <c r="J152" t="s">
        <v>22</v>
      </c>
      <c r="K152">
        <f>_xlfn.XLOOKUP(fSales[[#This Row],[ProductID]],dProduct[ProductID],dProduct[CratePrice])*fSales[[#This Row],[Units]]</f>
        <v>11012.400000000001</v>
      </c>
      <c r="L152">
        <f>fSales[[#This Row],[Total sales]]-_xlfn.XLOOKUP(fSales[[#This Row],[ProductID]],dProduct[ProductID],dProduct[CrateCost])*fSales[[#This Row],[Units]]</f>
        <v>4625.2080000000014</v>
      </c>
      <c r="M152">
        <f>(_xlfn.XLOOKUP(fSales[[#This Row],[ProductID]],dProduct[ProductID],dProduct[CratePrice])-_xlfn.XLOOKUP(fSales[[#This Row],[ProductID]],dProduct[ProductID],dProduct[CrateCost]))/_xlfn.XLOOKUP(fSales[[#This Row],[ProductID]],dProduct[ProductID],dProduct[CratePrice])</f>
        <v>0.42000000000000004</v>
      </c>
      <c r="N152" t="str">
        <f>_xlfn.XLOOKUP(fSales[[#This Row],[SalesRepID]],dPSalesRep[SalesRepID],dPSalesRep[SalesRep])</f>
        <v>Timmy Kips</v>
      </c>
      <c r="O152" t="str">
        <f>_xlfn.XLOOKUP(fSales[[#This Row],[SalesRepID]],dPSalesRep[SalesRepID],dPSalesRep[Region])</f>
        <v>East</v>
      </c>
      <c r="P152" t="str">
        <f>_xlfn.XLOOKUP(fSales[[#This Row],[ProductID]],dProduct[ProductID],dProduct[Product])</f>
        <v>Cherry</v>
      </c>
      <c r="Q152">
        <f>_xlfn.XLOOKUP(fSales[[#This Row],[ProductID]],dProduct[ProductID],dProduct[CratePrice])-_xlfn.XLOOKUP(fSales[[#This Row],[ProductID]],dProduct[ProductID],dProduct[CrateCost])</f>
        <v>18.354000000000003</v>
      </c>
      <c r="R152">
        <f>_xlfn.XLOOKUP(fSales[[#This Row],[ProductID]],dProduct[ProductID],dProduct[CratePrice])</f>
        <v>43.7</v>
      </c>
      <c r="S152">
        <f>_xlfn.XLOOKUP(fSales[[#This Row],[ProductID]],dProduct[ProductID],dProduct[CrateCost])</f>
        <v>25.346</v>
      </c>
    </row>
    <row r="153" spans="7:19" x14ac:dyDescent="0.25">
      <c r="G153" s="2">
        <v>45392</v>
      </c>
      <c r="H153">
        <v>84</v>
      </c>
      <c r="I153" t="s">
        <v>19</v>
      </c>
      <c r="J153" t="s">
        <v>32</v>
      </c>
      <c r="K153">
        <f>_xlfn.XLOOKUP(fSales[[#This Row],[ProductID]],dProduct[ProductID],dProduct[CratePrice])*fSales[[#This Row],[Units]]</f>
        <v>2940</v>
      </c>
      <c r="L153">
        <f>fSales[[#This Row],[Total sales]]-_xlfn.XLOOKUP(fSales[[#This Row],[ProductID]],dProduct[ProductID],dProduct[CrateCost])*fSales[[#This Row],[Units]]</f>
        <v>1646.3999999999999</v>
      </c>
      <c r="M153">
        <f>(_xlfn.XLOOKUP(fSales[[#This Row],[ProductID]],dProduct[ProductID],dProduct[CratePrice])-_xlfn.XLOOKUP(fSales[[#This Row],[ProductID]],dProduct[ProductID],dProduct[CrateCost]))/_xlfn.XLOOKUP(fSales[[#This Row],[ProductID]],dProduct[ProductID],dProduct[CratePrice])</f>
        <v>0.56000000000000005</v>
      </c>
      <c r="N153" t="str">
        <f>_xlfn.XLOOKUP(fSales[[#This Row],[SalesRepID]],dPSalesRep[SalesRepID],dPSalesRep[SalesRep])</f>
        <v>Shihara Fazzaa</v>
      </c>
      <c r="O153" t="str">
        <f>_xlfn.XLOOKUP(fSales[[#This Row],[SalesRepID]],dPSalesRep[SalesRepID],dPSalesRep[Region])</f>
        <v>East</v>
      </c>
      <c r="P153" t="str">
        <f>_xlfn.XLOOKUP(fSales[[#This Row],[ProductID]],dProduct[ProductID],dProduct[Product])</f>
        <v>Apple</v>
      </c>
      <c r="Q153">
        <f>_xlfn.XLOOKUP(fSales[[#This Row],[ProductID]],dProduct[ProductID],dProduct[CratePrice])-_xlfn.XLOOKUP(fSales[[#This Row],[ProductID]],dProduct[ProductID],dProduct[CrateCost])</f>
        <v>19.600000000000001</v>
      </c>
      <c r="R153">
        <f>_xlfn.XLOOKUP(fSales[[#This Row],[ProductID]],dProduct[ProductID],dProduct[CratePrice])</f>
        <v>35</v>
      </c>
      <c r="S153">
        <f>_xlfn.XLOOKUP(fSales[[#This Row],[ProductID]],dProduct[ProductID],dProduct[CrateCost])</f>
        <v>15.4</v>
      </c>
    </row>
    <row r="154" spans="7:19" x14ac:dyDescent="0.25">
      <c r="G154" s="2">
        <v>45392</v>
      </c>
      <c r="H154">
        <v>24</v>
      </c>
      <c r="I154" t="s">
        <v>19</v>
      </c>
      <c r="J154" t="s">
        <v>22</v>
      </c>
      <c r="K154">
        <f>_xlfn.XLOOKUP(fSales[[#This Row],[ProductID]],dProduct[ProductID],dProduct[CratePrice])*fSales[[#This Row],[Units]]</f>
        <v>840</v>
      </c>
      <c r="L154">
        <f>fSales[[#This Row],[Total sales]]-_xlfn.XLOOKUP(fSales[[#This Row],[ProductID]],dProduct[ProductID],dProduct[CrateCost])*fSales[[#This Row],[Units]]</f>
        <v>470.4</v>
      </c>
      <c r="M154">
        <f>(_xlfn.XLOOKUP(fSales[[#This Row],[ProductID]],dProduct[ProductID],dProduct[CratePrice])-_xlfn.XLOOKUP(fSales[[#This Row],[ProductID]],dProduct[ProductID],dProduct[CrateCost]))/_xlfn.XLOOKUP(fSales[[#This Row],[ProductID]],dProduct[ProductID],dProduct[CratePrice])</f>
        <v>0.56000000000000005</v>
      </c>
      <c r="N154" t="str">
        <f>_xlfn.XLOOKUP(fSales[[#This Row],[SalesRepID]],dPSalesRep[SalesRepID],dPSalesRep[SalesRep])</f>
        <v>Timmy Kips</v>
      </c>
      <c r="O154" t="str">
        <f>_xlfn.XLOOKUP(fSales[[#This Row],[SalesRepID]],dPSalesRep[SalesRepID],dPSalesRep[Region])</f>
        <v>East</v>
      </c>
      <c r="P154" t="str">
        <f>_xlfn.XLOOKUP(fSales[[#This Row],[ProductID]],dProduct[ProductID],dProduct[Product])</f>
        <v>Apple</v>
      </c>
      <c r="Q154">
        <f>_xlfn.XLOOKUP(fSales[[#This Row],[ProductID]],dProduct[ProductID],dProduct[CratePrice])-_xlfn.XLOOKUP(fSales[[#This Row],[ProductID]],dProduct[ProductID],dProduct[CrateCost])</f>
        <v>19.600000000000001</v>
      </c>
      <c r="R154">
        <f>_xlfn.XLOOKUP(fSales[[#This Row],[ProductID]],dProduct[ProductID],dProduct[CratePrice])</f>
        <v>35</v>
      </c>
      <c r="S154">
        <f>_xlfn.XLOOKUP(fSales[[#This Row],[ProductID]],dProduct[ProductID],dProduct[CrateCost])</f>
        <v>15.4</v>
      </c>
    </row>
    <row r="155" spans="7:19" x14ac:dyDescent="0.25">
      <c r="G155" s="2">
        <v>45394</v>
      </c>
      <c r="H155">
        <v>264</v>
      </c>
      <c r="I155" t="s">
        <v>21</v>
      </c>
      <c r="J155" t="s">
        <v>52</v>
      </c>
      <c r="K155">
        <f>_xlfn.XLOOKUP(fSales[[#This Row],[ProductID]],dProduct[ProductID],dProduct[CratePrice])*fSales[[#This Row],[Units]]</f>
        <v>5940</v>
      </c>
      <c r="L155">
        <f>fSales[[#This Row],[Total sales]]-_xlfn.XLOOKUP(fSales[[#This Row],[ProductID]],dProduct[ProductID],dProduct[CrateCost])*fSales[[#This Row],[Units]]</f>
        <v>2613.5999999999995</v>
      </c>
      <c r="M155">
        <f>(_xlfn.XLOOKUP(fSales[[#This Row],[ProductID]],dProduct[ProductID],dProduct[CratePrice])-_xlfn.XLOOKUP(fSales[[#This Row],[ProductID]],dProduct[ProductID],dProduct[CrateCost]))/_xlfn.XLOOKUP(fSales[[#This Row],[ProductID]],dProduct[ProductID],dProduct[CratePrice])</f>
        <v>0.43999999999999995</v>
      </c>
      <c r="N155" t="str">
        <f>_xlfn.XLOOKUP(fSales[[#This Row],[SalesRepID]],dPSalesRep[SalesRepID],dPSalesRep[SalesRep])</f>
        <v>Smitty Rad</v>
      </c>
      <c r="O155" t="str">
        <f>_xlfn.XLOOKUP(fSales[[#This Row],[SalesRepID]],dPSalesRep[SalesRepID],dPSalesRep[Region])</f>
        <v>MidWest</v>
      </c>
      <c r="P155" t="str">
        <f>_xlfn.XLOOKUP(fSales[[#This Row],[ProductID]],dProduct[ProductID],dProduct[Product])</f>
        <v>Kiwi</v>
      </c>
      <c r="Q155">
        <f>_xlfn.XLOOKUP(fSales[[#This Row],[ProductID]],dProduct[ProductID],dProduct[CratePrice])-_xlfn.XLOOKUP(fSales[[#This Row],[ProductID]],dProduct[ProductID],dProduct[CrateCost])</f>
        <v>9.8999999999999986</v>
      </c>
      <c r="R155">
        <f>_xlfn.XLOOKUP(fSales[[#This Row],[ProductID]],dProduct[ProductID],dProduct[CratePrice])</f>
        <v>22.5</v>
      </c>
      <c r="S155">
        <f>_xlfn.XLOOKUP(fSales[[#This Row],[ProductID]],dProduct[ProductID],dProduct[CrateCost])</f>
        <v>12.600000000000001</v>
      </c>
    </row>
    <row r="156" spans="7:19" x14ac:dyDescent="0.25">
      <c r="G156" s="2">
        <v>45394</v>
      </c>
      <c r="H156">
        <v>192</v>
      </c>
      <c r="I156" t="s">
        <v>26</v>
      </c>
      <c r="J156" t="s">
        <v>37</v>
      </c>
      <c r="K156">
        <f>_xlfn.XLOOKUP(fSales[[#This Row],[ProductID]],dProduct[ProductID],dProduct[CratePrice])*fSales[[#This Row],[Units]]</f>
        <v>5712</v>
      </c>
      <c r="L156">
        <f>fSales[[#This Row],[Total sales]]-_xlfn.XLOOKUP(fSales[[#This Row],[ProductID]],dProduct[ProductID],dProduct[CrateCost])*fSales[[#This Row],[Units]]</f>
        <v>2399.04</v>
      </c>
      <c r="M156">
        <f>(_xlfn.XLOOKUP(fSales[[#This Row],[ProductID]],dProduct[ProductID],dProduct[CratePrice])-_xlfn.XLOOKUP(fSales[[#This Row],[ProductID]],dProduct[ProductID],dProduct[CrateCost]))/_xlfn.XLOOKUP(fSales[[#This Row],[ProductID]],dProduct[ProductID],dProduct[CratePrice])</f>
        <v>0.42000000000000004</v>
      </c>
      <c r="N156" t="str">
        <f>_xlfn.XLOOKUP(fSales[[#This Row],[SalesRepID]],dPSalesRep[SalesRepID],dPSalesRep[SalesRep])</f>
        <v>Chantel Mims</v>
      </c>
      <c r="O156" t="str">
        <f>_xlfn.XLOOKUP(fSales[[#This Row],[SalesRepID]],dPSalesRep[SalesRepID],dPSalesRep[Region])</f>
        <v>NW</v>
      </c>
      <c r="P156" t="str">
        <f>_xlfn.XLOOKUP(fSales[[#This Row],[ProductID]],dProduct[ProductID],dProduct[Product])</f>
        <v>Orange</v>
      </c>
      <c r="Q156">
        <f>_xlfn.XLOOKUP(fSales[[#This Row],[ProductID]],dProduct[ProductID],dProduct[CratePrice])-_xlfn.XLOOKUP(fSales[[#This Row],[ProductID]],dProduct[ProductID],dProduct[CrateCost])</f>
        <v>12.495000000000001</v>
      </c>
      <c r="R156">
        <f>_xlfn.XLOOKUP(fSales[[#This Row],[ProductID]],dProduct[ProductID],dProduct[CratePrice])</f>
        <v>29.75</v>
      </c>
      <c r="S156">
        <f>_xlfn.XLOOKUP(fSales[[#This Row],[ProductID]],dProduct[ProductID],dProduct[CrateCost])</f>
        <v>17.254999999999999</v>
      </c>
    </row>
    <row r="157" spans="7:19" x14ac:dyDescent="0.25">
      <c r="G157" s="2">
        <v>45394</v>
      </c>
      <c r="H157">
        <v>48</v>
      </c>
      <c r="I157" t="s">
        <v>19</v>
      </c>
      <c r="J157" t="s">
        <v>52</v>
      </c>
      <c r="K157">
        <f>_xlfn.XLOOKUP(fSales[[#This Row],[ProductID]],dProduct[ProductID],dProduct[CratePrice])*fSales[[#This Row],[Units]]</f>
        <v>1680</v>
      </c>
      <c r="L157">
        <f>fSales[[#This Row],[Total sales]]-_xlfn.XLOOKUP(fSales[[#This Row],[ProductID]],dProduct[ProductID],dProduct[CrateCost])*fSales[[#This Row],[Units]]</f>
        <v>940.8</v>
      </c>
      <c r="M157">
        <f>(_xlfn.XLOOKUP(fSales[[#This Row],[ProductID]],dProduct[ProductID],dProduct[CratePrice])-_xlfn.XLOOKUP(fSales[[#This Row],[ProductID]],dProduct[ProductID],dProduct[CrateCost]))/_xlfn.XLOOKUP(fSales[[#This Row],[ProductID]],dProduct[ProductID],dProduct[CratePrice])</f>
        <v>0.56000000000000005</v>
      </c>
      <c r="N157" t="str">
        <f>_xlfn.XLOOKUP(fSales[[#This Row],[SalesRepID]],dPSalesRep[SalesRepID],dPSalesRep[SalesRep])</f>
        <v>Smitty Rad</v>
      </c>
      <c r="O157" t="str">
        <f>_xlfn.XLOOKUP(fSales[[#This Row],[SalesRepID]],dPSalesRep[SalesRepID],dPSalesRep[Region])</f>
        <v>MidWest</v>
      </c>
      <c r="P157" t="str">
        <f>_xlfn.XLOOKUP(fSales[[#This Row],[ProductID]],dProduct[ProductID],dProduct[Product])</f>
        <v>Apple</v>
      </c>
      <c r="Q157">
        <f>_xlfn.XLOOKUP(fSales[[#This Row],[ProductID]],dProduct[ProductID],dProduct[CratePrice])-_xlfn.XLOOKUP(fSales[[#This Row],[ProductID]],dProduct[ProductID],dProduct[CrateCost])</f>
        <v>19.600000000000001</v>
      </c>
      <c r="R157">
        <f>_xlfn.XLOOKUP(fSales[[#This Row],[ProductID]],dProduct[ProductID],dProduct[CratePrice])</f>
        <v>35</v>
      </c>
      <c r="S157">
        <f>_xlfn.XLOOKUP(fSales[[#This Row],[ProductID]],dProduct[ProductID],dProduct[CrateCost])</f>
        <v>15.4</v>
      </c>
    </row>
    <row r="158" spans="7:19" x14ac:dyDescent="0.25">
      <c r="G158" s="2">
        <v>45395</v>
      </c>
      <c r="H158">
        <v>144</v>
      </c>
      <c r="I158" t="s">
        <v>21</v>
      </c>
      <c r="J158" t="s">
        <v>32</v>
      </c>
      <c r="K158">
        <f>_xlfn.XLOOKUP(fSales[[#This Row],[ProductID]],dProduct[ProductID],dProduct[CratePrice])*fSales[[#This Row],[Units]]</f>
        <v>3240</v>
      </c>
      <c r="L158">
        <f>fSales[[#This Row],[Total sales]]-_xlfn.XLOOKUP(fSales[[#This Row],[ProductID]],dProduct[ProductID],dProduct[CrateCost])*fSales[[#This Row],[Units]]</f>
        <v>1425.6</v>
      </c>
      <c r="M158">
        <f>(_xlfn.XLOOKUP(fSales[[#This Row],[ProductID]],dProduct[ProductID],dProduct[CratePrice])-_xlfn.XLOOKUP(fSales[[#This Row],[ProductID]],dProduct[ProductID],dProduct[CrateCost]))/_xlfn.XLOOKUP(fSales[[#This Row],[ProductID]],dProduct[ProductID],dProduct[CratePrice])</f>
        <v>0.43999999999999995</v>
      </c>
      <c r="N158" t="str">
        <f>_xlfn.XLOOKUP(fSales[[#This Row],[SalesRepID]],dPSalesRep[SalesRepID],dPSalesRep[SalesRep])</f>
        <v>Shihara Fazzaa</v>
      </c>
      <c r="O158" t="str">
        <f>_xlfn.XLOOKUP(fSales[[#This Row],[SalesRepID]],dPSalesRep[SalesRepID],dPSalesRep[Region])</f>
        <v>East</v>
      </c>
      <c r="P158" t="str">
        <f>_xlfn.XLOOKUP(fSales[[#This Row],[ProductID]],dProduct[ProductID],dProduct[Product])</f>
        <v>Kiwi</v>
      </c>
      <c r="Q158">
        <f>_xlfn.XLOOKUP(fSales[[#This Row],[ProductID]],dProduct[ProductID],dProduct[CratePrice])-_xlfn.XLOOKUP(fSales[[#This Row],[ProductID]],dProduct[ProductID],dProduct[CrateCost])</f>
        <v>9.8999999999999986</v>
      </c>
      <c r="R158">
        <f>_xlfn.XLOOKUP(fSales[[#This Row],[ProductID]],dProduct[ProductID],dProduct[CratePrice])</f>
        <v>22.5</v>
      </c>
      <c r="S158">
        <f>_xlfn.XLOOKUP(fSales[[#This Row],[ProductID]],dProduct[ProductID],dProduct[CrateCost])</f>
        <v>12.600000000000001</v>
      </c>
    </row>
    <row r="159" spans="7:19" x14ac:dyDescent="0.25">
      <c r="G159" s="2">
        <v>45396</v>
      </c>
      <c r="H159">
        <v>252</v>
      </c>
      <c r="I159" t="s">
        <v>19</v>
      </c>
      <c r="J159" t="s">
        <v>22</v>
      </c>
      <c r="K159">
        <f>_xlfn.XLOOKUP(fSales[[#This Row],[ProductID]],dProduct[ProductID],dProduct[CratePrice])*fSales[[#This Row],[Units]]</f>
        <v>8820</v>
      </c>
      <c r="L159">
        <f>fSales[[#This Row],[Total sales]]-_xlfn.XLOOKUP(fSales[[#This Row],[ProductID]],dProduct[ProductID],dProduct[CrateCost])*fSales[[#This Row],[Units]]</f>
        <v>4939.2</v>
      </c>
      <c r="M159">
        <f>(_xlfn.XLOOKUP(fSales[[#This Row],[ProductID]],dProduct[ProductID],dProduct[CratePrice])-_xlfn.XLOOKUP(fSales[[#This Row],[ProductID]],dProduct[ProductID],dProduct[CrateCost]))/_xlfn.XLOOKUP(fSales[[#This Row],[ProductID]],dProduct[ProductID],dProduct[CratePrice])</f>
        <v>0.56000000000000005</v>
      </c>
      <c r="N159" t="str">
        <f>_xlfn.XLOOKUP(fSales[[#This Row],[SalesRepID]],dPSalesRep[SalesRepID],dPSalesRep[SalesRep])</f>
        <v>Timmy Kips</v>
      </c>
      <c r="O159" t="str">
        <f>_xlfn.XLOOKUP(fSales[[#This Row],[SalesRepID]],dPSalesRep[SalesRepID],dPSalesRep[Region])</f>
        <v>East</v>
      </c>
      <c r="P159" t="str">
        <f>_xlfn.XLOOKUP(fSales[[#This Row],[ProductID]],dProduct[ProductID],dProduct[Product])</f>
        <v>Apple</v>
      </c>
      <c r="Q159">
        <f>_xlfn.XLOOKUP(fSales[[#This Row],[ProductID]],dProduct[ProductID],dProduct[CratePrice])-_xlfn.XLOOKUP(fSales[[#This Row],[ProductID]],dProduct[ProductID],dProduct[CrateCost])</f>
        <v>19.600000000000001</v>
      </c>
      <c r="R159">
        <f>_xlfn.XLOOKUP(fSales[[#This Row],[ProductID]],dProduct[ProductID],dProduct[CratePrice])</f>
        <v>35</v>
      </c>
      <c r="S159">
        <f>_xlfn.XLOOKUP(fSales[[#This Row],[ProductID]],dProduct[ProductID],dProduct[CrateCost])</f>
        <v>15.4</v>
      </c>
    </row>
    <row r="160" spans="7:19" x14ac:dyDescent="0.25">
      <c r="G160" s="2">
        <v>45396</v>
      </c>
      <c r="H160">
        <v>36</v>
      </c>
      <c r="I160" t="s">
        <v>21</v>
      </c>
      <c r="J160" t="s">
        <v>32</v>
      </c>
      <c r="K160">
        <f>_xlfn.XLOOKUP(fSales[[#This Row],[ProductID]],dProduct[ProductID],dProduct[CratePrice])*fSales[[#This Row],[Units]]</f>
        <v>810</v>
      </c>
      <c r="L160">
        <f>fSales[[#This Row],[Total sales]]-_xlfn.XLOOKUP(fSales[[#This Row],[ProductID]],dProduct[ProductID],dProduct[CrateCost])*fSales[[#This Row],[Units]]</f>
        <v>356.4</v>
      </c>
      <c r="M160">
        <f>(_xlfn.XLOOKUP(fSales[[#This Row],[ProductID]],dProduct[ProductID],dProduct[CratePrice])-_xlfn.XLOOKUP(fSales[[#This Row],[ProductID]],dProduct[ProductID],dProduct[CrateCost]))/_xlfn.XLOOKUP(fSales[[#This Row],[ProductID]],dProduct[ProductID],dProduct[CratePrice])</f>
        <v>0.43999999999999995</v>
      </c>
      <c r="N160" t="str">
        <f>_xlfn.XLOOKUP(fSales[[#This Row],[SalesRepID]],dPSalesRep[SalesRepID],dPSalesRep[SalesRep])</f>
        <v>Shihara Fazzaa</v>
      </c>
      <c r="O160" t="str">
        <f>_xlfn.XLOOKUP(fSales[[#This Row],[SalesRepID]],dPSalesRep[SalesRepID],dPSalesRep[Region])</f>
        <v>East</v>
      </c>
      <c r="P160" t="str">
        <f>_xlfn.XLOOKUP(fSales[[#This Row],[ProductID]],dProduct[ProductID],dProduct[Product])</f>
        <v>Kiwi</v>
      </c>
      <c r="Q160">
        <f>_xlfn.XLOOKUP(fSales[[#This Row],[ProductID]],dProduct[ProductID],dProduct[CratePrice])-_xlfn.XLOOKUP(fSales[[#This Row],[ProductID]],dProduct[ProductID],dProduct[CrateCost])</f>
        <v>9.8999999999999986</v>
      </c>
      <c r="R160">
        <f>_xlfn.XLOOKUP(fSales[[#This Row],[ProductID]],dProduct[ProductID],dProduct[CratePrice])</f>
        <v>22.5</v>
      </c>
      <c r="S160">
        <f>_xlfn.XLOOKUP(fSales[[#This Row],[ProductID]],dProduct[ProductID],dProduct[CrateCost])</f>
        <v>12.600000000000001</v>
      </c>
    </row>
    <row r="161" spans="7:24" x14ac:dyDescent="0.25">
      <c r="G161" s="2">
        <v>45398</v>
      </c>
      <c r="H161">
        <v>240</v>
      </c>
      <c r="I161" t="s">
        <v>34</v>
      </c>
      <c r="J161" t="s">
        <v>37</v>
      </c>
      <c r="K161">
        <f>_xlfn.XLOOKUP(fSales[[#This Row],[ProductID]],dProduct[ProductID],dProduct[CratePrice])*fSales[[#This Row],[Units]]</f>
        <v>4200</v>
      </c>
      <c r="L161">
        <f>fSales[[#This Row],[Total sales]]-_xlfn.XLOOKUP(fSales[[#This Row],[ProductID]],dProduct[ProductID],dProduct[CrateCost])*fSales[[#This Row],[Units]]</f>
        <v>1385.9999999999995</v>
      </c>
      <c r="M161">
        <f>(_xlfn.XLOOKUP(fSales[[#This Row],[ProductID]],dProduct[ProductID],dProduct[CratePrice])-_xlfn.XLOOKUP(fSales[[#This Row],[ProductID]],dProduct[ProductID],dProduct[CrateCost]))/_xlfn.XLOOKUP(fSales[[#This Row],[ProductID]],dProduct[ProductID],dProduct[CratePrice])</f>
        <v>0.3299999999999999</v>
      </c>
      <c r="N161" t="str">
        <f>_xlfn.XLOOKUP(fSales[[#This Row],[SalesRepID]],dPSalesRep[SalesRepID],dPSalesRep[SalesRep])</f>
        <v>Chantel Mims</v>
      </c>
      <c r="O161" t="str">
        <f>_xlfn.XLOOKUP(fSales[[#This Row],[SalesRepID]],dPSalesRep[SalesRepID],dPSalesRep[Region])</f>
        <v>NW</v>
      </c>
      <c r="P161" t="str">
        <f>_xlfn.XLOOKUP(fSales[[#This Row],[ProductID]],dProduct[ProductID],dProduct[Product])</f>
        <v>Banana</v>
      </c>
      <c r="Q161">
        <f>_xlfn.XLOOKUP(fSales[[#This Row],[ProductID]],dProduct[ProductID],dProduct[CratePrice])-_xlfn.XLOOKUP(fSales[[#This Row],[ProductID]],dProduct[ProductID],dProduct[CrateCost])</f>
        <v>5.7749999999999986</v>
      </c>
      <c r="R161">
        <f>_xlfn.XLOOKUP(fSales[[#This Row],[ProductID]],dProduct[ProductID],dProduct[CratePrice])</f>
        <v>17.5</v>
      </c>
      <c r="S161">
        <f>_xlfn.XLOOKUP(fSales[[#This Row],[ProductID]],dProduct[ProductID],dProduct[CrateCost])</f>
        <v>11.725000000000001</v>
      </c>
    </row>
    <row r="162" spans="7:24" x14ac:dyDescent="0.25">
      <c r="G162" s="2">
        <v>45402</v>
      </c>
      <c r="H162">
        <v>228</v>
      </c>
      <c r="I162" t="s">
        <v>34</v>
      </c>
      <c r="J162" t="s">
        <v>52</v>
      </c>
      <c r="K162">
        <f>_xlfn.XLOOKUP(fSales[[#This Row],[ProductID]],dProduct[ProductID],dProduct[CratePrice])*fSales[[#This Row],[Units]]</f>
        <v>3990</v>
      </c>
      <c r="L162">
        <f>fSales[[#This Row],[Total sales]]-_xlfn.XLOOKUP(fSales[[#This Row],[ProductID]],dProduct[ProductID],dProduct[CrateCost])*fSales[[#This Row],[Units]]</f>
        <v>1316.6999999999998</v>
      </c>
      <c r="M162">
        <f>(_xlfn.XLOOKUP(fSales[[#This Row],[ProductID]],dProduct[ProductID],dProduct[CratePrice])-_xlfn.XLOOKUP(fSales[[#This Row],[ProductID]],dProduct[ProductID],dProduct[CrateCost]))/_xlfn.XLOOKUP(fSales[[#This Row],[ProductID]],dProduct[ProductID],dProduct[CratePrice])</f>
        <v>0.3299999999999999</v>
      </c>
      <c r="N162" t="str">
        <f>_xlfn.XLOOKUP(fSales[[#This Row],[SalesRepID]],dPSalesRep[SalesRepID],dPSalesRep[SalesRep])</f>
        <v>Smitty Rad</v>
      </c>
      <c r="O162" t="str">
        <f>_xlfn.XLOOKUP(fSales[[#This Row],[SalesRepID]],dPSalesRep[SalesRepID],dPSalesRep[Region])</f>
        <v>MidWest</v>
      </c>
      <c r="P162" t="str">
        <f>_xlfn.XLOOKUP(fSales[[#This Row],[ProductID]],dProduct[ProductID],dProduct[Product])</f>
        <v>Banana</v>
      </c>
      <c r="Q162">
        <f>_xlfn.XLOOKUP(fSales[[#This Row],[ProductID]],dProduct[ProductID],dProduct[CratePrice])-_xlfn.XLOOKUP(fSales[[#This Row],[ProductID]],dProduct[ProductID],dProduct[CrateCost])</f>
        <v>5.7749999999999986</v>
      </c>
      <c r="R162">
        <f>_xlfn.XLOOKUP(fSales[[#This Row],[ProductID]],dProduct[ProductID],dProduct[CratePrice])</f>
        <v>17.5</v>
      </c>
      <c r="S162">
        <f>_xlfn.XLOOKUP(fSales[[#This Row],[ProductID]],dProduct[ProductID],dProduct[CrateCost])</f>
        <v>11.725000000000001</v>
      </c>
      <c r="V162" s="18" t="s">
        <v>39</v>
      </c>
      <c r="W162" t="s">
        <v>41</v>
      </c>
      <c r="X162" t="s">
        <v>42</v>
      </c>
    </row>
    <row r="163" spans="7:24" x14ac:dyDescent="0.25">
      <c r="G163" s="2">
        <v>45402</v>
      </c>
      <c r="H163">
        <v>36</v>
      </c>
      <c r="I163" t="s">
        <v>34</v>
      </c>
      <c r="J163" t="s">
        <v>32</v>
      </c>
      <c r="K163">
        <f>_xlfn.XLOOKUP(fSales[[#This Row],[ProductID]],dProduct[ProductID],dProduct[CratePrice])*fSales[[#This Row],[Units]]</f>
        <v>630</v>
      </c>
      <c r="L163">
        <f>fSales[[#This Row],[Total sales]]-_xlfn.XLOOKUP(fSales[[#This Row],[ProductID]],dProduct[ProductID],dProduct[CrateCost])*fSales[[#This Row],[Units]]</f>
        <v>207.89999999999998</v>
      </c>
      <c r="M163">
        <f>(_xlfn.XLOOKUP(fSales[[#This Row],[ProductID]],dProduct[ProductID],dProduct[CratePrice])-_xlfn.XLOOKUP(fSales[[#This Row],[ProductID]],dProduct[ProductID],dProduct[CrateCost]))/_xlfn.XLOOKUP(fSales[[#This Row],[ProductID]],dProduct[ProductID],dProduct[CratePrice])</f>
        <v>0.3299999999999999</v>
      </c>
      <c r="N163" t="str">
        <f>_xlfn.XLOOKUP(fSales[[#This Row],[SalesRepID]],dPSalesRep[SalesRepID],dPSalesRep[SalesRep])</f>
        <v>Shihara Fazzaa</v>
      </c>
      <c r="O163" t="str">
        <f>_xlfn.XLOOKUP(fSales[[#This Row],[SalesRepID]],dPSalesRep[SalesRepID],dPSalesRep[Region])</f>
        <v>East</v>
      </c>
      <c r="P163" t="str">
        <f>_xlfn.XLOOKUP(fSales[[#This Row],[ProductID]],dProduct[ProductID],dProduct[Product])</f>
        <v>Banana</v>
      </c>
      <c r="Q163">
        <f>_xlfn.XLOOKUP(fSales[[#This Row],[ProductID]],dProduct[ProductID],dProduct[CratePrice])-_xlfn.XLOOKUP(fSales[[#This Row],[ProductID]],dProduct[ProductID],dProduct[CrateCost])</f>
        <v>5.7749999999999986</v>
      </c>
      <c r="R163">
        <f>_xlfn.XLOOKUP(fSales[[#This Row],[ProductID]],dProduct[ProductID],dProduct[CratePrice])</f>
        <v>17.5</v>
      </c>
      <c r="S163">
        <f>_xlfn.XLOOKUP(fSales[[#This Row],[ProductID]],dProduct[ProductID],dProduct[CrateCost])</f>
        <v>11.725000000000001</v>
      </c>
      <c r="V163" s="5" t="s">
        <v>47</v>
      </c>
      <c r="W163" s="19">
        <v>1026593.9999999999</v>
      </c>
      <c r="X163" s="19">
        <v>452549.58</v>
      </c>
    </row>
    <row r="164" spans="7:24" x14ac:dyDescent="0.25">
      <c r="G164" s="2">
        <v>45402</v>
      </c>
      <c r="H164">
        <v>12</v>
      </c>
      <c r="I164" t="s">
        <v>21</v>
      </c>
      <c r="J164" t="s">
        <v>52</v>
      </c>
      <c r="K164">
        <f>_xlfn.XLOOKUP(fSales[[#This Row],[ProductID]],dProduct[ProductID],dProduct[CratePrice])*fSales[[#This Row],[Units]]</f>
        <v>270</v>
      </c>
      <c r="L164">
        <f>fSales[[#This Row],[Total sales]]-_xlfn.XLOOKUP(fSales[[#This Row],[ProductID]],dProduct[ProductID],dProduct[CrateCost])*fSales[[#This Row],[Units]]</f>
        <v>118.79999999999998</v>
      </c>
      <c r="M164">
        <f>(_xlfn.XLOOKUP(fSales[[#This Row],[ProductID]],dProduct[ProductID],dProduct[CratePrice])-_xlfn.XLOOKUP(fSales[[#This Row],[ProductID]],dProduct[ProductID],dProduct[CrateCost]))/_xlfn.XLOOKUP(fSales[[#This Row],[ProductID]],dProduct[ProductID],dProduct[CratePrice])</f>
        <v>0.43999999999999995</v>
      </c>
      <c r="N164" t="str">
        <f>_xlfn.XLOOKUP(fSales[[#This Row],[SalesRepID]],dPSalesRep[SalesRepID],dPSalesRep[SalesRep])</f>
        <v>Smitty Rad</v>
      </c>
      <c r="O164" t="str">
        <f>_xlfn.XLOOKUP(fSales[[#This Row],[SalesRepID]],dPSalesRep[SalesRepID],dPSalesRep[Region])</f>
        <v>MidWest</v>
      </c>
      <c r="P164" t="str">
        <f>_xlfn.XLOOKUP(fSales[[#This Row],[ProductID]],dProduct[ProductID],dProduct[Product])</f>
        <v>Kiwi</v>
      </c>
      <c r="Q164">
        <f>_xlfn.XLOOKUP(fSales[[#This Row],[ProductID]],dProduct[ProductID],dProduct[CratePrice])-_xlfn.XLOOKUP(fSales[[#This Row],[ProductID]],dProduct[ProductID],dProduct[CrateCost])</f>
        <v>9.8999999999999986</v>
      </c>
      <c r="R164">
        <f>_xlfn.XLOOKUP(fSales[[#This Row],[ProductID]],dProduct[ProductID],dProduct[CratePrice])</f>
        <v>22.5</v>
      </c>
      <c r="S164">
        <f>_xlfn.XLOOKUP(fSales[[#This Row],[ProductID]],dProduct[ProductID],dProduct[CrateCost])</f>
        <v>12.600000000000001</v>
      </c>
      <c r="V164" s="16" t="s">
        <v>48</v>
      </c>
      <c r="W164" s="19">
        <v>1026593.9999999999</v>
      </c>
      <c r="X164" s="19">
        <v>452549.58</v>
      </c>
    </row>
    <row r="165" spans="7:24" x14ac:dyDescent="0.25">
      <c r="G165" s="2">
        <v>45403</v>
      </c>
      <c r="H165">
        <v>132</v>
      </c>
      <c r="I165" t="s">
        <v>19</v>
      </c>
      <c r="J165" t="s">
        <v>52</v>
      </c>
      <c r="K165">
        <f>_xlfn.XLOOKUP(fSales[[#This Row],[ProductID]],dProduct[ProductID],dProduct[CratePrice])*fSales[[#This Row],[Units]]</f>
        <v>4620</v>
      </c>
      <c r="L165">
        <f>fSales[[#This Row],[Total sales]]-_xlfn.XLOOKUP(fSales[[#This Row],[ProductID]],dProduct[ProductID],dProduct[CrateCost])*fSales[[#This Row],[Units]]</f>
        <v>2587.1999999999998</v>
      </c>
      <c r="M165">
        <f>(_xlfn.XLOOKUP(fSales[[#This Row],[ProductID]],dProduct[ProductID],dProduct[CratePrice])-_xlfn.XLOOKUP(fSales[[#This Row],[ProductID]],dProduct[ProductID],dProduct[CrateCost]))/_xlfn.XLOOKUP(fSales[[#This Row],[ProductID]],dProduct[ProductID],dProduct[CratePrice])</f>
        <v>0.56000000000000005</v>
      </c>
      <c r="N165" t="str">
        <f>_xlfn.XLOOKUP(fSales[[#This Row],[SalesRepID]],dPSalesRep[SalesRepID],dPSalesRep[SalesRep])</f>
        <v>Smitty Rad</v>
      </c>
      <c r="O165" t="str">
        <f>_xlfn.XLOOKUP(fSales[[#This Row],[SalesRepID]],dPSalesRep[SalesRepID],dPSalesRep[Region])</f>
        <v>MidWest</v>
      </c>
      <c r="P165" t="str">
        <f>_xlfn.XLOOKUP(fSales[[#This Row],[ProductID]],dProduct[ProductID],dProduct[Product])</f>
        <v>Apple</v>
      </c>
      <c r="Q165">
        <f>_xlfn.XLOOKUP(fSales[[#This Row],[ProductID]],dProduct[ProductID],dProduct[CratePrice])-_xlfn.XLOOKUP(fSales[[#This Row],[ProductID]],dProduct[ProductID],dProduct[CrateCost])</f>
        <v>19.600000000000001</v>
      </c>
      <c r="R165">
        <f>_xlfn.XLOOKUP(fSales[[#This Row],[ProductID]],dProduct[ProductID],dProduct[CratePrice])</f>
        <v>35</v>
      </c>
      <c r="S165">
        <f>_xlfn.XLOOKUP(fSales[[#This Row],[ProductID]],dProduct[ProductID],dProduct[CrateCost])</f>
        <v>15.4</v>
      </c>
      <c r="V165" s="17" t="s">
        <v>20</v>
      </c>
      <c r="W165" s="19">
        <v>227640</v>
      </c>
      <c r="X165" s="19">
        <v>127478.39999999999</v>
      </c>
    </row>
    <row r="166" spans="7:24" x14ac:dyDescent="0.25">
      <c r="G166" s="2">
        <v>45403</v>
      </c>
      <c r="H166">
        <v>192</v>
      </c>
      <c r="I166" t="s">
        <v>26</v>
      </c>
      <c r="J166" t="s">
        <v>32</v>
      </c>
      <c r="K166">
        <f>_xlfn.XLOOKUP(fSales[[#This Row],[ProductID]],dProduct[ProductID],dProduct[CratePrice])*fSales[[#This Row],[Units]]</f>
        <v>5712</v>
      </c>
      <c r="L166">
        <f>fSales[[#This Row],[Total sales]]-_xlfn.XLOOKUP(fSales[[#This Row],[ProductID]],dProduct[ProductID],dProduct[CrateCost])*fSales[[#This Row],[Units]]</f>
        <v>2399.04</v>
      </c>
      <c r="M166">
        <f>(_xlfn.XLOOKUP(fSales[[#This Row],[ProductID]],dProduct[ProductID],dProduct[CratePrice])-_xlfn.XLOOKUP(fSales[[#This Row],[ProductID]],dProduct[ProductID],dProduct[CrateCost]))/_xlfn.XLOOKUP(fSales[[#This Row],[ProductID]],dProduct[ProductID],dProduct[CratePrice])</f>
        <v>0.42000000000000004</v>
      </c>
      <c r="N166" t="str">
        <f>_xlfn.XLOOKUP(fSales[[#This Row],[SalesRepID]],dPSalesRep[SalesRepID],dPSalesRep[SalesRep])</f>
        <v>Shihara Fazzaa</v>
      </c>
      <c r="O166" t="str">
        <f>_xlfn.XLOOKUP(fSales[[#This Row],[SalesRepID]],dPSalesRep[SalesRepID],dPSalesRep[Region])</f>
        <v>East</v>
      </c>
      <c r="P166" t="str">
        <f>_xlfn.XLOOKUP(fSales[[#This Row],[ProductID]],dProduct[ProductID],dProduct[Product])</f>
        <v>Orange</v>
      </c>
      <c r="Q166">
        <f>_xlfn.XLOOKUP(fSales[[#This Row],[ProductID]],dProduct[ProductID],dProduct[CratePrice])-_xlfn.XLOOKUP(fSales[[#This Row],[ProductID]],dProduct[ProductID],dProduct[CrateCost])</f>
        <v>12.495000000000001</v>
      </c>
      <c r="R166">
        <f>_xlfn.XLOOKUP(fSales[[#This Row],[ProductID]],dProduct[ProductID],dProduct[CratePrice])</f>
        <v>29.75</v>
      </c>
      <c r="S166">
        <f>_xlfn.XLOOKUP(fSales[[#This Row],[ProductID]],dProduct[ProductID],dProduct[CrateCost])</f>
        <v>17.254999999999999</v>
      </c>
      <c r="V166" s="17" t="s">
        <v>35</v>
      </c>
      <c r="W166" s="19">
        <v>149310</v>
      </c>
      <c r="X166" s="19">
        <v>49272.299999999996</v>
      </c>
    </row>
    <row r="167" spans="7:24" x14ac:dyDescent="0.25">
      <c r="G167" s="2">
        <v>45404</v>
      </c>
      <c r="H167">
        <v>156</v>
      </c>
      <c r="I167" t="s">
        <v>21</v>
      </c>
      <c r="J167" t="s">
        <v>29</v>
      </c>
      <c r="K167">
        <f>_xlfn.XLOOKUP(fSales[[#This Row],[ProductID]],dProduct[ProductID],dProduct[CratePrice])*fSales[[#This Row],[Units]]</f>
        <v>3510</v>
      </c>
      <c r="L167">
        <f>fSales[[#This Row],[Total sales]]-_xlfn.XLOOKUP(fSales[[#This Row],[ProductID]],dProduct[ProductID],dProduct[CrateCost])*fSales[[#This Row],[Units]]</f>
        <v>1544.3999999999999</v>
      </c>
      <c r="M167">
        <f>(_xlfn.XLOOKUP(fSales[[#This Row],[ProductID]],dProduct[ProductID],dProduct[CratePrice])-_xlfn.XLOOKUP(fSales[[#This Row],[ProductID]],dProduct[ProductID],dProduct[CrateCost]))/_xlfn.XLOOKUP(fSales[[#This Row],[ProductID]],dProduct[ProductID],dProduct[CratePrice])</f>
        <v>0.43999999999999995</v>
      </c>
      <c r="N167" t="str">
        <f>_xlfn.XLOOKUP(fSales[[#This Row],[SalesRepID]],dPSalesRep[SalesRepID],dPSalesRep[SalesRep])</f>
        <v>Sioux Best</v>
      </c>
      <c r="O167" t="str">
        <f>_xlfn.XLOOKUP(fSales[[#This Row],[SalesRepID]],dPSalesRep[SalesRepID],dPSalesRep[Region])</f>
        <v>West</v>
      </c>
      <c r="P167" t="str">
        <f>_xlfn.XLOOKUP(fSales[[#This Row],[ProductID]],dProduct[ProductID],dProduct[Product])</f>
        <v>Kiwi</v>
      </c>
      <c r="Q167">
        <f>_xlfn.XLOOKUP(fSales[[#This Row],[ProductID]],dProduct[ProductID],dProduct[CratePrice])-_xlfn.XLOOKUP(fSales[[#This Row],[ProductID]],dProduct[ProductID],dProduct[CrateCost])</f>
        <v>9.8999999999999986</v>
      </c>
      <c r="R167">
        <f>_xlfn.XLOOKUP(fSales[[#This Row],[ProductID]],dProduct[ProductID],dProduct[CratePrice])</f>
        <v>22.5</v>
      </c>
      <c r="S167">
        <f>_xlfn.XLOOKUP(fSales[[#This Row],[ProductID]],dProduct[ProductID],dProduct[CrateCost])</f>
        <v>12.600000000000001</v>
      </c>
      <c r="V167" s="17" t="s">
        <v>36</v>
      </c>
      <c r="W167" s="19">
        <v>340859.99999999988</v>
      </c>
      <c r="X167" s="19">
        <v>143161.20000000007</v>
      </c>
    </row>
    <row r="168" spans="7:24" x14ac:dyDescent="0.25">
      <c r="G168" s="2">
        <v>45405</v>
      </c>
      <c r="H168">
        <v>288</v>
      </c>
      <c r="I168" t="s">
        <v>28</v>
      </c>
      <c r="J168" t="s">
        <v>37</v>
      </c>
      <c r="K168">
        <f>_xlfn.XLOOKUP(fSales[[#This Row],[ProductID]],dProduct[ProductID],dProduct[CratePrice])*fSales[[#This Row],[Units]]</f>
        <v>12585.6</v>
      </c>
      <c r="L168">
        <f>fSales[[#This Row],[Total sales]]-_xlfn.XLOOKUP(fSales[[#This Row],[ProductID]],dProduct[ProductID],dProduct[CrateCost])*fSales[[#This Row],[Units]]</f>
        <v>5285.9520000000002</v>
      </c>
      <c r="M168">
        <f>(_xlfn.XLOOKUP(fSales[[#This Row],[ProductID]],dProduct[ProductID],dProduct[CratePrice])-_xlfn.XLOOKUP(fSales[[#This Row],[ProductID]],dProduct[ProductID],dProduct[CrateCost]))/_xlfn.XLOOKUP(fSales[[#This Row],[ProductID]],dProduct[ProductID],dProduct[CratePrice])</f>
        <v>0.42000000000000004</v>
      </c>
      <c r="N168" t="str">
        <f>_xlfn.XLOOKUP(fSales[[#This Row],[SalesRepID]],dPSalesRep[SalesRepID],dPSalesRep[SalesRep])</f>
        <v>Chantel Mims</v>
      </c>
      <c r="O168" t="str">
        <f>_xlfn.XLOOKUP(fSales[[#This Row],[SalesRepID]],dPSalesRep[SalesRepID],dPSalesRep[Region])</f>
        <v>NW</v>
      </c>
      <c r="P168" t="str">
        <f>_xlfn.XLOOKUP(fSales[[#This Row],[ProductID]],dProduct[ProductID],dProduct[Product])</f>
        <v>Cherry</v>
      </c>
      <c r="Q168">
        <f>_xlfn.XLOOKUP(fSales[[#This Row],[ProductID]],dProduct[ProductID],dProduct[CratePrice])-_xlfn.XLOOKUP(fSales[[#This Row],[ProductID]],dProduct[ProductID],dProduct[CrateCost])</f>
        <v>18.354000000000003</v>
      </c>
      <c r="R168">
        <f>_xlfn.XLOOKUP(fSales[[#This Row],[ProductID]],dProduct[ProductID],dProduct[CratePrice])</f>
        <v>43.7</v>
      </c>
      <c r="S168">
        <f>_xlfn.XLOOKUP(fSales[[#This Row],[ProductID]],dProduct[ProductID],dProduct[CrateCost])</f>
        <v>25.346</v>
      </c>
      <c r="V168" s="17" t="s">
        <v>31</v>
      </c>
      <c r="W168" s="19">
        <v>147420</v>
      </c>
      <c r="X168" s="19">
        <v>64864.799999999996</v>
      </c>
    </row>
    <row r="169" spans="7:24" x14ac:dyDescent="0.25">
      <c r="G169" s="2">
        <v>45406</v>
      </c>
      <c r="H169">
        <v>288</v>
      </c>
      <c r="I169" t="s">
        <v>21</v>
      </c>
      <c r="J169" t="s">
        <v>32</v>
      </c>
      <c r="K169">
        <f>_xlfn.XLOOKUP(fSales[[#This Row],[ProductID]],dProduct[ProductID],dProduct[CratePrice])*fSales[[#This Row],[Units]]</f>
        <v>6480</v>
      </c>
      <c r="L169">
        <f>fSales[[#This Row],[Total sales]]-_xlfn.XLOOKUP(fSales[[#This Row],[ProductID]],dProduct[ProductID],dProduct[CrateCost])*fSales[[#This Row],[Units]]</f>
        <v>2851.2</v>
      </c>
      <c r="M169">
        <f>(_xlfn.XLOOKUP(fSales[[#This Row],[ProductID]],dProduct[ProductID],dProduct[CratePrice])-_xlfn.XLOOKUP(fSales[[#This Row],[ProductID]],dProduct[ProductID],dProduct[CrateCost]))/_xlfn.XLOOKUP(fSales[[#This Row],[ProductID]],dProduct[ProductID],dProduct[CratePrice])</f>
        <v>0.43999999999999995</v>
      </c>
      <c r="N169" t="str">
        <f>_xlfn.XLOOKUP(fSales[[#This Row],[SalesRepID]],dPSalesRep[SalesRepID],dPSalesRep[SalesRep])</f>
        <v>Shihara Fazzaa</v>
      </c>
      <c r="O169" t="str">
        <f>_xlfn.XLOOKUP(fSales[[#This Row],[SalesRepID]],dPSalesRep[SalesRepID],dPSalesRep[Region])</f>
        <v>East</v>
      </c>
      <c r="P169" t="str">
        <f>_xlfn.XLOOKUP(fSales[[#This Row],[ProductID]],dProduct[ProductID],dProduct[Product])</f>
        <v>Kiwi</v>
      </c>
      <c r="Q169">
        <f>_xlfn.XLOOKUP(fSales[[#This Row],[ProductID]],dProduct[ProductID],dProduct[CratePrice])-_xlfn.XLOOKUP(fSales[[#This Row],[ProductID]],dProduct[ProductID],dProduct[CrateCost])</f>
        <v>9.8999999999999986</v>
      </c>
      <c r="R169">
        <f>_xlfn.XLOOKUP(fSales[[#This Row],[ProductID]],dProduct[ProductID],dProduct[CratePrice])</f>
        <v>22.5</v>
      </c>
      <c r="S169">
        <f>_xlfn.XLOOKUP(fSales[[#This Row],[ProductID]],dProduct[ProductID],dProduct[CrateCost])</f>
        <v>12.600000000000001</v>
      </c>
      <c r="V169" s="17" t="s">
        <v>27</v>
      </c>
      <c r="W169" s="19">
        <v>161364</v>
      </c>
      <c r="X169" s="19">
        <v>67772.87999999999</v>
      </c>
    </row>
    <row r="170" spans="7:24" x14ac:dyDescent="0.25">
      <c r="G170" s="2">
        <v>45406</v>
      </c>
      <c r="H170">
        <v>204</v>
      </c>
      <c r="I170" t="s">
        <v>28</v>
      </c>
      <c r="J170" t="s">
        <v>29</v>
      </c>
      <c r="K170">
        <f>_xlfn.XLOOKUP(fSales[[#This Row],[ProductID]],dProduct[ProductID],dProduct[CratePrice])*fSales[[#This Row],[Units]]</f>
        <v>8914.8000000000011</v>
      </c>
      <c r="L170">
        <f>fSales[[#This Row],[Total sales]]-_xlfn.XLOOKUP(fSales[[#This Row],[ProductID]],dProduct[ProductID],dProduct[CrateCost])*fSales[[#This Row],[Units]]</f>
        <v>3744.2160000000013</v>
      </c>
      <c r="M170">
        <f>(_xlfn.XLOOKUP(fSales[[#This Row],[ProductID]],dProduct[ProductID],dProduct[CratePrice])-_xlfn.XLOOKUP(fSales[[#This Row],[ProductID]],dProduct[ProductID],dProduct[CrateCost]))/_xlfn.XLOOKUP(fSales[[#This Row],[ProductID]],dProduct[ProductID],dProduct[CratePrice])</f>
        <v>0.42000000000000004</v>
      </c>
      <c r="N170" t="str">
        <f>_xlfn.XLOOKUP(fSales[[#This Row],[SalesRepID]],dPSalesRep[SalesRepID],dPSalesRep[SalesRep])</f>
        <v>Sioux Best</v>
      </c>
      <c r="O170" t="str">
        <f>_xlfn.XLOOKUP(fSales[[#This Row],[SalesRepID]],dPSalesRep[SalesRepID],dPSalesRep[Region])</f>
        <v>West</v>
      </c>
      <c r="P170" t="str">
        <f>_xlfn.XLOOKUP(fSales[[#This Row],[ProductID]],dProduct[ProductID],dProduct[Product])</f>
        <v>Cherry</v>
      </c>
      <c r="Q170">
        <f>_xlfn.XLOOKUP(fSales[[#This Row],[ProductID]],dProduct[ProductID],dProduct[CratePrice])-_xlfn.XLOOKUP(fSales[[#This Row],[ProductID]],dProduct[ProductID],dProduct[CrateCost])</f>
        <v>18.354000000000003</v>
      </c>
      <c r="R170">
        <f>_xlfn.XLOOKUP(fSales[[#This Row],[ProductID]],dProduct[ProductID],dProduct[CratePrice])</f>
        <v>43.7</v>
      </c>
      <c r="S170">
        <f>_xlfn.XLOOKUP(fSales[[#This Row],[ProductID]],dProduct[ProductID],dProduct[CrateCost])</f>
        <v>25.346</v>
      </c>
      <c r="V170" s="5" t="s">
        <v>49</v>
      </c>
      <c r="W170" s="19">
        <v>1119340.2</v>
      </c>
      <c r="X170" s="19">
        <v>517332.98400000005</v>
      </c>
    </row>
    <row r="171" spans="7:24" x14ac:dyDescent="0.25">
      <c r="G171" s="2">
        <v>45408</v>
      </c>
      <c r="H171">
        <v>72</v>
      </c>
      <c r="I171" t="s">
        <v>34</v>
      </c>
      <c r="J171" t="s">
        <v>37</v>
      </c>
      <c r="K171">
        <f>_xlfn.XLOOKUP(fSales[[#This Row],[ProductID]],dProduct[ProductID],dProduct[CratePrice])*fSales[[#This Row],[Units]]</f>
        <v>1260</v>
      </c>
      <c r="L171">
        <f>fSales[[#This Row],[Total sales]]-_xlfn.XLOOKUP(fSales[[#This Row],[ProductID]],dProduct[ProductID],dProduct[CrateCost])*fSales[[#This Row],[Units]]</f>
        <v>415.79999999999995</v>
      </c>
      <c r="M171">
        <f>(_xlfn.XLOOKUP(fSales[[#This Row],[ProductID]],dProduct[ProductID],dProduct[CratePrice])-_xlfn.XLOOKUP(fSales[[#This Row],[ProductID]],dProduct[ProductID],dProduct[CrateCost]))/_xlfn.XLOOKUP(fSales[[#This Row],[ProductID]],dProduct[ProductID],dProduct[CratePrice])</f>
        <v>0.3299999999999999</v>
      </c>
      <c r="N171" t="str">
        <f>_xlfn.XLOOKUP(fSales[[#This Row],[SalesRepID]],dPSalesRep[SalesRepID],dPSalesRep[SalesRep])</f>
        <v>Chantel Mims</v>
      </c>
      <c r="O171" t="str">
        <f>_xlfn.XLOOKUP(fSales[[#This Row],[SalesRepID]],dPSalesRep[SalesRepID],dPSalesRep[Region])</f>
        <v>NW</v>
      </c>
      <c r="P171" t="str">
        <f>_xlfn.XLOOKUP(fSales[[#This Row],[ProductID]],dProduct[ProductID],dProduct[Product])</f>
        <v>Banana</v>
      </c>
      <c r="Q171">
        <f>_xlfn.XLOOKUP(fSales[[#This Row],[ProductID]],dProduct[ProductID],dProduct[CratePrice])-_xlfn.XLOOKUP(fSales[[#This Row],[ProductID]],dProduct[ProductID],dProduct[CrateCost])</f>
        <v>5.7749999999999986</v>
      </c>
      <c r="R171">
        <f>_xlfn.XLOOKUP(fSales[[#This Row],[ProductID]],dProduct[ProductID],dProduct[CratePrice])</f>
        <v>17.5</v>
      </c>
      <c r="S171">
        <f>_xlfn.XLOOKUP(fSales[[#This Row],[ProductID]],dProduct[ProductID],dProduct[CrateCost])</f>
        <v>11.725000000000001</v>
      </c>
      <c r="V171" s="16" t="s">
        <v>50</v>
      </c>
      <c r="W171" s="19">
        <v>1119340.2</v>
      </c>
      <c r="X171" s="19">
        <v>517332.98400000005</v>
      </c>
    </row>
    <row r="172" spans="7:24" x14ac:dyDescent="0.25">
      <c r="G172" s="2">
        <v>45408</v>
      </c>
      <c r="H172">
        <v>240</v>
      </c>
      <c r="I172" t="s">
        <v>26</v>
      </c>
      <c r="J172" t="s">
        <v>37</v>
      </c>
      <c r="K172">
        <f>_xlfn.XLOOKUP(fSales[[#This Row],[ProductID]],dProduct[ProductID],dProduct[CratePrice])*fSales[[#This Row],[Units]]</f>
        <v>7140</v>
      </c>
      <c r="L172">
        <f>fSales[[#This Row],[Total sales]]-_xlfn.XLOOKUP(fSales[[#This Row],[ProductID]],dProduct[ProductID],dProduct[CrateCost])*fSales[[#This Row],[Units]]</f>
        <v>2998.8</v>
      </c>
      <c r="M172">
        <f>(_xlfn.XLOOKUP(fSales[[#This Row],[ProductID]],dProduct[ProductID],dProduct[CratePrice])-_xlfn.XLOOKUP(fSales[[#This Row],[ProductID]],dProduct[ProductID],dProduct[CrateCost]))/_xlfn.XLOOKUP(fSales[[#This Row],[ProductID]],dProduct[ProductID],dProduct[CratePrice])</f>
        <v>0.42000000000000004</v>
      </c>
      <c r="N172" t="str">
        <f>_xlfn.XLOOKUP(fSales[[#This Row],[SalesRepID]],dPSalesRep[SalesRepID],dPSalesRep[SalesRep])</f>
        <v>Chantel Mims</v>
      </c>
      <c r="O172" t="str">
        <f>_xlfn.XLOOKUP(fSales[[#This Row],[SalesRepID]],dPSalesRep[SalesRepID],dPSalesRep[Region])</f>
        <v>NW</v>
      </c>
      <c r="P172" t="str">
        <f>_xlfn.XLOOKUP(fSales[[#This Row],[ProductID]],dProduct[ProductID],dProduct[Product])</f>
        <v>Orange</v>
      </c>
      <c r="Q172">
        <f>_xlfn.XLOOKUP(fSales[[#This Row],[ProductID]],dProduct[ProductID],dProduct[CratePrice])-_xlfn.XLOOKUP(fSales[[#This Row],[ProductID]],dProduct[ProductID],dProduct[CrateCost])</f>
        <v>12.495000000000001</v>
      </c>
      <c r="R172">
        <f>_xlfn.XLOOKUP(fSales[[#This Row],[ProductID]],dProduct[ProductID],dProduct[CratePrice])</f>
        <v>29.75</v>
      </c>
      <c r="S172">
        <f>_xlfn.XLOOKUP(fSales[[#This Row],[ProductID]],dProduct[ProductID],dProduct[CrateCost])</f>
        <v>17.254999999999999</v>
      </c>
      <c r="V172" s="17" t="s">
        <v>20</v>
      </c>
      <c r="W172" s="19">
        <v>358680</v>
      </c>
      <c r="X172" s="19">
        <v>200860.80000000002</v>
      </c>
    </row>
    <row r="173" spans="7:24" x14ac:dyDescent="0.25">
      <c r="G173" s="2">
        <v>45409</v>
      </c>
      <c r="H173">
        <v>168</v>
      </c>
      <c r="I173" t="s">
        <v>19</v>
      </c>
      <c r="J173" t="s">
        <v>29</v>
      </c>
      <c r="K173">
        <f>_xlfn.XLOOKUP(fSales[[#This Row],[ProductID]],dProduct[ProductID],dProduct[CratePrice])*fSales[[#This Row],[Units]]</f>
        <v>5880</v>
      </c>
      <c r="L173">
        <f>fSales[[#This Row],[Total sales]]-_xlfn.XLOOKUP(fSales[[#This Row],[ProductID]],dProduct[ProductID],dProduct[CrateCost])*fSales[[#This Row],[Units]]</f>
        <v>3292.7999999999997</v>
      </c>
      <c r="M173">
        <f>(_xlfn.XLOOKUP(fSales[[#This Row],[ProductID]],dProduct[ProductID],dProduct[CratePrice])-_xlfn.XLOOKUP(fSales[[#This Row],[ProductID]],dProduct[ProductID],dProduct[CrateCost]))/_xlfn.XLOOKUP(fSales[[#This Row],[ProductID]],dProduct[ProductID],dProduct[CratePrice])</f>
        <v>0.56000000000000005</v>
      </c>
      <c r="N173" t="str">
        <f>_xlfn.XLOOKUP(fSales[[#This Row],[SalesRepID]],dPSalesRep[SalesRepID],dPSalesRep[SalesRep])</f>
        <v>Sioux Best</v>
      </c>
      <c r="O173" t="str">
        <f>_xlfn.XLOOKUP(fSales[[#This Row],[SalesRepID]],dPSalesRep[SalesRepID],dPSalesRep[Region])</f>
        <v>West</v>
      </c>
      <c r="P173" t="str">
        <f>_xlfn.XLOOKUP(fSales[[#This Row],[ProductID]],dProduct[ProductID],dProduct[Product])</f>
        <v>Apple</v>
      </c>
      <c r="Q173">
        <f>_xlfn.XLOOKUP(fSales[[#This Row],[ProductID]],dProduct[ProductID],dProduct[CratePrice])-_xlfn.XLOOKUP(fSales[[#This Row],[ProductID]],dProduct[ProductID],dProduct[CrateCost])</f>
        <v>19.600000000000001</v>
      </c>
      <c r="R173">
        <f>_xlfn.XLOOKUP(fSales[[#This Row],[ProductID]],dProduct[ProductID],dProduct[CratePrice])</f>
        <v>35</v>
      </c>
      <c r="S173">
        <f>_xlfn.XLOOKUP(fSales[[#This Row],[ProductID]],dProduct[ProductID],dProduct[CrateCost])</f>
        <v>15.4</v>
      </c>
      <c r="V173" s="17" t="s">
        <v>35</v>
      </c>
      <c r="W173" s="19">
        <v>76230</v>
      </c>
      <c r="X173" s="19">
        <v>25155.899999999994</v>
      </c>
    </row>
    <row r="174" spans="7:24" x14ac:dyDescent="0.25">
      <c r="G174" s="2">
        <v>45409</v>
      </c>
      <c r="H174">
        <v>24</v>
      </c>
      <c r="I174" t="s">
        <v>21</v>
      </c>
      <c r="J174" t="s">
        <v>52</v>
      </c>
      <c r="K174">
        <f>_xlfn.XLOOKUP(fSales[[#This Row],[ProductID]],dProduct[ProductID],dProduct[CratePrice])*fSales[[#This Row],[Units]]</f>
        <v>540</v>
      </c>
      <c r="L174">
        <f>fSales[[#This Row],[Total sales]]-_xlfn.XLOOKUP(fSales[[#This Row],[ProductID]],dProduct[ProductID],dProduct[CrateCost])*fSales[[#This Row],[Units]]</f>
        <v>237.59999999999997</v>
      </c>
      <c r="M174">
        <f>(_xlfn.XLOOKUP(fSales[[#This Row],[ProductID]],dProduct[ProductID],dProduct[CratePrice])-_xlfn.XLOOKUP(fSales[[#This Row],[ProductID]],dProduct[ProductID],dProduct[CrateCost]))/_xlfn.XLOOKUP(fSales[[#This Row],[ProductID]],dProduct[ProductID],dProduct[CratePrice])</f>
        <v>0.43999999999999995</v>
      </c>
      <c r="N174" t="str">
        <f>_xlfn.XLOOKUP(fSales[[#This Row],[SalesRepID]],dPSalesRep[SalesRepID],dPSalesRep[SalesRep])</f>
        <v>Smitty Rad</v>
      </c>
      <c r="O174" t="str">
        <f>_xlfn.XLOOKUP(fSales[[#This Row],[SalesRepID]],dPSalesRep[SalesRepID],dPSalesRep[Region])</f>
        <v>MidWest</v>
      </c>
      <c r="P174" t="str">
        <f>_xlfn.XLOOKUP(fSales[[#This Row],[ProductID]],dProduct[ProductID],dProduct[Product])</f>
        <v>Kiwi</v>
      </c>
      <c r="Q174">
        <f>_xlfn.XLOOKUP(fSales[[#This Row],[ProductID]],dProduct[ProductID],dProduct[CratePrice])-_xlfn.XLOOKUP(fSales[[#This Row],[ProductID]],dProduct[ProductID],dProduct[CrateCost])</f>
        <v>9.8999999999999986</v>
      </c>
      <c r="R174">
        <f>_xlfn.XLOOKUP(fSales[[#This Row],[ProductID]],dProduct[ProductID],dProduct[CratePrice])</f>
        <v>22.5</v>
      </c>
      <c r="S174">
        <f>_xlfn.XLOOKUP(fSales[[#This Row],[ProductID]],dProduct[ProductID],dProduct[CrateCost])</f>
        <v>12.600000000000001</v>
      </c>
      <c r="V174" s="17" t="s">
        <v>36</v>
      </c>
      <c r="W174" s="19">
        <v>258529.2</v>
      </c>
      <c r="X174" s="19">
        <v>108582.26400000001</v>
      </c>
    </row>
    <row r="175" spans="7:24" x14ac:dyDescent="0.25">
      <c r="G175" s="2">
        <v>45409</v>
      </c>
      <c r="H175">
        <v>48</v>
      </c>
      <c r="I175" t="s">
        <v>26</v>
      </c>
      <c r="J175" t="s">
        <v>29</v>
      </c>
      <c r="K175">
        <f>_xlfn.XLOOKUP(fSales[[#This Row],[ProductID]],dProduct[ProductID],dProduct[CratePrice])*fSales[[#This Row],[Units]]</f>
        <v>1428</v>
      </c>
      <c r="L175">
        <f>fSales[[#This Row],[Total sales]]-_xlfn.XLOOKUP(fSales[[#This Row],[ProductID]],dProduct[ProductID],dProduct[CrateCost])*fSales[[#This Row],[Units]]</f>
        <v>599.76</v>
      </c>
      <c r="M175">
        <f>(_xlfn.XLOOKUP(fSales[[#This Row],[ProductID]],dProduct[ProductID],dProduct[CratePrice])-_xlfn.XLOOKUP(fSales[[#This Row],[ProductID]],dProduct[ProductID],dProduct[CrateCost]))/_xlfn.XLOOKUP(fSales[[#This Row],[ProductID]],dProduct[ProductID],dProduct[CratePrice])</f>
        <v>0.42000000000000004</v>
      </c>
      <c r="N175" t="str">
        <f>_xlfn.XLOOKUP(fSales[[#This Row],[SalesRepID]],dPSalesRep[SalesRepID],dPSalesRep[SalesRep])</f>
        <v>Sioux Best</v>
      </c>
      <c r="O175" t="str">
        <f>_xlfn.XLOOKUP(fSales[[#This Row],[SalesRepID]],dPSalesRep[SalesRepID],dPSalesRep[Region])</f>
        <v>West</v>
      </c>
      <c r="P175" t="str">
        <f>_xlfn.XLOOKUP(fSales[[#This Row],[ProductID]],dProduct[ProductID],dProduct[Product])</f>
        <v>Orange</v>
      </c>
      <c r="Q175">
        <f>_xlfn.XLOOKUP(fSales[[#This Row],[ProductID]],dProduct[ProductID],dProduct[CratePrice])-_xlfn.XLOOKUP(fSales[[#This Row],[ProductID]],dProduct[ProductID],dProduct[CrateCost])</f>
        <v>12.495000000000001</v>
      </c>
      <c r="R175">
        <f>_xlfn.XLOOKUP(fSales[[#This Row],[ProductID]],dProduct[ProductID],dProduct[CratePrice])</f>
        <v>29.75</v>
      </c>
      <c r="S175">
        <f>_xlfn.XLOOKUP(fSales[[#This Row],[ProductID]],dProduct[ProductID],dProduct[CrateCost])</f>
        <v>17.254999999999999</v>
      </c>
      <c r="V175" s="17" t="s">
        <v>31</v>
      </c>
      <c r="W175" s="19">
        <v>192780</v>
      </c>
      <c r="X175" s="19">
        <v>84823.200000000012</v>
      </c>
    </row>
    <row r="176" spans="7:24" x14ac:dyDescent="0.25">
      <c r="G176" s="2">
        <v>45411</v>
      </c>
      <c r="H176">
        <v>216</v>
      </c>
      <c r="I176" t="s">
        <v>19</v>
      </c>
      <c r="J176" t="s">
        <v>32</v>
      </c>
      <c r="K176">
        <f>_xlfn.XLOOKUP(fSales[[#This Row],[ProductID]],dProduct[ProductID],dProduct[CratePrice])*fSales[[#This Row],[Units]]</f>
        <v>7560</v>
      </c>
      <c r="L176">
        <f>fSales[[#This Row],[Total sales]]-_xlfn.XLOOKUP(fSales[[#This Row],[ProductID]],dProduct[ProductID],dProduct[CrateCost])*fSales[[#This Row],[Units]]</f>
        <v>4233.6000000000004</v>
      </c>
      <c r="M176">
        <f>(_xlfn.XLOOKUP(fSales[[#This Row],[ProductID]],dProduct[ProductID],dProduct[CratePrice])-_xlfn.XLOOKUP(fSales[[#This Row],[ProductID]],dProduct[ProductID],dProduct[CrateCost]))/_xlfn.XLOOKUP(fSales[[#This Row],[ProductID]],dProduct[ProductID],dProduct[CratePrice])</f>
        <v>0.56000000000000005</v>
      </c>
      <c r="N176" t="str">
        <f>_xlfn.XLOOKUP(fSales[[#This Row],[SalesRepID]],dPSalesRep[SalesRepID],dPSalesRep[SalesRep])</f>
        <v>Shihara Fazzaa</v>
      </c>
      <c r="O176" t="str">
        <f>_xlfn.XLOOKUP(fSales[[#This Row],[SalesRepID]],dPSalesRep[SalesRepID],dPSalesRep[Region])</f>
        <v>East</v>
      </c>
      <c r="P176" t="str">
        <f>_xlfn.XLOOKUP(fSales[[#This Row],[ProductID]],dProduct[ProductID],dProduct[Product])</f>
        <v>Apple</v>
      </c>
      <c r="Q176">
        <f>_xlfn.XLOOKUP(fSales[[#This Row],[ProductID]],dProduct[ProductID],dProduct[CratePrice])-_xlfn.XLOOKUP(fSales[[#This Row],[ProductID]],dProduct[ProductID],dProduct[CrateCost])</f>
        <v>19.600000000000001</v>
      </c>
      <c r="R176">
        <f>_xlfn.XLOOKUP(fSales[[#This Row],[ProductID]],dProduct[ProductID],dProduct[CratePrice])</f>
        <v>35</v>
      </c>
      <c r="S176">
        <f>_xlfn.XLOOKUP(fSales[[#This Row],[ProductID]],dProduct[ProductID],dProduct[CrateCost])</f>
        <v>15.4</v>
      </c>
      <c r="V176" s="17" t="s">
        <v>27</v>
      </c>
      <c r="W176" s="19">
        <v>233121</v>
      </c>
      <c r="X176" s="19">
        <v>97910.82</v>
      </c>
    </row>
    <row r="177" spans="7:24" x14ac:dyDescent="0.25">
      <c r="G177" s="2">
        <v>45412</v>
      </c>
      <c r="H177">
        <v>252</v>
      </c>
      <c r="I177" t="s">
        <v>21</v>
      </c>
      <c r="J177" t="s">
        <v>29</v>
      </c>
      <c r="K177">
        <f>_xlfn.XLOOKUP(fSales[[#This Row],[ProductID]],dProduct[ProductID],dProduct[CratePrice])*fSales[[#This Row],[Units]]</f>
        <v>5670</v>
      </c>
      <c r="L177">
        <f>fSales[[#This Row],[Total sales]]-_xlfn.XLOOKUP(fSales[[#This Row],[ProductID]],dProduct[ProductID],dProduct[CrateCost])*fSales[[#This Row],[Units]]</f>
        <v>2494.7999999999997</v>
      </c>
      <c r="M177">
        <f>(_xlfn.XLOOKUP(fSales[[#This Row],[ProductID]],dProduct[ProductID],dProduct[CratePrice])-_xlfn.XLOOKUP(fSales[[#This Row],[ProductID]],dProduct[ProductID],dProduct[CrateCost]))/_xlfn.XLOOKUP(fSales[[#This Row],[ProductID]],dProduct[ProductID],dProduct[CratePrice])</f>
        <v>0.43999999999999995</v>
      </c>
      <c r="N177" t="str">
        <f>_xlfn.XLOOKUP(fSales[[#This Row],[SalesRepID]],dPSalesRep[SalesRepID],dPSalesRep[SalesRep])</f>
        <v>Sioux Best</v>
      </c>
      <c r="O177" t="str">
        <f>_xlfn.XLOOKUP(fSales[[#This Row],[SalesRepID]],dPSalesRep[SalesRepID],dPSalesRep[Region])</f>
        <v>West</v>
      </c>
      <c r="P177" t="str">
        <f>_xlfn.XLOOKUP(fSales[[#This Row],[ProductID]],dProduct[ProductID],dProduct[Product])</f>
        <v>Kiwi</v>
      </c>
      <c r="Q177">
        <f>_xlfn.XLOOKUP(fSales[[#This Row],[ProductID]],dProduct[ProductID],dProduct[CratePrice])-_xlfn.XLOOKUP(fSales[[#This Row],[ProductID]],dProduct[ProductID],dProduct[CrateCost])</f>
        <v>9.8999999999999986</v>
      </c>
      <c r="R177">
        <f>_xlfn.XLOOKUP(fSales[[#This Row],[ProductID]],dProduct[ProductID],dProduct[CratePrice])</f>
        <v>22.5</v>
      </c>
      <c r="S177">
        <f>_xlfn.XLOOKUP(fSales[[#This Row],[ProductID]],dProduct[ProductID],dProduct[CrateCost])</f>
        <v>12.600000000000001</v>
      </c>
      <c r="V177" s="5" t="s">
        <v>44</v>
      </c>
      <c r="W177" s="19">
        <v>929926.2</v>
      </c>
      <c r="X177" s="19">
        <v>407291.304</v>
      </c>
    </row>
    <row r="178" spans="7:24" x14ac:dyDescent="0.25">
      <c r="G178" s="2">
        <v>45413</v>
      </c>
      <c r="H178">
        <v>252</v>
      </c>
      <c r="I178" t="s">
        <v>19</v>
      </c>
      <c r="J178" t="s">
        <v>32</v>
      </c>
      <c r="K178">
        <f>_xlfn.XLOOKUP(fSales[[#This Row],[ProductID]],dProduct[ProductID],dProduct[CratePrice])*fSales[[#This Row],[Units]]</f>
        <v>8820</v>
      </c>
      <c r="L178">
        <f>fSales[[#This Row],[Total sales]]-_xlfn.XLOOKUP(fSales[[#This Row],[ProductID]],dProduct[ProductID],dProduct[CrateCost])*fSales[[#This Row],[Units]]</f>
        <v>4939.2</v>
      </c>
      <c r="M178">
        <f>(_xlfn.XLOOKUP(fSales[[#This Row],[ProductID]],dProduct[ProductID],dProduct[CratePrice])-_xlfn.XLOOKUP(fSales[[#This Row],[ProductID]],dProduct[ProductID],dProduct[CrateCost]))/_xlfn.XLOOKUP(fSales[[#This Row],[ProductID]],dProduct[ProductID],dProduct[CratePrice])</f>
        <v>0.56000000000000005</v>
      </c>
      <c r="N178" t="str">
        <f>_xlfn.XLOOKUP(fSales[[#This Row],[SalesRepID]],dPSalesRep[SalesRepID],dPSalesRep[SalesRep])</f>
        <v>Shihara Fazzaa</v>
      </c>
      <c r="O178" t="str">
        <f>_xlfn.XLOOKUP(fSales[[#This Row],[SalesRepID]],dPSalesRep[SalesRepID],dPSalesRep[Region])</f>
        <v>East</v>
      </c>
      <c r="P178" t="str">
        <f>_xlfn.XLOOKUP(fSales[[#This Row],[ProductID]],dProduct[ProductID],dProduct[Product])</f>
        <v>Apple</v>
      </c>
      <c r="Q178">
        <f>_xlfn.XLOOKUP(fSales[[#This Row],[ProductID]],dProduct[ProductID],dProduct[CratePrice])-_xlfn.XLOOKUP(fSales[[#This Row],[ProductID]],dProduct[ProductID],dProduct[CrateCost])</f>
        <v>19.600000000000001</v>
      </c>
      <c r="R178">
        <f>_xlfn.XLOOKUP(fSales[[#This Row],[ProductID]],dProduct[ProductID],dProduct[CratePrice])</f>
        <v>35</v>
      </c>
      <c r="S178">
        <f>_xlfn.XLOOKUP(fSales[[#This Row],[ProductID]],dProduct[ProductID],dProduct[CrateCost])</f>
        <v>15.4</v>
      </c>
      <c r="V178" s="16" t="s">
        <v>45</v>
      </c>
      <c r="W178" s="19">
        <v>929926.2</v>
      </c>
      <c r="X178" s="19">
        <v>407291.304</v>
      </c>
    </row>
    <row r="179" spans="7:24" x14ac:dyDescent="0.25">
      <c r="G179" s="2">
        <v>45414</v>
      </c>
      <c r="H179">
        <v>72</v>
      </c>
      <c r="I179" t="s">
        <v>26</v>
      </c>
      <c r="J179" t="s">
        <v>32</v>
      </c>
      <c r="K179">
        <f>_xlfn.XLOOKUP(fSales[[#This Row],[ProductID]],dProduct[ProductID],dProduct[CratePrice])*fSales[[#This Row],[Units]]</f>
        <v>2142</v>
      </c>
      <c r="L179">
        <f>fSales[[#This Row],[Total sales]]-_xlfn.XLOOKUP(fSales[[#This Row],[ProductID]],dProduct[ProductID],dProduct[CrateCost])*fSales[[#This Row],[Units]]</f>
        <v>899.6400000000001</v>
      </c>
      <c r="M179">
        <f>(_xlfn.XLOOKUP(fSales[[#This Row],[ProductID]],dProduct[ProductID],dProduct[CratePrice])-_xlfn.XLOOKUP(fSales[[#This Row],[ProductID]],dProduct[ProductID],dProduct[CrateCost]))/_xlfn.XLOOKUP(fSales[[#This Row],[ProductID]],dProduct[ProductID],dProduct[CratePrice])</f>
        <v>0.42000000000000004</v>
      </c>
      <c r="N179" t="str">
        <f>_xlfn.XLOOKUP(fSales[[#This Row],[SalesRepID]],dPSalesRep[SalesRepID],dPSalesRep[SalesRep])</f>
        <v>Shihara Fazzaa</v>
      </c>
      <c r="O179" t="str">
        <f>_xlfn.XLOOKUP(fSales[[#This Row],[SalesRepID]],dPSalesRep[SalesRepID],dPSalesRep[Region])</f>
        <v>East</v>
      </c>
      <c r="P179" t="str">
        <f>_xlfn.XLOOKUP(fSales[[#This Row],[ProductID]],dProduct[ProductID],dProduct[Product])</f>
        <v>Orange</v>
      </c>
      <c r="Q179">
        <f>_xlfn.XLOOKUP(fSales[[#This Row],[ProductID]],dProduct[ProductID],dProduct[CratePrice])-_xlfn.XLOOKUP(fSales[[#This Row],[ProductID]],dProduct[ProductID],dProduct[CrateCost])</f>
        <v>12.495000000000001</v>
      </c>
      <c r="R179">
        <f>_xlfn.XLOOKUP(fSales[[#This Row],[ProductID]],dProduct[ProductID],dProduct[CratePrice])</f>
        <v>29.75</v>
      </c>
      <c r="S179">
        <f>_xlfn.XLOOKUP(fSales[[#This Row],[ProductID]],dProduct[ProductID],dProduct[CrateCost])</f>
        <v>17.254999999999999</v>
      </c>
      <c r="V179" s="17" t="s">
        <v>20</v>
      </c>
      <c r="W179" s="19">
        <v>176820</v>
      </c>
      <c r="X179" s="19">
        <v>99019.200000000026</v>
      </c>
    </row>
    <row r="180" spans="7:24" x14ac:dyDescent="0.25">
      <c r="G180" s="2">
        <v>45414</v>
      </c>
      <c r="H180">
        <v>96</v>
      </c>
      <c r="I180" t="s">
        <v>28</v>
      </c>
      <c r="J180" t="s">
        <v>32</v>
      </c>
      <c r="K180">
        <f>_xlfn.XLOOKUP(fSales[[#This Row],[ProductID]],dProduct[ProductID],dProduct[CratePrice])*fSales[[#This Row],[Units]]</f>
        <v>4195.2000000000007</v>
      </c>
      <c r="L180">
        <f>fSales[[#This Row],[Total sales]]-_xlfn.XLOOKUP(fSales[[#This Row],[ProductID]],dProduct[ProductID],dProduct[CrateCost])*fSales[[#This Row],[Units]]</f>
        <v>1761.9840000000008</v>
      </c>
      <c r="M180">
        <f>(_xlfn.XLOOKUP(fSales[[#This Row],[ProductID]],dProduct[ProductID],dProduct[CratePrice])-_xlfn.XLOOKUP(fSales[[#This Row],[ProductID]],dProduct[ProductID],dProduct[CrateCost]))/_xlfn.XLOOKUP(fSales[[#This Row],[ProductID]],dProduct[ProductID],dProduct[CratePrice])</f>
        <v>0.42000000000000004</v>
      </c>
      <c r="N180" t="str">
        <f>_xlfn.XLOOKUP(fSales[[#This Row],[SalesRepID]],dPSalesRep[SalesRepID],dPSalesRep[SalesRep])</f>
        <v>Shihara Fazzaa</v>
      </c>
      <c r="O180" t="str">
        <f>_xlfn.XLOOKUP(fSales[[#This Row],[SalesRepID]],dPSalesRep[SalesRepID],dPSalesRep[Region])</f>
        <v>East</v>
      </c>
      <c r="P180" t="str">
        <f>_xlfn.XLOOKUP(fSales[[#This Row],[ProductID]],dProduct[ProductID],dProduct[Product])</f>
        <v>Cherry</v>
      </c>
      <c r="Q180">
        <f>_xlfn.XLOOKUP(fSales[[#This Row],[ProductID]],dProduct[ProductID],dProduct[CratePrice])-_xlfn.XLOOKUP(fSales[[#This Row],[ProductID]],dProduct[ProductID],dProduct[CrateCost])</f>
        <v>18.354000000000003</v>
      </c>
      <c r="R180">
        <f>_xlfn.XLOOKUP(fSales[[#This Row],[ProductID]],dProduct[ProductID],dProduct[CratePrice])</f>
        <v>43.7</v>
      </c>
      <c r="S180">
        <f>_xlfn.XLOOKUP(fSales[[#This Row],[ProductID]],dProduct[ProductID],dProduct[CrateCost])</f>
        <v>25.346</v>
      </c>
      <c r="V180" s="17" t="s">
        <v>35</v>
      </c>
      <c r="W180" s="19">
        <v>119070</v>
      </c>
      <c r="X180" s="19">
        <v>39293.1</v>
      </c>
    </row>
    <row r="181" spans="7:24" x14ac:dyDescent="0.25">
      <c r="G181" s="2">
        <v>45415</v>
      </c>
      <c r="H181">
        <v>216</v>
      </c>
      <c r="I181" t="s">
        <v>28</v>
      </c>
      <c r="J181" t="s">
        <v>29</v>
      </c>
      <c r="K181">
        <f>_xlfn.XLOOKUP(fSales[[#This Row],[ProductID]],dProduct[ProductID],dProduct[CratePrice])*fSales[[#This Row],[Units]]</f>
        <v>9439.2000000000007</v>
      </c>
      <c r="L181">
        <f>fSales[[#This Row],[Total sales]]-_xlfn.XLOOKUP(fSales[[#This Row],[ProductID]],dProduct[ProductID],dProduct[CrateCost])*fSales[[#This Row],[Units]]</f>
        <v>3964.4640000000009</v>
      </c>
      <c r="M181">
        <f>(_xlfn.XLOOKUP(fSales[[#This Row],[ProductID]],dProduct[ProductID],dProduct[CratePrice])-_xlfn.XLOOKUP(fSales[[#This Row],[ProductID]],dProduct[ProductID],dProduct[CrateCost]))/_xlfn.XLOOKUP(fSales[[#This Row],[ProductID]],dProduct[ProductID],dProduct[CratePrice])</f>
        <v>0.42000000000000004</v>
      </c>
      <c r="N181" t="str">
        <f>_xlfn.XLOOKUP(fSales[[#This Row],[SalesRepID]],dPSalesRep[SalesRepID],dPSalesRep[SalesRep])</f>
        <v>Sioux Best</v>
      </c>
      <c r="O181" t="str">
        <f>_xlfn.XLOOKUP(fSales[[#This Row],[SalesRepID]],dPSalesRep[SalesRepID],dPSalesRep[Region])</f>
        <v>West</v>
      </c>
      <c r="P181" t="str">
        <f>_xlfn.XLOOKUP(fSales[[#This Row],[ProductID]],dProduct[ProductID],dProduct[Product])</f>
        <v>Cherry</v>
      </c>
      <c r="Q181">
        <f>_xlfn.XLOOKUP(fSales[[#This Row],[ProductID]],dProduct[ProductID],dProduct[CratePrice])-_xlfn.XLOOKUP(fSales[[#This Row],[ProductID]],dProduct[ProductID],dProduct[CrateCost])</f>
        <v>18.354000000000003</v>
      </c>
      <c r="R181">
        <f>_xlfn.XLOOKUP(fSales[[#This Row],[ProductID]],dProduct[ProductID],dProduct[CratePrice])</f>
        <v>43.7</v>
      </c>
      <c r="S181">
        <f>_xlfn.XLOOKUP(fSales[[#This Row],[ProductID]],dProduct[ProductID],dProduct[CrateCost])</f>
        <v>25.346</v>
      </c>
      <c r="V181" s="17" t="s">
        <v>36</v>
      </c>
      <c r="W181" s="19">
        <v>326701.1999999999</v>
      </c>
      <c r="X181" s="19">
        <v>137214.50400000002</v>
      </c>
    </row>
    <row r="182" spans="7:24" x14ac:dyDescent="0.25">
      <c r="G182" s="2">
        <v>45416</v>
      </c>
      <c r="H182">
        <v>120</v>
      </c>
      <c r="I182" t="s">
        <v>34</v>
      </c>
      <c r="J182" t="s">
        <v>22</v>
      </c>
      <c r="K182">
        <f>_xlfn.XLOOKUP(fSales[[#This Row],[ProductID]],dProduct[ProductID],dProduct[CratePrice])*fSales[[#This Row],[Units]]</f>
        <v>2100</v>
      </c>
      <c r="L182">
        <f>fSales[[#This Row],[Total sales]]-_xlfn.XLOOKUP(fSales[[#This Row],[ProductID]],dProduct[ProductID],dProduct[CrateCost])*fSales[[#This Row],[Units]]</f>
        <v>692.99999999999977</v>
      </c>
      <c r="M182">
        <f>(_xlfn.XLOOKUP(fSales[[#This Row],[ProductID]],dProduct[ProductID],dProduct[CratePrice])-_xlfn.XLOOKUP(fSales[[#This Row],[ProductID]],dProduct[ProductID],dProduct[CrateCost]))/_xlfn.XLOOKUP(fSales[[#This Row],[ProductID]],dProduct[ProductID],dProduct[CratePrice])</f>
        <v>0.3299999999999999</v>
      </c>
      <c r="N182" t="str">
        <f>_xlfn.XLOOKUP(fSales[[#This Row],[SalesRepID]],dPSalesRep[SalesRepID],dPSalesRep[SalesRep])</f>
        <v>Timmy Kips</v>
      </c>
      <c r="O182" t="str">
        <f>_xlfn.XLOOKUP(fSales[[#This Row],[SalesRepID]],dPSalesRep[SalesRepID],dPSalesRep[Region])</f>
        <v>East</v>
      </c>
      <c r="P182" t="str">
        <f>_xlfn.XLOOKUP(fSales[[#This Row],[ProductID]],dProduct[ProductID],dProduct[Product])</f>
        <v>Banana</v>
      </c>
      <c r="Q182">
        <f>_xlfn.XLOOKUP(fSales[[#This Row],[ProductID]],dProduct[ProductID],dProduct[CratePrice])-_xlfn.XLOOKUP(fSales[[#This Row],[ProductID]],dProduct[ProductID],dProduct[CrateCost])</f>
        <v>5.7749999999999986</v>
      </c>
      <c r="R182">
        <f>_xlfn.XLOOKUP(fSales[[#This Row],[ProductID]],dProduct[ProductID],dProduct[CratePrice])</f>
        <v>17.5</v>
      </c>
      <c r="S182">
        <f>_xlfn.XLOOKUP(fSales[[#This Row],[ProductID]],dProduct[ProductID],dProduct[CrateCost])</f>
        <v>11.725000000000001</v>
      </c>
      <c r="V182" s="17" t="s">
        <v>31</v>
      </c>
      <c r="W182" s="19">
        <v>134190</v>
      </c>
      <c r="X182" s="19">
        <v>59043.599999999991</v>
      </c>
    </row>
    <row r="183" spans="7:24" x14ac:dyDescent="0.25">
      <c r="G183" s="2">
        <v>45416</v>
      </c>
      <c r="H183">
        <v>156</v>
      </c>
      <c r="I183" t="s">
        <v>26</v>
      </c>
      <c r="J183" t="s">
        <v>32</v>
      </c>
      <c r="K183">
        <f>_xlfn.XLOOKUP(fSales[[#This Row],[ProductID]],dProduct[ProductID],dProduct[CratePrice])*fSales[[#This Row],[Units]]</f>
        <v>4641</v>
      </c>
      <c r="L183">
        <f>fSales[[#This Row],[Total sales]]-_xlfn.XLOOKUP(fSales[[#This Row],[ProductID]],dProduct[ProductID],dProduct[CrateCost])*fSales[[#This Row],[Units]]</f>
        <v>1949.2200000000003</v>
      </c>
      <c r="M183">
        <f>(_xlfn.XLOOKUP(fSales[[#This Row],[ProductID]],dProduct[ProductID],dProduct[CratePrice])-_xlfn.XLOOKUP(fSales[[#This Row],[ProductID]],dProduct[ProductID],dProduct[CrateCost]))/_xlfn.XLOOKUP(fSales[[#This Row],[ProductID]],dProduct[ProductID],dProduct[CratePrice])</f>
        <v>0.42000000000000004</v>
      </c>
      <c r="N183" t="str">
        <f>_xlfn.XLOOKUP(fSales[[#This Row],[SalesRepID]],dPSalesRep[SalesRepID],dPSalesRep[SalesRep])</f>
        <v>Shihara Fazzaa</v>
      </c>
      <c r="O183" t="str">
        <f>_xlfn.XLOOKUP(fSales[[#This Row],[SalesRepID]],dPSalesRep[SalesRepID],dPSalesRep[Region])</f>
        <v>East</v>
      </c>
      <c r="P183" t="str">
        <f>_xlfn.XLOOKUP(fSales[[#This Row],[ProductID]],dProduct[ProductID],dProduct[Product])</f>
        <v>Orange</v>
      </c>
      <c r="Q183">
        <f>_xlfn.XLOOKUP(fSales[[#This Row],[ProductID]],dProduct[ProductID],dProduct[CratePrice])-_xlfn.XLOOKUP(fSales[[#This Row],[ProductID]],dProduct[ProductID],dProduct[CrateCost])</f>
        <v>12.495000000000001</v>
      </c>
      <c r="R183">
        <f>_xlfn.XLOOKUP(fSales[[#This Row],[ProductID]],dProduct[ProductID],dProduct[CratePrice])</f>
        <v>29.75</v>
      </c>
      <c r="S183">
        <f>_xlfn.XLOOKUP(fSales[[#This Row],[ProductID]],dProduct[ProductID],dProduct[CrateCost])</f>
        <v>17.254999999999999</v>
      </c>
      <c r="V183" s="17" t="s">
        <v>27</v>
      </c>
      <c r="W183" s="19">
        <v>173145</v>
      </c>
      <c r="X183" s="19">
        <v>72720.900000000009</v>
      </c>
    </row>
    <row r="184" spans="7:24" x14ac:dyDescent="0.25">
      <c r="G184" s="2">
        <v>45416</v>
      </c>
      <c r="H184">
        <v>168</v>
      </c>
      <c r="I184" t="s">
        <v>28</v>
      </c>
      <c r="J184" t="s">
        <v>29</v>
      </c>
      <c r="K184">
        <f>_xlfn.XLOOKUP(fSales[[#This Row],[ProductID]],dProduct[ProductID],dProduct[CratePrice])*fSales[[#This Row],[Units]]</f>
        <v>7341.6</v>
      </c>
      <c r="L184">
        <f>fSales[[#This Row],[Total sales]]-_xlfn.XLOOKUP(fSales[[#This Row],[ProductID]],dProduct[ProductID],dProduct[CrateCost])*fSales[[#This Row],[Units]]</f>
        <v>3083.4720000000007</v>
      </c>
      <c r="M184">
        <f>(_xlfn.XLOOKUP(fSales[[#This Row],[ProductID]],dProduct[ProductID],dProduct[CratePrice])-_xlfn.XLOOKUP(fSales[[#This Row],[ProductID]],dProduct[ProductID],dProduct[CrateCost]))/_xlfn.XLOOKUP(fSales[[#This Row],[ProductID]],dProduct[ProductID],dProduct[CratePrice])</f>
        <v>0.42000000000000004</v>
      </c>
      <c r="N184" t="str">
        <f>_xlfn.XLOOKUP(fSales[[#This Row],[SalesRepID]],dPSalesRep[SalesRepID],dPSalesRep[SalesRep])</f>
        <v>Sioux Best</v>
      </c>
      <c r="O184" t="str">
        <f>_xlfn.XLOOKUP(fSales[[#This Row],[SalesRepID]],dPSalesRep[SalesRepID],dPSalesRep[Region])</f>
        <v>West</v>
      </c>
      <c r="P184" t="str">
        <f>_xlfn.XLOOKUP(fSales[[#This Row],[ProductID]],dProduct[ProductID],dProduct[Product])</f>
        <v>Cherry</v>
      </c>
      <c r="Q184">
        <f>_xlfn.XLOOKUP(fSales[[#This Row],[ProductID]],dProduct[ProductID],dProduct[CratePrice])-_xlfn.XLOOKUP(fSales[[#This Row],[ProductID]],dProduct[ProductID],dProduct[CrateCost])</f>
        <v>18.354000000000003</v>
      </c>
      <c r="R184">
        <f>_xlfn.XLOOKUP(fSales[[#This Row],[ProductID]],dProduct[ProductID],dProduct[CratePrice])</f>
        <v>43.7</v>
      </c>
      <c r="S184">
        <f>_xlfn.XLOOKUP(fSales[[#This Row],[ProductID]],dProduct[ProductID],dProduct[CrateCost])</f>
        <v>25.346</v>
      </c>
      <c r="V184" s="5" t="s">
        <v>53</v>
      </c>
      <c r="W184" s="19">
        <v>1017236.4000000001</v>
      </c>
      <c r="X184" s="19">
        <v>460703.98800000007</v>
      </c>
    </row>
    <row r="185" spans="7:24" x14ac:dyDescent="0.25">
      <c r="G185" s="2">
        <v>45417</v>
      </c>
      <c r="H185">
        <v>144</v>
      </c>
      <c r="I185" t="s">
        <v>21</v>
      </c>
      <c r="J185" t="s">
        <v>37</v>
      </c>
      <c r="K185">
        <f>_xlfn.XLOOKUP(fSales[[#This Row],[ProductID]],dProduct[ProductID],dProduct[CratePrice])*fSales[[#This Row],[Units]]</f>
        <v>3240</v>
      </c>
      <c r="L185">
        <f>fSales[[#This Row],[Total sales]]-_xlfn.XLOOKUP(fSales[[#This Row],[ProductID]],dProduct[ProductID],dProduct[CrateCost])*fSales[[#This Row],[Units]]</f>
        <v>1425.6</v>
      </c>
      <c r="M185">
        <f>(_xlfn.XLOOKUP(fSales[[#This Row],[ProductID]],dProduct[ProductID],dProduct[CratePrice])-_xlfn.XLOOKUP(fSales[[#This Row],[ProductID]],dProduct[ProductID],dProduct[CrateCost]))/_xlfn.XLOOKUP(fSales[[#This Row],[ProductID]],dProduct[ProductID],dProduct[CratePrice])</f>
        <v>0.43999999999999995</v>
      </c>
      <c r="N185" t="str">
        <f>_xlfn.XLOOKUP(fSales[[#This Row],[SalesRepID]],dPSalesRep[SalesRepID],dPSalesRep[SalesRep])</f>
        <v>Chantel Mims</v>
      </c>
      <c r="O185" t="str">
        <f>_xlfn.XLOOKUP(fSales[[#This Row],[SalesRepID]],dPSalesRep[SalesRepID],dPSalesRep[Region])</f>
        <v>NW</v>
      </c>
      <c r="P185" t="str">
        <f>_xlfn.XLOOKUP(fSales[[#This Row],[ProductID]],dProduct[ProductID],dProduct[Product])</f>
        <v>Kiwi</v>
      </c>
      <c r="Q185">
        <f>_xlfn.XLOOKUP(fSales[[#This Row],[ProductID]],dProduct[ProductID],dProduct[CratePrice])-_xlfn.XLOOKUP(fSales[[#This Row],[ProductID]],dProduct[ProductID],dProduct[CrateCost])</f>
        <v>9.8999999999999986</v>
      </c>
      <c r="R185">
        <f>_xlfn.XLOOKUP(fSales[[#This Row],[ProductID]],dProduct[ProductID],dProduct[CratePrice])</f>
        <v>22.5</v>
      </c>
      <c r="S185">
        <f>_xlfn.XLOOKUP(fSales[[#This Row],[ProductID]],dProduct[ProductID],dProduct[CrateCost])</f>
        <v>12.600000000000001</v>
      </c>
      <c r="V185" s="16" t="s">
        <v>54</v>
      </c>
      <c r="W185" s="19">
        <v>1017236.4000000001</v>
      </c>
      <c r="X185" s="19">
        <v>460703.98800000007</v>
      </c>
    </row>
    <row r="186" spans="7:24" x14ac:dyDescent="0.25">
      <c r="G186" s="2">
        <v>45418</v>
      </c>
      <c r="H186">
        <v>276</v>
      </c>
      <c r="I186" t="s">
        <v>34</v>
      </c>
      <c r="J186" t="s">
        <v>29</v>
      </c>
      <c r="K186">
        <f>_xlfn.XLOOKUP(fSales[[#This Row],[ProductID]],dProduct[ProductID],dProduct[CratePrice])*fSales[[#This Row],[Units]]</f>
        <v>4830</v>
      </c>
      <c r="L186">
        <f>fSales[[#This Row],[Total sales]]-_xlfn.XLOOKUP(fSales[[#This Row],[ProductID]],dProduct[ProductID],dProduct[CrateCost])*fSales[[#This Row],[Units]]</f>
        <v>1593.8999999999996</v>
      </c>
      <c r="M186">
        <f>(_xlfn.XLOOKUP(fSales[[#This Row],[ProductID]],dProduct[ProductID],dProduct[CratePrice])-_xlfn.XLOOKUP(fSales[[#This Row],[ProductID]],dProduct[ProductID],dProduct[CrateCost]))/_xlfn.XLOOKUP(fSales[[#This Row],[ProductID]],dProduct[ProductID],dProduct[CratePrice])</f>
        <v>0.3299999999999999</v>
      </c>
      <c r="N186" t="str">
        <f>_xlfn.XLOOKUP(fSales[[#This Row],[SalesRepID]],dPSalesRep[SalesRepID],dPSalesRep[SalesRep])</f>
        <v>Sioux Best</v>
      </c>
      <c r="O186" t="str">
        <f>_xlfn.XLOOKUP(fSales[[#This Row],[SalesRepID]],dPSalesRep[SalesRepID],dPSalesRep[Region])</f>
        <v>West</v>
      </c>
      <c r="P186" t="str">
        <f>_xlfn.XLOOKUP(fSales[[#This Row],[ProductID]],dProduct[ProductID],dProduct[Product])</f>
        <v>Banana</v>
      </c>
      <c r="Q186">
        <f>_xlfn.XLOOKUP(fSales[[#This Row],[ProductID]],dProduct[ProductID],dProduct[CratePrice])-_xlfn.XLOOKUP(fSales[[#This Row],[ProductID]],dProduct[ProductID],dProduct[CrateCost])</f>
        <v>5.7749999999999986</v>
      </c>
      <c r="R186">
        <f>_xlfn.XLOOKUP(fSales[[#This Row],[ProductID]],dProduct[ProductID],dProduct[CratePrice])</f>
        <v>17.5</v>
      </c>
      <c r="S186">
        <f>_xlfn.XLOOKUP(fSales[[#This Row],[ProductID]],dProduct[ProductID],dProduct[CrateCost])</f>
        <v>11.725000000000001</v>
      </c>
      <c r="V186" s="17" t="s">
        <v>20</v>
      </c>
      <c r="W186" s="19">
        <v>280980</v>
      </c>
      <c r="X186" s="19">
        <v>157348.80000000002</v>
      </c>
    </row>
    <row r="187" spans="7:24" x14ac:dyDescent="0.25">
      <c r="G187" s="2">
        <v>45419</v>
      </c>
      <c r="H187">
        <v>156</v>
      </c>
      <c r="I187" t="s">
        <v>21</v>
      </c>
      <c r="J187" t="s">
        <v>32</v>
      </c>
      <c r="K187">
        <f>_xlfn.XLOOKUP(fSales[[#This Row],[ProductID]],dProduct[ProductID],dProduct[CratePrice])*fSales[[#This Row],[Units]]</f>
        <v>3510</v>
      </c>
      <c r="L187">
        <f>fSales[[#This Row],[Total sales]]-_xlfn.XLOOKUP(fSales[[#This Row],[ProductID]],dProduct[ProductID],dProduct[CrateCost])*fSales[[#This Row],[Units]]</f>
        <v>1544.3999999999999</v>
      </c>
      <c r="M187">
        <f>(_xlfn.XLOOKUP(fSales[[#This Row],[ProductID]],dProduct[ProductID],dProduct[CratePrice])-_xlfn.XLOOKUP(fSales[[#This Row],[ProductID]],dProduct[ProductID],dProduct[CrateCost]))/_xlfn.XLOOKUP(fSales[[#This Row],[ProductID]],dProduct[ProductID],dProduct[CratePrice])</f>
        <v>0.43999999999999995</v>
      </c>
      <c r="N187" t="str">
        <f>_xlfn.XLOOKUP(fSales[[#This Row],[SalesRepID]],dPSalesRep[SalesRepID],dPSalesRep[SalesRep])</f>
        <v>Shihara Fazzaa</v>
      </c>
      <c r="O187" t="str">
        <f>_xlfn.XLOOKUP(fSales[[#This Row],[SalesRepID]],dPSalesRep[SalesRepID],dPSalesRep[Region])</f>
        <v>East</v>
      </c>
      <c r="P187" t="str">
        <f>_xlfn.XLOOKUP(fSales[[#This Row],[ProductID]],dProduct[ProductID],dProduct[Product])</f>
        <v>Kiwi</v>
      </c>
      <c r="Q187">
        <f>_xlfn.XLOOKUP(fSales[[#This Row],[ProductID]],dProduct[ProductID],dProduct[CratePrice])-_xlfn.XLOOKUP(fSales[[#This Row],[ProductID]],dProduct[ProductID],dProduct[CrateCost])</f>
        <v>9.8999999999999986</v>
      </c>
      <c r="R187">
        <f>_xlfn.XLOOKUP(fSales[[#This Row],[ProductID]],dProduct[ProductID],dProduct[CratePrice])</f>
        <v>22.5</v>
      </c>
      <c r="S187">
        <f>_xlfn.XLOOKUP(fSales[[#This Row],[ProductID]],dProduct[ProductID],dProduct[CrateCost])</f>
        <v>12.600000000000001</v>
      </c>
      <c r="V187" s="17" t="s">
        <v>35</v>
      </c>
      <c r="W187" s="19">
        <v>94710</v>
      </c>
      <c r="X187" s="19">
        <v>31254.299999999996</v>
      </c>
    </row>
    <row r="188" spans="7:24" x14ac:dyDescent="0.25">
      <c r="G188" s="2">
        <v>45420</v>
      </c>
      <c r="H188">
        <v>96</v>
      </c>
      <c r="I188" t="s">
        <v>21</v>
      </c>
      <c r="J188" t="s">
        <v>22</v>
      </c>
      <c r="K188">
        <f>_xlfn.XLOOKUP(fSales[[#This Row],[ProductID]],dProduct[ProductID],dProduct[CratePrice])*fSales[[#This Row],[Units]]</f>
        <v>2160</v>
      </c>
      <c r="L188">
        <f>fSales[[#This Row],[Total sales]]-_xlfn.XLOOKUP(fSales[[#This Row],[ProductID]],dProduct[ProductID],dProduct[CrateCost])*fSales[[#This Row],[Units]]</f>
        <v>950.39999999999986</v>
      </c>
      <c r="M188">
        <f>(_xlfn.XLOOKUP(fSales[[#This Row],[ProductID]],dProduct[ProductID],dProduct[CratePrice])-_xlfn.XLOOKUP(fSales[[#This Row],[ProductID]],dProduct[ProductID],dProduct[CrateCost]))/_xlfn.XLOOKUP(fSales[[#This Row],[ProductID]],dProduct[ProductID],dProduct[CratePrice])</f>
        <v>0.43999999999999995</v>
      </c>
      <c r="N188" t="str">
        <f>_xlfn.XLOOKUP(fSales[[#This Row],[SalesRepID]],dPSalesRep[SalesRepID],dPSalesRep[SalesRep])</f>
        <v>Timmy Kips</v>
      </c>
      <c r="O188" t="str">
        <f>_xlfn.XLOOKUP(fSales[[#This Row],[SalesRepID]],dPSalesRep[SalesRepID],dPSalesRep[Region])</f>
        <v>East</v>
      </c>
      <c r="P188" t="str">
        <f>_xlfn.XLOOKUP(fSales[[#This Row],[ProductID]],dProduct[ProductID],dProduct[Product])</f>
        <v>Kiwi</v>
      </c>
      <c r="Q188">
        <f>_xlfn.XLOOKUP(fSales[[#This Row],[ProductID]],dProduct[ProductID],dProduct[CratePrice])-_xlfn.XLOOKUP(fSales[[#This Row],[ProductID]],dProduct[ProductID],dProduct[CrateCost])</f>
        <v>9.8999999999999986</v>
      </c>
      <c r="R188">
        <f>_xlfn.XLOOKUP(fSales[[#This Row],[ProductID]],dProduct[ProductID],dProduct[CratePrice])</f>
        <v>22.5</v>
      </c>
      <c r="S188">
        <f>_xlfn.XLOOKUP(fSales[[#This Row],[ProductID]],dProduct[ProductID],dProduct[CrateCost])</f>
        <v>12.600000000000001</v>
      </c>
      <c r="V188" s="17" t="s">
        <v>36</v>
      </c>
      <c r="W188" s="19">
        <v>367604.40000000008</v>
      </c>
      <c r="X188" s="19">
        <v>154393.84800000009</v>
      </c>
    </row>
    <row r="189" spans="7:24" x14ac:dyDescent="0.25">
      <c r="G189" s="2">
        <v>45420</v>
      </c>
      <c r="H189">
        <v>276</v>
      </c>
      <c r="I189" t="s">
        <v>26</v>
      </c>
      <c r="J189" t="s">
        <v>32</v>
      </c>
      <c r="K189">
        <f>_xlfn.XLOOKUP(fSales[[#This Row],[ProductID]],dProduct[ProductID],dProduct[CratePrice])*fSales[[#This Row],[Units]]</f>
        <v>8211</v>
      </c>
      <c r="L189">
        <f>fSales[[#This Row],[Total sales]]-_xlfn.XLOOKUP(fSales[[#This Row],[ProductID]],dProduct[ProductID],dProduct[CrateCost])*fSales[[#This Row],[Units]]</f>
        <v>3448.62</v>
      </c>
      <c r="M189">
        <f>(_xlfn.XLOOKUP(fSales[[#This Row],[ProductID]],dProduct[ProductID],dProduct[CratePrice])-_xlfn.XLOOKUP(fSales[[#This Row],[ProductID]],dProduct[ProductID],dProduct[CrateCost]))/_xlfn.XLOOKUP(fSales[[#This Row],[ProductID]],dProduct[ProductID],dProduct[CratePrice])</f>
        <v>0.42000000000000004</v>
      </c>
      <c r="N189" t="str">
        <f>_xlfn.XLOOKUP(fSales[[#This Row],[SalesRepID]],dPSalesRep[SalesRepID],dPSalesRep[SalesRep])</f>
        <v>Shihara Fazzaa</v>
      </c>
      <c r="O189" t="str">
        <f>_xlfn.XLOOKUP(fSales[[#This Row],[SalesRepID]],dPSalesRep[SalesRepID],dPSalesRep[Region])</f>
        <v>East</v>
      </c>
      <c r="P189" t="str">
        <f>_xlfn.XLOOKUP(fSales[[#This Row],[ProductID]],dProduct[ProductID],dProduct[Product])</f>
        <v>Orange</v>
      </c>
      <c r="Q189">
        <f>_xlfn.XLOOKUP(fSales[[#This Row],[ProductID]],dProduct[ProductID],dProduct[CratePrice])-_xlfn.XLOOKUP(fSales[[#This Row],[ProductID]],dProduct[ProductID],dProduct[CrateCost])</f>
        <v>12.495000000000001</v>
      </c>
      <c r="R189">
        <f>_xlfn.XLOOKUP(fSales[[#This Row],[ProductID]],dProduct[ProductID],dProduct[CratePrice])</f>
        <v>29.75</v>
      </c>
      <c r="S189">
        <f>_xlfn.XLOOKUP(fSales[[#This Row],[ProductID]],dProduct[ProductID],dProduct[CrateCost])</f>
        <v>17.254999999999999</v>
      </c>
      <c r="V189" s="17" t="s">
        <v>31</v>
      </c>
      <c r="W189" s="19">
        <v>132570</v>
      </c>
      <c r="X189" s="19">
        <v>58330.799999999981</v>
      </c>
    </row>
    <row r="190" spans="7:24" x14ac:dyDescent="0.25">
      <c r="G190" s="2">
        <v>45421</v>
      </c>
      <c r="H190">
        <v>276</v>
      </c>
      <c r="I190" t="s">
        <v>21</v>
      </c>
      <c r="J190" t="s">
        <v>37</v>
      </c>
      <c r="K190">
        <f>_xlfn.XLOOKUP(fSales[[#This Row],[ProductID]],dProduct[ProductID],dProduct[CratePrice])*fSales[[#This Row],[Units]]</f>
        <v>6210</v>
      </c>
      <c r="L190">
        <f>fSales[[#This Row],[Total sales]]-_xlfn.XLOOKUP(fSales[[#This Row],[ProductID]],dProduct[ProductID],dProduct[CrateCost])*fSales[[#This Row],[Units]]</f>
        <v>2732.3999999999996</v>
      </c>
      <c r="M190">
        <f>(_xlfn.XLOOKUP(fSales[[#This Row],[ProductID]],dProduct[ProductID],dProduct[CratePrice])-_xlfn.XLOOKUP(fSales[[#This Row],[ProductID]],dProduct[ProductID],dProduct[CrateCost]))/_xlfn.XLOOKUP(fSales[[#This Row],[ProductID]],dProduct[ProductID],dProduct[CratePrice])</f>
        <v>0.43999999999999995</v>
      </c>
      <c r="N190" t="str">
        <f>_xlfn.XLOOKUP(fSales[[#This Row],[SalesRepID]],dPSalesRep[SalesRepID],dPSalesRep[SalesRep])</f>
        <v>Chantel Mims</v>
      </c>
      <c r="O190" t="str">
        <f>_xlfn.XLOOKUP(fSales[[#This Row],[SalesRepID]],dPSalesRep[SalesRepID],dPSalesRep[Region])</f>
        <v>NW</v>
      </c>
      <c r="P190" t="str">
        <f>_xlfn.XLOOKUP(fSales[[#This Row],[ProductID]],dProduct[ProductID],dProduct[Product])</f>
        <v>Kiwi</v>
      </c>
      <c r="Q190">
        <f>_xlfn.XLOOKUP(fSales[[#This Row],[ProductID]],dProduct[ProductID],dProduct[CratePrice])-_xlfn.XLOOKUP(fSales[[#This Row],[ProductID]],dProduct[ProductID],dProduct[CrateCost])</f>
        <v>9.8999999999999986</v>
      </c>
      <c r="R190">
        <f>_xlfn.XLOOKUP(fSales[[#This Row],[ProductID]],dProduct[ProductID],dProduct[CratePrice])</f>
        <v>22.5</v>
      </c>
      <c r="S190">
        <f>_xlfn.XLOOKUP(fSales[[#This Row],[ProductID]],dProduct[ProductID],dProduct[CrateCost])</f>
        <v>12.600000000000001</v>
      </c>
      <c r="V190" s="17" t="s">
        <v>27</v>
      </c>
      <c r="W190" s="19">
        <v>141372</v>
      </c>
      <c r="X190" s="19">
        <v>59376.240000000005</v>
      </c>
    </row>
    <row r="191" spans="7:24" x14ac:dyDescent="0.25">
      <c r="G191" s="2">
        <v>45422</v>
      </c>
      <c r="H191">
        <v>84</v>
      </c>
      <c r="I191" t="s">
        <v>26</v>
      </c>
      <c r="J191" t="s">
        <v>29</v>
      </c>
      <c r="K191">
        <f>_xlfn.XLOOKUP(fSales[[#This Row],[ProductID]],dProduct[ProductID],dProduct[CratePrice])*fSales[[#This Row],[Units]]</f>
        <v>2499</v>
      </c>
      <c r="L191">
        <f>fSales[[#This Row],[Total sales]]-_xlfn.XLOOKUP(fSales[[#This Row],[ProductID]],dProduct[ProductID],dProduct[CrateCost])*fSales[[#This Row],[Units]]</f>
        <v>1049.5800000000002</v>
      </c>
      <c r="M191">
        <f>(_xlfn.XLOOKUP(fSales[[#This Row],[ProductID]],dProduct[ProductID],dProduct[CratePrice])-_xlfn.XLOOKUP(fSales[[#This Row],[ProductID]],dProduct[ProductID],dProduct[CrateCost]))/_xlfn.XLOOKUP(fSales[[#This Row],[ProductID]],dProduct[ProductID],dProduct[CratePrice])</f>
        <v>0.42000000000000004</v>
      </c>
      <c r="N191" t="str">
        <f>_xlfn.XLOOKUP(fSales[[#This Row],[SalesRepID]],dPSalesRep[SalesRepID],dPSalesRep[SalesRep])</f>
        <v>Sioux Best</v>
      </c>
      <c r="O191" t="str">
        <f>_xlfn.XLOOKUP(fSales[[#This Row],[SalesRepID]],dPSalesRep[SalesRepID],dPSalesRep[Region])</f>
        <v>West</v>
      </c>
      <c r="P191" t="str">
        <f>_xlfn.XLOOKUP(fSales[[#This Row],[ProductID]],dProduct[ProductID],dProduct[Product])</f>
        <v>Orange</v>
      </c>
      <c r="Q191">
        <f>_xlfn.XLOOKUP(fSales[[#This Row],[ProductID]],dProduct[ProductID],dProduct[CratePrice])-_xlfn.XLOOKUP(fSales[[#This Row],[ProductID]],dProduct[ProductID],dProduct[CrateCost])</f>
        <v>12.495000000000001</v>
      </c>
      <c r="R191">
        <f>_xlfn.XLOOKUP(fSales[[#This Row],[ProductID]],dProduct[ProductID],dProduct[CratePrice])</f>
        <v>29.75</v>
      </c>
      <c r="S191">
        <f>_xlfn.XLOOKUP(fSales[[#This Row],[ProductID]],dProduct[ProductID],dProduct[CrateCost])</f>
        <v>17.254999999999999</v>
      </c>
      <c r="V191" s="5" t="s">
        <v>51</v>
      </c>
      <c r="W191" s="19">
        <v>1076081.3999999999</v>
      </c>
      <c r="X191" s="19">
        <v>476468.98799999995</v>
      </c>
    </row>
    <row r="192" spans="7:24" x14ac:dyDescent="0.25">
      <c r="G192" s="2">
        <v>45422</v>
      </c>
      <c r="H192">
        <v>108</v>
      </c>
      <c r="I192" t="s">
        <v>34</v>
      </c>
      <c r="J192" t="s">
        <v>32</v>
      </c>
      <c r="K192">
        <f>_xlfn.XLOOKUP(fSales[[#This Row],[ProductID]],dProduct[ProductID],dProduct[CratePrice])*fSales[[#This Row],[Units]]</f>
        <v>1890</v>
      </c>
      <c r="L192">
        <f>fSales[[#This Row],[Total sales]]-_xlfn.XLOOKUP(fSales[[#This Row],[ProductID]],dProduct[ProductID],dProduct[CrateCost])*fSales[[#This Row],[Units]]</f>
        <v>623.69999999999982</v>
      </c>
      <c r="M192">
        <f>(_xlfn.XLOOKUP(fSales[[#This Row],[ProductID]],dProduct[ProductID],dProduct[CratePrice])-_xlfn.XLOOKUP(fSales[[#This Row],[ProductID]],dProduct[ProductID],dProduct[CrateCost]))/_xlfn.XLOOKUP(fSales[[#This Row],[ProductID]],dProduct[ProductID],dProduct[CratePrice])</f>
        <v>0.3299999999999999</v>
      </c>
      <c r="N192" t="str">
        <f>_xlfn.XLOOKUP(fSales[[#This Row],[SalesRepID]],dPSalesRep[SalesRepID],dPSalesRep[SalesRep])</f>
        <v>Shihara Fazzaa</v>
      </c>
      <c r="O192" t="str">
        <f>_xlfn.XLOOKUP(fSales[[#This Row],[SalesRepID]],dPSalesRep[SalesRepID],dPSalesRep[Region])</f>
        <v>East</v>
      </c>
      <c r="P192" t="str">
        <f>_xlfn.XLOOKUP(fSales[[#This Row],[ProductID]],dProduct[ProductID],dProduct[Product])</f>
        <v>Banana</v>
      </c>
      <c r="Q192">
        <f>_xlfn.XLOOKUP(fSales[[#This Row],[ProductID]],dProduct[ProductID],dProduct[CratePrice])-_xlfn.XLOOKUP(fSales[[#This Row],[ProductID]],dProduct[ProductID],dProduct[CrateCost])</f>
        <v>5.7749999999999986</v>
      </c>
      <c r="R192">
        <f>_xlfn.XLOOKUP(fSales[[#This Row],[ProductID]],dProduct[ProductID],dProduct[CratePrice])</f>
        <v>17.5</v>
      </c>
      <c r="S192">
        <f>_xlfn.XLOOKUP(fSales[[#This Row],[ProductID]],dProduct[ProductID],dProduct[CrateCost])</f>
        <v>11.725000000000001</v>
      </c>
      <c r="V192" s="16" t="s">
        <v>50</v>
      </c>
      <c r="W192" s="19">
        <v>1076081.3999999999</v>
      </c>
      <c r="X192" s="19">
        <v>476468.98799999995</v>
      </c>
    </row>
    <row r="193" spans="7:24" x14ac:dyDescent="0.25">
      <c r="G193" s="2">
        <v>45424</v>
      </c>
      <c r="H193">
        <v>192</v>
      </c>
      <c r="I193" t="s">
        <v>19</v>
      </c>
      <c r="J193" t="s">
        <v>52</v>
      </c>
      <c r="K193">
        <f>_xlfn.XLOOKUP(fSales[[#This Row],[ProductID]],dProduct[ProductID],dProduct[CratePrice])*fSales[[#This Row],[Units]]</f>
        <v>6720</v>
      </c>
      <c r="L193">
        <f>fSales[[#This Row],[Total sales]]-_xlfn.XLOOKUP(fSales[[#This Row],[ProductID]],dProduct[ProductID],dProduct[CrateCost])*fSales[[#This Row],[Units]]</f>
        <v>3763.2</v>
      </c>
      <c r="M193">
        <f>(_xlfn.XLOOKUP(fSales[[#This Row],[ProductID]],dProduct[ProductID],dProduct[CratePrice])-_xlfn.XLOOKUP(fSales[[#This Row],[ProductID]],dProduct[ProductID],dProduct[CrateCost]))/_xlfn.XLOOKUP(fSales[[#This Row],[ProductID]],dProduct[ProductID],dProduct[CratePrice])</f>
        <v>0.56000000000000005</v>
      </c>
      <c r="N193" t="str">
        <f>_xlfn.XLOOKUP(fSales[[#This Row],[SalesRepID]],dPSalesRep[SalesRepID],dPSalesRep[SalesRep])</f>
        <v>Smitty Rad</v>
      </c>
      <c r="O193" t="str">
        <f>_xlfn.XLOOKUP(fSales[[#This Row],[SalesRepID]],dPSalesRep[SalesRepID],dPSalesRep[Region])</f>
        <v>MidWest</v>
      </c>
      <c r="P193" t="str">
        <f>_xlfn.XLOOKUP(fSales[[#This Row],[ProductID]],dProduct[ProductID],dProduct[Product])</f>
        <v>Apple</v>
      </c>
      <c r="Q193">
        <f>_xlfn.XLOOKUP(fSales[[#This Row],[ProductID]],dProduct[ProductID],dProduct[CratePrice])-_xlfn.XLOOKUP(fSales[[#This Row],[ProductID]],dProduct[ProductID],dProduct[CrateCost])</f>
        <v>19.600000000000001</v>
      </c>
      <c r="R193">
        <f>_xlfn.XLOOKUP(fSales[[#This Row],[ProductID]],dProduct[ProductID],dProduct[CratePrice])</f>
        <v>35</v>
      </c>
      <c r="S193">
        <f>_xlfn.XLOOKUP(fSales[[#This Row],[ProductID]],dProduct[ProductID],dProduct[CrateCost])</f>
        <v>15.4</v>
      </c>
      <c r="V193" s="17" t="s">
        <v>20</v>
      </c>
      <c r="W193" s="19">
        <v>216300</v>
      </c>
      <c r="X193" s="19">
        <v>121127.99999999997</v>
      </c>
    </row>
    <row r="194" spans="7:24" x14ac:dyDescent="0.25">
      <c r="G194" s="2">
        <v>45425</v>
      </c>
      <c r="H194">
        <v>180</v>
      </c>
      <c r="I194" t="s">
        <v>19</v>
      </c>
      <c r="J194" t="s">
        <v>37</v>
      </c>
      <c r="K194">
        <f>_xlfn.XLOOKUP(fSales[[#This Row],[ProductID]],dProduct[ProductID],dProduct[CratePrice])*fSales[[#This Row],[Units]]</f>
        <v>6300</v>
      </c>
      <c r="L194">
        <f>fSales[[#This Row],[Total sales]]-_xlfn.XLOOKUP(fSales[[#This Row],[ProductID]],dProduct[ProductID],dProduct[CrateCost])*fSales[[#This Row],[Units]]</f>
        <v>3528</v>
      </c>
      <c r="M194">
        <f>(_xlfn.XLOOKUP(fSales[[#This Row],[ProductID]],dProduct[ProductID],dProduct[CratePrice])-_xlfn.XLOOKUP(fSales[[#This Row],[ProductID]],dProduct[ProductID],dProduct[CrateCost]))/_xlfn.XLOOKUP(fSales[[#This Row],[ProductID]],dProduct[ProductID],dProduct[CratePrice])</f>
        <v>0.56000000000000005</v>
      </c>
      <c r="N194" t="str">
        <f>_xlfn.XLOOKUP(fSales[[#This Row],[SalesRepID]],dPSalesRep[SalesRepID],dPSalesRep[SalesRep])</f>
        <v>Chantel Mims</v>
      </c>
      <c r="O194" t="str">
        <f>_xlfn.XLOOKUP(fSales[[#This Row],[SalesRepID]],dPSalesRep[SalesRepID],dPSalesRep[Region])</f>
        <v>NW</v>
      </c>
      <c r="P194" t="str">
        <f>_xlfn.XLOOKUP(fSales[[#This Row],[ProductID]],dProduct[ProductID],dProduct[Product])</f>
        <v>Apple</v>
      </c>
      <c r="Q194">
        <f>_xlfn.XLOOKUP(fSales[[#This Row],[ProductID]],dProduct[ProductID],dProduct[CratePrice])-_xlfn.XLOOKUP(fSales[[#This Row],[ProductID]],dProduct[ProductID],dProduct[CrateCost])</f>
        <v>19.600000000000001</v>
      </c>
      <c r="R194">
        <f>_xlfn.XLOOKUP(fSales[[#This Row],[ProductID]],dProduct[ProductID],dProduct[CratePrice])</f>
        <v>35</v>
      </c>
      <c r="S194">
        <f>_xlfn.XLOOKUP(fSales[[#This Row],[ProductID]],dProduct[ProductID],dProduct[CrateCost])</f>
        <v>15.4</v>
      </c>
      <c r="V194" s="17" t="s">
        <v>35</v>
      </c>
      <c r="W194" s="19">
        <v>109620</v>
      </c>
      <c r="X194" s="19">
        <v>36174.599999999991</v>
      </c>
    </row>
    <row r="195" spans="7:24" x14ac:dyDescent="0.25">
      <c r="G195" s="2">
        <v>45425</v>
      </c>
      <c r="H195">
        <v>192</v>
      </c>
      <c r="I195" t="s">
        <v>21</v>
      </c>
      <c r="J195" t="s">
        <v>32</v>
      </c>
      <c r="K195">
        <f>_xlfn.XLOOKUP(fSales[[#This Row],[ProductID]],dProduct[ProductID],dProduct[CratePrice])*fSales[[#This Row],[Units]]</f>
        <v>4320</v>
      </c>
      <c r="L195">
        <f>fSales[[#This Row],[Total sales]]-_xlfn.XLOOKUP(fSales[[#This Row],[ProductID]],dProduct[ProductID],dProduct[CrateCost])*fSales[[#This Row],[Units]]</f>
        <v>1900.7999999999997</v>
      </c>
      <c r="M195">
        <f>(_xlfn.XLOOKUP(fSales[[#This Row],[ProductID]],dProduct[ProductID],dProduct[CratePrice])-_xlfn.XLOOKUP(fSales[[#This Row],[ProductID]],dProduct[ProductID],dProduct[CrateCost]))/_xlfn.XLOOKUP(fSales[[#This Row],[ProductID]],dProduct[ProductID],dProduct[CratePrice])</f>
        <v>0.43999999999999995</v>
      </c>
      <c r="N195" t="str">
        <f>_xlfn.XLOOKUP(fSales[[#This Row],[SalesRepID]],dPSalesRep[SalesRepID],dPSalesRep[SalesRep])</f>
        <v>Shihara Fazzaa</v>
      </c>
      <c r="O195" t="str">
        <f>_xlfn.XLOOKUP(fSales[[#This Row],[SalesRepID]],dPSalesRep[SalesRepID],dPSalesRep[Region])</f>
        <v>East</v>
      </c>
      <c r="P195" t="str">
        <f>_xlfn.XLOOKUP(fSales[[#This Row],[ProductID]],dProduct[ProductID],dProduct[Product])</f>
        <v>Kiwi</v>
      </c>
      <c r="Q195">
        <f>_xlfn.XLOOKUP(fSales[[#This Row],[ProductID]],dProduct[ProductID],dProduct[CratePrice])-_xlfn.XLOOKUP(fSales[[#This Row],[ProductID]],dProduct[ProductID],dProduct[CrateCost])</f>
        <v>9.8999999999999986</v>
      </c>
      <c r="R195">
        <f>_xlfn.XLOOKUP(fSales[[#This Row],[ProductID]],dProduct[ProductID],dProduct[CratePrice])</f>
        <v>22.5</v>
      </c>
      <c r="S195">
        <f>_xlfn.XLOOKUP(fSales[[#This Row],[ProductID]],dProduct[ProductID],dProduct[CrateCost])</f>
        <v>12.600000000000001</v>
      </c>
      <c r="V195" s="17" t="s">
        <v>36</v>
      </c>
      <c r="W195" s="19">
        <v>341384.39999999991</v>
      </c>
      <c r="X195" s="19">
        <v>143381.44800000003</v>
      </c>
    </row>
    <row r="196" spans="7:24" x14ac:dyDescent="0.25">
      <c r="G196" s="2">
        <v>45426</v>
      </c>
      <c r="H196">
        <v>72</v>
      </c>
      <c r="I196" t="s">
        <v>19</v>
      </c>
      <c r="J196" t="s">
        <v>29</v>
      </c>
      <c r="K196">
        <f>_xlfn.XLOOKUP(fSales[[#This Row],[ProductID]],dProduct[ProductID],dProduct[CratePrice])*fSales[[#This Row],[Units]]</f>
        <v>2520</v>
      </c>
      <c r="L196">
        <f>fSales[[#This Row],[Total sales]]-_xlfn.XLOOKUP(fSales[[#This Row],[ProductID]],dProduct[ProductID],dProduct[CrateCost])*fSales[[#This Row],[Units]]</f>
        <v>1411.2</v>
      </c>
      <c r="M196">
        <f>(_xlfn.XLOOKUP(fSales[[#This Row],[ProductID]],dProduct[ProductID],dProduct[CratePrice])-_xlfn.XLOOKUP(fSales[[#This Row],[ProductID]],dProduct[ProductID],dProduct[CrateCost]))/_xlfn.XLOOKUP(fSales[[#This Row],[ProductID]],dProduct[ProductID],dProduct[CratePrice])</f>
        <v>0.56000000000000005</v>
      </c>
      <c r="N196" t="str">
        <f>_xlfn.XLOOKUP(fSales[[#This Row],[SalesRepID]],dPSalesRep[SalesRepID],dPSalesRep[SalesRep])</f>
        <v>Sioux Best</v>
      </c>
      <c r="O196" t="str">
        <f>_xlfn.XLOOKUP(fSales[[#This Row],[SalesRepID]],dPSalesRep[SalesRepID],dPSalesRep[Region])</f>
        <v>West</v>
      </c>
      <c r="P196" t="str">
        <f>_xlfn.XLOOKUP(fSales[[#This Row],[ProductID]],dProduct[ProductID],dProduct[Product])</f>
        <v>Apple</v>
      </c>
      <c r="Q196">
        <f>_xlfn.XLOOKUP(fSales[[#This Row],[ProductID]],dProduct[ProductID],dProduct[CratePrice])-_xlfn.XLOOKUP(fSales[[#This Row],[ProductID]],dProduct[ProductID],dProduct[CrateCost])</f>
        <v>19.600000000000001</v>
      </c>
      <c r="R196">
        <f>_xlfn.XLOOKUP(fSales[[#This Row],[ProductID]],dProduct[ProductID],dProduct[CratePrice])</f>
        <v>35</v>
      </c>
      <c r="S196">
        <f>_xlfn.XLOOKUP(fSales[[#This Row],[ProductID]],dProduct[ProductID],dProduct[CrateCost])</f>
        <v>15.4</v>
      </c>
      <c r="V196" s="17" t="s">
        <v>31</v>
      </c>
      <c r="W196" s="19">
        <v>204930</v>
      </c>
      <c r="X196" s="19">
        <v>90169.199999999953</v>
      </c>
    </row>
    <row r="197" spans="7:24" x14ac:dyDescent="0.25">
      <c r="G197" s="2">
        <v>45426</v>
      </c>
      <c r="H197">
        <v>216</v>
      </c>
      <c r="I197" t="s">
        <v>28</v>
      </c>
      <c r="J197" t="s">
        <v>37</v>
      </c>
      <c r="K197">
        <f>_xlfn.XLOOKUP(fSales[[#This Row],[ProductID]],dProduct[ProductID],dProduct[CratePrice])*fSales[[#This Row],[Units]]</f>
        <v>9439.2000000000007</v>
      </c>
      <c r="L197">
        <f>fSales[[#This Row],[Total sales]]-_xlfn.XLOOKUP(fSales[[#This Row],[ProductID]],dProduct[ProductID],dProduct[CrateCost])*fSales[[#This Row],[Units]]</f>
        <v>3964.4640000000009</v>
      </c>
      <c r="M197">
        <f>(_xlfn.XLOOKUP(fSales[[#This Row],[ProductID]],dProduct[ProductID],dProduct[CratePrice])-_xlfn.XLOOKUP(fSales[[#This Row],[ProductID]],dProduct[ProductID],dProduct[CrateCost]))/_xlfn.XLOOKUP(fSales[[#This Row],[ProductID]],dProduct[ProductID],dProduct[CratePrice])</f>
        <v>0.42000000000000004</v>
      </c>
      <c r="N197" t="str">
        <f>_xlfn.XLOOKUP(fSales[[#This Row],[SalesRepID]],dPSalesRep[SalesRepID],dPSalesRep[SalesRep])</f>
        <v>Chantel Mims</v>
      </c>
      <c r="O197" t="str">
        <f>_xlfn.XLOOKUP(fSales[[#This Row],[SalesRepID]],dPSalesRep[SalesRepID],dPSalesRep[Region])</f>
        <v>NW</v>
      </c>
      <c r="P197" t="str">
        <f>_xlfn.XLOOKUP(fSales[[#This Row],[ProductID]],dProduct[ProductID],dProduct[Product])</f>
        <v>Cherry</v>
      </c>
      <c r="Q197">
        <f>_xlfn.XLOOKUP(fSales[[#This Row],[ProductID]],dProduct[ProductID],dProduct[CratePrice])-_xlfn.XLOOKUP(fSales[[#This Row],[ProductID]],dProduct[ProductID],dProduct[CrateCost])</f>
        <v>18.354000000000003</v>
      </c>
      <c r="R197">
        <f>_xlfn.XLOOKUP(fSales[[#This Row],[ProductID]],dProduct[ProductID],dProduct[CratePrice])</f>
        <v>43.7</v>
      </c>
      <c r="S197">
        <f>_xlfn.XLOOKUP(fSales[[#This Row],[ProductID]],dProduct[ProductID],dProduct[CrateCost])</f>
        <v>25.346</v>
      </c>
      <c r="V197" s="17" t="s">
        <v>27</v>
      </c>
      <c r="W197" s="19">
        <v>203847</v>
      </c>
      <c r="X197" s="19">
        <v>85615.739999999991</v>
      </c>
    </row>
    <row r="198" spans="7:24" x14ac:dyDescent="0.25">
      <c r="G198" s="2">
        <v>45426</v>
      </c>
      <c r="H198">
        <v>288</v>
      </c>
      <c r="I198" t="s">
        <v>26</v>
      </c>
      <c r="J198" t="s">
        <v>37</v>
      </c>
      <c r="K198">
        <f>_xlfn.XLOOKUP(fSales[[#This Row],[ProductID]],dProduct[ProductID],dProduct[CratePrice])*fSales[[#This Row],[Units]]</f>
        <v>8568</v>
      </c>
      <c r="L198">
        <f>fSales[[#This Row],[Total sales]]-_xlfn.XLOOKUP(fSales[[#This Row],[ProductID]],dProduct[ProductID],dProduct[CrateCost])*fSales[[#This Row],[Units]]</f>
        <v>3598.5600000000004</v>
      </c>
      <c r="M198">
        <f>(_xlfn.XLOOKUP(fSales[[#This Row],[ProductID]],dProduct[ProductID],dProduct[CratePrice])-_xlfn.XLOOKUP(fSales[[#This Row],[ProductID]],dProduct[ProductID],dProduct[CrateCost]))/_xlfn.XLOOKUP(fSales[[#This Row],[ProductID]],dProduct[ProductID],dProduct[CratePrice])</f>
        <v>0.42000000000000004</v>
      </c>
      <c r="N198" t="str">
        <f>_xlfn.XLOOKUP(fSales[[#This Row],[SalesRepID]],dPSalesRep[SalesRepID],dPSalesRep[SalesRep])</f>
        <v>Chantel Mims</v>
      </c>
      <c r="O198" t="str">
        <f>_xlfn.XLOOKUP(fSales[[#This Row],[SalesRepID]],dPSalesRep[SalesRepID],dPSalesRep[Region])</f>
        <v>NW</v>
      </c>
      <c r="P198" t="str">
        <f>_xlfn.XLOOKUP(fSales[[#This Row],[ProductID]],dProduct[ProductID],dProduct[Product])</f>
        <v>Orange</v>
      </c>
      <c r="Q198">
        <f>_xlfn.XLOOKUP(fSales[[#This Row],[ProductID]],dProduct[ProductID],dProduct[CratePrice])-_xlfn.XLOOKUP(fSales[[#This Row],[ProductID]],dProduct[ProductID],dProduct[CrateCost])</f>
        <v>12.495000000000001</v>
      </c>
      <c r="R198">
        <f>_xlfn.XLOOKUP(fSales[[#This Row],[ProductID]],dProduct[ProductID],dProduct[CratePrice])</f>
        <v>29.75</v>
      </c>
      <c r="S198">
        <f>_xlfn.XLOOKUP(fSales[[#This Row],[ProductID]],dProduct[ProductID],dProduct[CrateCost])</f>
        <v>17.254999999999999</v>
      </c>
      <c r="V198" s="5" t="s">
        <v>55</v>
      </c>
      <c r="W198" s="19">
        <v>5169178.1999999993</v>
      </c>
      <c r="X198" s="19">
        <v>2314346.8440000005</v>
      </c>
    </row>
    <row r="199" spans="7:24" x14ac:dyDescent="0.25">
      <c r="G199" s="2">
        <v>45426</v>
      </c>
      <c r="H199">
        <v>252</v>
      </c>
      <c r="I199" t="s">
        <v>21</v>
      </c>
      <c r="J199" t="s">
        <v>52</v>
      </c>
      <c r="K199">
        <f>_xlfn.XLOOKUP(fSales[[#This Row],[ProductID]],dProduct[ProductID],dProduct[CratePrice])*fSales[[#This Row],[Units]]</f>
        <v>5670</v>
      </c>
      <c r="L199">
        <f>fSales[[#This Row],[Total sales]]-_xlfn.XLOOKUP(fSales[[#This Row],[ProductID]],dProduct[ProductID],dProduct[CrateCost])*fSales[[#This Row],[Units]]</f>
        <v>2494.7999999999997</v>
      </c>
      <c r="M199">
        <f>(_xlfn.XLOOKUP(fSales[[#This Row],[ProductID]],dProduct[ProductID],dProduct[CratePrice])-_xlfn.XLOOKUP(fSales[[#This Row],[ProductID]],dProduct[ProductID],dProduct[CrateCost]))/_xlfn.XLOOKUP(fSales[[#This Row],[ProductID]],dProduct[ProductID],dProduct[CratePrice])</f>
        <v>0.43999999999999995</v>
      </c>
      <c r="N199" t="str">
        <f>_xlfn.XLOOKUP(fSales[[#This Row],[SalesRepID]],dPSalesRep[SalesRepID],dPSalesRep[SalesRep])</f>
        <v>Smitty Rad</v>
      </c>
      <c r="O199" t="str">
        <f>_xlfn.XLOOKUP(fSales[[#This Row],[SalesRepID]],dPSalesRep[SalesRepID],dPSalesRep[Region])</f>
        <v>MidWest</v>
      </c>
      <c r="P199" t="str">
        <f>_xlfn.XLOOKUP(fSales[[#This Row],[ProductID]],dProduct[ProductID],dProduct[Product])</f>
        <v>Kiwi</v>
      </c>
      <c r="Q199">
        <f>_xlfn.XLOOKUP(fSales[[#This Row],[ProductID]],dProduct[ProductID],dProduct[CratePrice])-_xlfn.XLOOKUP(fSales[[#This Row],[ProductID]],dProduct[ProductID],dProduct[CrateCost])</f>
        <v>9.8999999999999986</v>
      </c>
      <c r="R199">
        <f>_xlfn.XLOOKUP(fSales[[#This Row],[ProductID]],dProduct[ProductID],dProduct[CratePrice])</f>
        <v>22.5</v>
      </c>
      <c r="S199">
        <f>_xlfn.XLOOKUP(fSales[[#This Row],[ProductID]],dProduct[ProductID],dProduct[CrateCost])</f>
        <v>12.600000000000001</v>
      </c>
    </row>
    <row r="200" spans="7:24" x14ac:dyDescent="0.25">
      <c r="G200" s="2">
        <v>45426</v>
      </c>
      <c r="H200">
        <v>276</v>
      </c>
      <c r="I200" t="s">
        <v>19</v>
      </c>
      <c r="J200" t="s">
        <v>37</v>
      </c>
      <c r="K200">
        <f>_xlfn.XLOOKUP(fSales[[#This Row],[ProductID]],dProduct[ProductID],dProduct[CratePrice])*fSales[[#This Row],[Units]]</f>
        <v>9660</v>
      </c>
      <c r="L200">
        <f>fSales[[#This Row],[Total sales]]-_xlfn.XLOOKUP(fSales[[#This Row],[ProductID]],dProduct[ProductID],dProduct[CrateCost])*fSales[[#This Row],[Units]]</f>
        <v>5409.5999999999995</v>
      </c>
      <c r="M200">
        <f>(_xlfn.XLOOKUP(fSales[[#This Row],[ProductID]],dProduct[ProductID],dProduct[CratePrice])-_xlfn.XLOOKUP(fSales[[#This Row],[ProductID]],dProduct[ProductID],dProduct[CrateCost]))/_xlfn.XLOOKUP(fSales[[#This Row],[ProductID]],dProduct[ProductID],dProduct[CratePrice])</f>
        <v>0.56000000000000005</v>
      </c>
      <c r="N200" t="str">
        <f>_xlfn.XLOOKUP(fSales[[#This Row],[SalesRepID]],dPSalesRep[SalesRepID],dPSalesRep[SalesRep])</f>
        <v>Chantel Mims</v>
      </c>
      <c r="O200" t="str">
        <f>_xlfn.XLOOKUP(fSales[[#This Row],[SalesRepID]],dPSalesRep[SalesRepID],dPSalesRep[Region])</f>
        <v>NW</v>
      </c>
      <c r="P200" t="str">
        <f>_xlfn.XLOOKUP(fSales[[#This Row],[ProductID]],dProduct[ProductID],dProduct[Product])</f>
        <v>Apple</v>
      </c>
      <c r="Q200">
        <f>_xlfn.XLOOKUP(fSales[[#This Row],[ProductID]],dProduct[ProductID],dProduct[CratePrice])-_xlfn.XLOOKUP(fSales[[#This Row],[ProductID]],dProduct[ProductID],dProduct[CrateCost])</f>
        <v>19.600000000000001</v>
      </c>
      <c r="R200">
        <f>_xlfn.XLOOKUP(fSales[[#This Row],[ProductID]],dProduct[ProductID],dProduct[CratePrice])</f>
        <v>35</v>
      </c>
      <c r="S200">
        <f>_xlfn.XLOOKUP(fSales[[#This Row],[ProductID]],dProduct[ProductID],dProduct[CrateCost])</f>
        <v>15.4</v>
      </c>
    </row>
    <row r="201" spans="7:24" x14ac:dyDescent="0.25">
      <c r="G201" s="2">
        <v>45427</v>
      </c>
      <c r="H201">
        <v>216</v>
      </c>
      <c r="I201" t="s">
        <v>28</v>
      </c>
      <c r="J201" t="s">
        <v>52</v>
      </c>
      <c r="K201">
        <f>_xlfn.XLOOKUP(fSales[[#This Row],[ProductID]],dProduct[ProductID],dProduct[CratePrice])*fSales[[#This Row],[Units]]</f>
        <v>9439.2000000000007</v>
      </c>
      <c r="L201">
        <f>fSales[[#This Row],[Total sales]]-_xlfn.XLOOKUP(fSales[[#This Row],[ProductID]],dProduct[ProductID],dProduct[CrateCost])*fSales[[#This Row],[Units]]</f>
        <v>3964.4640000000009</v>
      </c>
      <c r="M201">
        <f>(_xlfn.XLOOKUP(fSales[[#This Row],[ProductID]],dProduct[ProductID],dProduct[CratePrice])-_xlfn.XLOOKUP(fSales[[#This Row],[ProductID]],dProduct[ProductID],dProduct[CrateCost]))/_xlfn.XLOOKUP(fSales[[#This Row],[ProductID]],dProduct[ProductID],dProduct[CratePrice])</f>
        <v>0.42000000000000004</v>
      </c>
      <c r="N201" t="str">
        <f>_xlfn.XLOOKUP(fSales[[#This Row],[SalesRepID]],dPSalesRep[SalesRepID],dPSalesRep[SalesRep])</f>
        <v>Smitty Rad</v>
      </c>
      <c r="O201" t="str">
        <f>_xlfn.XLOOKUP(fSales[[#This Row],[SalesRepID]],dPSalesRep[SalesRepID],dPSalesRep[Region])</f>
        <v>MidWest</v>
      </c>
      <c r="P201" t="str">
        <f>_xlfn.XLOOKUP(fSales[[#This Row],[ProductID]],dProduct[ProductID],dProduct[Product])</f>
        <v>Cherry</v>
      </c>
      <c r="Q201">
        <f>_xlfn.XLOOKUP(fSales[[#This Row],[ProductID]],dProduct[ProductID],dProduct[CratePrice])-_xlfn.XLOOKUP(fSales[[#This Row],[ProductID]],dProduct[ProductID],dProduct[CrateCost])</f>
        <v>18.354000000000003</v>
      </c>
      <c r="R201">
        <f>_xlfn.XLOOKUP(fSales[[#This Row],[ProductID]],dProduct[ProductID],dProduct[CratePrice])</f>
        <v>43.7</v>
      </c>
      <c r="S201">
        <f>_xlfn.XLOOKUP(fSales[[#This Row],[ProductID]],dProduct[ProductID],dProduct[CrateCost])</f>
        <v>25.346</v>
      </c>
    </row>
    <row r="202" spans="7:24" x14ac:dyDescent="0.25">
      <c r="G202" s="2">
        <v>45428</v>
      </c>
      <c r="H202">
        <v>24</v>
      </c>
      <c r="I202" t="s">
        <v>26</v>
      </c>
      <c r="J202" t="s">
        <v>29</v>
      </c>
      <c r="K202">
        <f>_xlfn.XLOOKUP(fSales[[#This Row],[ProductID]],dProduct[ProductID],dProduct[CratePrice])*fSales[[#This Row],[Units]]</f>
        <v>714</v>
      </c>
      <c r="L202">
        <f>fSales[[#This Row],[Total sales]]-_xlfn.XLOOKUP(fSales[[#This Row],[ProductID]],dProduct[ProductID],dProduct[CrateCost])*fSales[[#This Row],[Units]]</f>
        <v>299.88</v>
      </c>
      <c r="M202">
        <f>(_xlfn.XLOOKUP(fSales[[#This Row],[ProductID]],dProduct[ProductID],dProduct[CratePrice])-_xlfn.XLOOKUP(fSales[[#This Row],[ProductID]],dProduct[ProductID],dProduct[CrateCost]))/_xlfn.XLOOKUP(fSales[[#This Row],[ProductID]],dProduct[ProductID],dProduct[CratePrice])</f>
        <v>0.42000000000000004</v>
      </c>
      <c r="N202" t="str">
        <f>_xlfn.XLOOKUP(fSales[[#This Row],[SalesRepID]],dPSalesRep[SalesRepID],dPSalesRep[SalesRep])</f>
        <v>Sioux Best</v>
      </c>
      <c r="O202" t="str">
        <f>_xlfn.XLOOKUP(fSales[[#This Row],[SalesRepID]],dPSalesRep[SalesRepID],dPSalesRep[Region])</f>
        <v>West</v>
      </c>
      <c r="P202" t="str">
        <f>_xlfn.XLOOKUP(fSales[[#This Row],[ProductID]],dProduct[ProductID],dProduct[Product])</f>
        <v>Orange</v>
      </c>
      <c r="Q202">
        <f>_xlfn.XLOOKUP(fSales[[#This Row],[ProductID]],dProduct[ProductID],dProduct[CratePrice])-_xlfn.XLOOKUP(fSales[[#This Row],[ProductID]],dProduct[ProductID],dProduct[CrateCost])</f>
        <v>12.495000000000001</v>
      </c>
      <c r="R202">
        <f>_xlfn.XLOOKUP(fSales[[#This Row],[ProductID]],dProduct[ProductID],dProduct[CratePrice])</f>
        <v>29.75</v>
      </c>
      <c r="S202">
        <f>_xlfn.XLOOKUP(fSales[[#This Row],[ProductID]],dProduct[ProductID],dProduct[CrateCost])</f>
        <v>17.254999999999999</v>
      </c>
    </row>
    <row r="203" spans="7:24" x14ac:dyDescent="0.25">
      <c r="G203" s="2">
        <v>45429</v>
      </c>
      <c r="H203">
        <v>120</v>
      </c>
      <c r="I203" t="s">
        <v>26</v>
      </c>
      <c r="J203" t="s">
        <v>32</v>
      </c>
      <c r="K203">
        <f>_xlfn.XLOOKUP(fSales[[#This Row],[ProductID]],dProduct[ProductID],dProduct[CratePrice])*fSales[[#This Row],[Units]]</f>
        <v>3570</v>
      </c>
      <c r="L203">
        <f>fSales[[#This Row],[Total sales]]-_xlfn.XLOOKUP(fSales[[#This Row],[ProductID]],dProduct[ProductID],dProduct[CrateCost])*fSales[[#This Row],[Units]]</f>
        <v>1499.4</v>
      </c>
      <c r="M203">
        <f>(_xlfn.XLOOKUP(fSales[[#This Row],[ProductID]],dProduct[ProductID],dProduct[CratePrice])-_xlfn.XLOOKUP(fSales[[#This Row],[ProductID]],dProduct[ProductID],dProduct[CrateCost]))/_xlfn.XLOOKUP(fSales[[#This Row],[ProductID]],dProduct[ProductID],dProduct[CratePrice])</f>
        <v>0.42000000000000004</v>
      </c>
      <c r="N203" t="str">
        <f>_xlfn.XLOOKUP(fSales[[#This Row],[SalesRepID]],dPSalesRep[SalesRepID],dPSalesRep[SalesRep])</f>
        <v>Shihara Fazzaa</v>
      </c>
      <c r="O203" t="str">
        <f>_xlfn.XLOOKUP(fSales[[#This Row],[SalesRepID]],dPSalesRep[SalesRepID],dPSalesRep[Region])</f>
        <v>East</v>
      </c>
      <c r="P203" t="str">
        <f>_xlfn.XLOOKUP(fSales[[#This Row],[ProductID]],dProduct[ProductID],dProduct[Product])</f>
        <v>Orange</v>
      </c>
      <c r="Q203">
        <f>_xlfn.XLOOKUP(fSales[[#This Row],[ProductID]],dProduct[ProductID],dProduct[CratePrice])-_xlfn.XLOOKUP(fSales[[#This Row],[ProductID]],dProduct[ProductID],dProduct[CrateCost])</f>
        <v>12.495000000000001</v>
      </c>
      <c r="R203">
        <f>_xlfn.XLOOKUP(fSales[[#This Row],[ProductID]],dProduct[ProductID],dProduct[CratePrice])</f>
        <v>29.75</v>
      </c>
      <c r="S203">
        <f>_xlfn.XLOOKUP(fSales[[#This Row],[ProductID]],dProduct[ProductID],dProduct[CrateCost])</f>
        <v>17.254999999999999</v>
      </c>
    </row>
    <row r="204" spans="7:24" x14ac:dyDescent="0.25">
      <c r="G204" s="2">
        <v>45430</v>
      </c>
      <c r="H204">
        <v>120</v>
      </c>
      <c r="I204" t="s">
        <v>28</v>
      </c>
      <c r="J204" t="s">
        <v>32</v>
      </c>
      <c r="K204">
        <f>_xlfn.XLOOKUP(fSales[[#This Row],[ProductID]],dProduct[ProductID],dProduct[CratePrice])*fSales[[#This Row],[Units]]</f>
        <v>5244</v>
      </c>
      <c r="L204">
        <f>fSales[[#This Row],[Total sales]]-_xlfn.XLOOKUP(fSales[[#This Row],[ProductID]],dProduct[ProductID],dProduct[CrateCost])*fSales[[#This Row],[Units]]</f>
        <v>2202.48</v>
      </c>
      <c r="M204">
        <f>(_xlfn.XLOOKUP(fSales[[#This Row],[ProductID]],dProduct[ProductID],dProduct[CratePrice])-_xlfn.XLOOKUP(fSales[[#This Row],[ProductID]],dProduct[ProductID],dProduct[CrateCost]))/_xlfn.XLOOKUP(fSales[[#This Row],[ProductID]],dProduct[ProductID],dProduct[CratePrice])</f>
        <v>0.42000000000000004</v>
      </c>
      <c r="N204" t="str">
        <f>_xlfn.XLOOKUP(fSales[[#This Row],[SalesRepID]],dPSalesRep[SalesRepID],dPSalesRep[SalesRep])</f>
        <v>Shihara Fazzaa</v>
      </c>
      <c r="O204" t="str">
        <f>_xlfn.XLOOKUP(fSales[[#This Row],[SalesRepID]],dPSalesRep[SalesRepID],dPSalesRep[Region])</f>
        <v>East</v>
      </c>
      <c r="P204" t="str">
        <f>_xlfn.XLOOKUP(fSales[[#This Row],[ProductID]],dProduct[ProductID],dProduct[Product])</f>
        <v>Cherry</v>
      </c>
      <c r="Q204">
        <f>_xlfn.XLOOKUP(fSales[[#This Row],[ProductID]],dProduct[ProductID],dProduct[CratePrice])-_xlfn.XLOOKUP(fSales[[#This Row],[ProductID]],dProduct[ProductID],dProduct[CrateCost])</f>
        <v>18.354000000000003</v>
      </c>
      <c r="R204">
        <f>_xlfn.XLOOKUP(fSales[[#This Row],[ProductID]],dProduct[ProductID],dProduct[CratePrice])</f>
        <v>43.7</v>
      </c>
      <c r="S204">
        <f>_xlfn.XLOOKUP(fSales[[#This Row],[ProductID]],dProduct[ProductID],dProduct[CrateCost])</f>
        <v>25.346</v>
      </c>
    </row>
    <row r="205" spans="7:24" x14ac:dyDescent="0.25">
      <c r="G205" s="2">
        <v>45433</v>
      </c>
      <c r="H205">
        <v>132</v>
      </c>
      <c r="I205" t="s">
        <v>28</v>
      </c>
      <c r="J205" t="s">
        <v>52</v>
      </c>
      <c r="K205">
        <f>_xlfn.XLOOKUP(fSales[[#This Row],[ProductID]],dProduct[ProductID],dProduct[CratePrice])*fSales[[#This Row],[Units]]</f>
        <v>5768.4000000000005</v>
      </c>
      <c r="L205">
        <f>fSales[[#This Row],[Total sales]]-_xlfn.XLOOKUP(fSales[[#This Row],[ProductID]],dProduct[ProductID],dProduct[CrateCost])*fSales[[#This Row],[Units]]</f>
        <v>2422.7280000000005</v>
      </c>
      <c r="M205">
        <f>(_xlfn.XLOOKUP(fSales[[#This Row],[ProductID]],dProduct[ProductID],dProduct[CratePrice])-_xlfn.XLOOKUP(fSales[[#This Row],[ProductID]],dProduct[ProductID],dProduct[CrateCost]))/_xlfn.XLOOKUP(fSales[[#This Row],[ProductID]],dProduct[ProductID],dProduct[CratePrice])</f>
        <v>0.42000000000000004</v>
      </c>
      <c r="N205" t="str">
        <f>_xlfn.XLOOKUP(fSales[[#This Row],[SalesRepID]],dPSalesRep[SalesRepID],dPSalesRep[SalesRep])</f>
        <v>Smitty Rad</v>
      </c>
      <c r="O205" t="str">
        <f>_xlfn.XLOOKUP(fSales[[#This Row],[SalesRepID]],dPSalesRep[SalesRepID],dPSalesRep[Region])</f>
        <v>MidWest</v>
      </c>
      <c r="P205" t="str">
        <f>_xlfn.XLOOKUP(fSales[[#This Row],[ProductID]],dProduct[ProductID],dProduct[Product])</f>
        <v>Cherry</v>
      </c>
      <c r="Q205">
        <f>_xlfn.XLOOKUP(fSales[[#This Row],[ProductID]],dProduct[ProductID],dProduct[CratePrice])-_xlfn.XLOOKUP(fSales[[#This Row],[ProductID]],dProduct[ProductID],dProduct[CrateCost])</f>
        <v>18.354000000000003</v>
      </c>
      <c r="R205">
        <f>_xlfn.XLOOKUP(fSales[[#This Row],[ProductID]],dProduct[ProductID],dProduct[CratePrice])</f>
        <v>43.7</v>
      </c>
      <c r="S205">
        <f>_xlfn.XLOOKUP(fSales[[#This Row],[ProductID]],dProduct[ProductID],dProduct[CrateCost])</f>
        <v>25.346</v>
      </c>
    </row>
    <row r="206" spans="7:24" x14ac:dyDescent="0.25">
      <c r="G206" s="2">
        <v>45437</v>
      </c>
      <c r="H206">
        <v>156</v>
      </c>
      <c r="I206" t="s">
        <v>28</v>
      </c>
      <c r="J206" t="s">
        <v>22</v>
      </c>
      <c r="K206">
        <f>_xlfn.XLOOKUP(fSales[[#This Row],[ProductID]],dProduct[ProductID],dProduct[CratePrice])*fSales[[#This Row],[Units]]</f>
        <v>6817.2000000000007</v>
      </c>
      <c r="L206">
        <f>fSales[[#This Row],[Total sales]]-_xlfn.XLOOKUP(fSales[[#This Row],[ProductID]],dProduct[ProductID],dProduct[CrateCost])*fSales[[#This Row],[Units]]</f>
        <v>2863.2240000000006</v>
      </c>
      <c r="M206">
        <f>(_xlfn.XLOOKUP(fSales[[#This Row],[ProductID]],dProduct[ProductID],dProduct[CratePrice])-_xlfn.XLOOKUP(fSales[[#This Row],[ProductID]],dProduct[ProductID],dProduct[CrateCost]))/_xlfn.XLOOKUP(fSales[[#This Row],[ProductID]],dProduct[ProductID],dProduct[CratePrice])</f>
        <v>0.42000000000000004</v>
      </c>
      <c r="N206" t="str">
        <f>_xlfn.XLOOKUP(fSales[[#This Row],[SalesRepID]],dPSalesRep[SalesRepID],dPSalesRep[SalesRep])</f>
        <v>Timmy Kips</v>
      </c>
      <c r="O206" t="str">
        <f>_xlfn.XLOOKUP(fSales[[#This Row],[SalesRepID]],dPSalesRep[SalesRepID],dPSalesRep[Region])</f>
        <v>East</v>
      </c>
      <c r="P206" t="str">
        <f>_xlfn.XLOOKUP(fSales[[#This Row],[ProductID]],dProduct[ProductID],dProduct[Product])</f>
        <v>Cherry</v>
      </c>
      <c r="Q206">
        <f>_xlfn.XLOOKUP(fSales[[#This Row],[ProductID]],dProduct[ProductID],dProduct[CratePrice])-_xlfn.XLOOKUP(fSales[[#This Row],[ProductID]],dProduct[ProductID],dProduct[CrateCost])</f>
        <v>18.354000000000003</v>
      </c>
      <c r="R206">
        <f>_xlfn.XLOOKUP(fSales[[#This Row],[ProductID]],dProduct[ProductID],dProduct[CratePrice])</f>
        <v>43.7</v>
      </c>
      <c r="S206">
        <f>_xlfn.XLOOKUP(fSales[[#This Row],[ProductID]],dProduct[ProductID],dProduct[CrateCost])</f>
        <v>25.346</v>
      </c>
    </row>
    <row r="207" spans="7:24" x14ac:dyDescent="0.25">
      <c r="G207" s="2">
        <v>45437</v>
      </c>
      <c r="H207">
        <v>144</v>
      </c>
      <c r="I207" t="s">
        <v>21</v>
      </c>
      <c r="J207" t="s">
        <v>32</v>
      </c>
      <c r="K207">
        <f>_xlfn.XLOOKUP(fSales[[#This Row],[ProductID]],dProduct[ProductID],dProduct[CratePrice])*fSales[[#This Row],[Units]]</f>
        <v>3240</v>
      </c>
      <c r="L207">
        <f>fSales[[#This Row],[Total sales]]-_xlfn.XLOOKUP(fSales[[#This Row],[ProductID]],dProduct[ProductID],dProduct[CrateCost])*fSales[[#This Row],[Units]]</f>
        <v>1425.6</v>
      </c>
      <c r="M207">
        <f>(_xlfn.XLOOKUP(fSales[[#This Row],[ProductID]],dProduct[ProductID],dProduct[CratePrice])-_xlfn.XLOOKUP(fSales[[#This Row],[ProductID]],dProduct[ProductID],dProduct[CrateCost]))/_xlfn.XLOOKUP(fSales[[#This Row],[ProductID]],dProduct[ProductID],dProduct[CratePrice])</f>
        <v>0.43999999999999995</v>
      </c>
      <c r="N207" t="str">
        <f>_xlfn.XLOOKUP(fSales[[#This Row],[SalesRepID]],dPSalesRep[SalesRepID],dPSalesRep[SalesRep])</f>
        <v>Shihara Fazzaa</v>
      </c>
      <c r="O207" t="str">
        <f>_xlfn.XLOOKUP(fSales[[#This Row],[SalesRepID]],dPSalesRep[SalesRepID],dPSalesRep[Region])</f>
        <v>East</v>
      </c>
      <c r="P207" t="str">
        <f>_xlfn.XLOOKUP(fSales[[#This Row],[ProductID]],dProduct[ProductID],dProduct[Product])</f>
        <v>Kiwi</v>
      </c>
      <c r="Q207">
        <f>_xlfn.XLOOKUP(fSales[[#This Row],[ProductID]],dProduct[ProductID],dProduct[CratePrice])-_xlfn.XLOOKUP(fSales[[#This Row],[ProductID]],dProduct[ProductID],dProduct[CrateCost])</f>
        <v>9.8999999999999986</v>
      </c>
      <c r="R207">
        <f>_xlfn.XLOOKUP(fSales[[#This Row],[ProductID]],dProduct[ProductID],dProduct[CratePrice])</f>
        <v>22.5</v>
      </c>
      <c r="S207">
        <f>_xlfn.XLOOKUP(fSales[[#This Row],[ProductID]],dProduct[ProductID],dProduct[CrateCost])</f>
        <v>12.600000000000001</v>
      </c>
    </row>
    <row r="208" spans="7:24" x14ac:dyDescent="0.25">
      <c r="G208" s="2">
        <v>45438</v>
      </c>
      <c r="H208">
        <v>156</v>
      </c>
      <c r="I208" t="s">
        <v>21</v>
      </c>
      <c r="J208" t="s">
        <v>52</v>
      </c>
      <c r="K208">
        <f>_xlfn.XLOOKUP(fSales[[#This Row],[ProductID]],dProduct[ProductID],dProduct[CratePrice])*fSales[[#This Row],[Units]]</f>
        <v>3510</v>
      </c>
      <c r="L208">
        <f>fSales[[#This Row],[Total sales]]-_xlfn.XLOOKUP(fSales[[#This Row],[ProductID]],dProduct[ProductID],dProduct[CrateCost])*fSales[[#This Row],[Units]]</f>
        <v>1544.3999999999999</v>
      </c>
      <c r="M208">
        <f>(_xlfn.XLOOKUP(fSales[[#This Row],[ProductID]],dProduct[ProductID],dProduct[CratePrice])-_xlfn.XLOOKUP(fSales[[#This Row],[ProductID]],dProduct[ProductID],dProduct[CrateCost]))/_xlfn.XLOOKUP(fSales[[#This Row],[ProductID]],dProduct[ProductID],dProduct[CratePrice])</f>
        <v>0.43999999999999995</v>
      </c>
      <c r="N208" t="str">
        <f>_xlfn.XLOOKUP(fSales[[#This Row],[SalesRepID]],dPSalesRep[SalesRepID],dPSalesRep[SalesRep])</f>
        <v>Smitty Rad</v>
      </c>
      <c r="O208" t="str">
        <f>_xlfn.XLOOKUP(fSales[[#This Row],[SalesRepID]],dPSalesRep[SalesRepID],dPSalesRep[Region])</f>
        <v>MidWest</v>
      </c>
      <c r="P208" t="str">
        <f>_xlfn.XLOOKUP(fSales[[#This Row],[ProductID]],dProduct[ProductID],dProduct[Product])</f>
        <v>Kiwi</v>
      </c>
      <c r="Q208">
        <f>_xlfn.XLOOKUP(fSales[[#This Row],[ProductID]],dProduct[ProductID],dProduct[CratePrice])-_xlfn.XLOOKUP(fSales[[#This Row],[ProductID]],dProduct[ProductID],dProduct[CrateCost])</f>
        <v>9.8999999999999986</v>
      </c>
      <c r="R208">
        <f>_xlfn.XLOOKUP(fSales[[#This Row],[ProductID]],dProduct[ProductID],dProduct[CratePrice])</f>
        <v>22.5</v>
      </c>
      <c r="S208">
        <f>_xlfn.XLOOKUP(fSales[[#This Row],[ProductID]],dProduct[ProductID],dProduct[CrateCost])</f>
        <v>12.600000000000001</v>
      </c>
    </row>
    <row r="209" spans="7:19" x14ac:dyDescent="0.25">
      <c r="G209" s="2">
        <v>45440</v>
      </c>
      <c r="H209">
        <v>204</v>
      </c>
      <c r="I209" t="s">
        <v>21</v>
      </c>
      <c r="J209" t="s">
        <v>52</v>
      </c>
      <c r="K209">
        <f>_xlfn.XLOOKUP(fSales[[#This Row],[ProductID]],dProduct[ProductID],dProduct[CratePrice])*fSales[[#This Row],[Units]]</f>
        <v>4590</v>
      </c>
      <c r="L209">
        <f>fSales[[#This Row],[Total sales]]-_xlfn.XLOOKUP(fSales[[#This Row],[ProductID]],dProduct[ProductID],dProduct[CrateCost])*fSales[[#This Row],[Units]]</f>
        <v>2019.6</v>
      </c>
      <c r="M209">
        <f>(_xlfn.XLOOKUP(fSales[[#This Row],[ProductID]],dProduct[ProductID],dProduct[CratePrice])-_xlfn.XLOOKUP(fSales[[#This Row],[ProductID]],dProduct[ProductID],dProduct[CrateCost]))/_xlfn.XLOOKUP(fSales[[#This Row],[ProductID]],dProduct[ProductID],dProduct[CratePrice])</f>
        <v>0.43999999999999995</v>
      </c>
      <c r="N209" t="str">
        <f>_xlfn.XLOOKUP(fSales[[#This Row],[SalesRepID]],dPSalesRep[SalesRepID],dPSalesRep[SalesRep])</f>
        <v>Smitty Rad</v>
      </c>
      <c r="O209" t="str">
        <f>_xlfn.XLOOKUP(fSales[[#This Row],[SalesRepID]],dPSalesRep[SalesRepID],dPSalesRep[Region])</f>
        <v>MidWest</v>
      </c>
      <c r="P209" t="str">
        <f>_xlfn.XLOOKUP(fSales[[#This Row],[ProductID]],dProduct[ProductID],dProduct[Product])</f>
        <v>Kiwi</v>
      </c>
      <c r="Q209">
        <f>_xlfn.XLOOKUP(fSales[[#This Row],[ProductID]],dProduct[ProductID],dProduct[CratePrice])-_xlfn.XLOOKUP(fSales[[#This Row],[ProductID]],dProduct[ProductID],dProduct[CrateCost])</f>
        <v>9.8999999999999986</v>
      </c>
      <c r="R209">
        <f>_xlfn.XLOOKUP(fSales[[#This Row],[ProductID]],dProduct[ProductID],dProduct[CratePrice])</f>
        <v>22.5</v>
      </c>
      <c r="S209">
        <f>_xlfn.XLOOKUP(fSales[[#This Row],[ProductID]],dProduct[ProductID],dProduct[CrateCost])</f>
        <v>12.600000000000001</v>
      </c>
    </row>
    <row r="210" spans="7:19" x14ac:dyDescent="0.25">
      <c r="G210" s="2">
        <v>45440</v>
      </c>
      <c r="H210">
        <v>288</v>
      </c>
      <c r="I210" t="s">
        <v>21</v>
      </c>
      <c r="J210" t="s">
        <v>32</v>
      </c>
      <c r="K210">
        <f>_xlfn.XLOOKUP(fSales[[#This Row],[ProductID]],dProduct[ProductID],dProduct[CratePrice])*fSales[[#This Row],[Units]]</f>
        <v>6480</v>
      </c>
      <c r="L210">
        <f>fSales[[#This Row],[Total sales]]-_xlfn.XLOOKUP(fSales[[#This Row],[ProductID]],dProduct[ProductID],dProduct[CrateCost])*fSales[[#This Row],[Units]]</f>
        <v>2851.2</v>
      </c>
      <c r="M210">
        <f>(_xlfn.XLOOKUP(fSales[[#This Row],[ProductID]],dProduct[ProductID],dProduct[CratePrice])-_xlfn.XLOOKUP(fSales[[#This Row],[ProductID]],dProduct[ProductID],dProduct[CrateCost]))/_xlfn.XLOOKUP(fSales[[#This Row],[ProductID]],dProduct[ProductID],dProduct[CratePrice])</f>
        <v>0.43999999999999995</v>
      </c>
      <c r="N210" t="str">
        <f>_xlfn.XLOOKUP(fSales[[#This Row],[SalesRepID]],dPSalesRep[SalesRepID],dPSalesRep[SalesRep])</f>
        <v>Shihara Fazzaa</v>
      </c>
      <c r="O210" t="str">
        <f>_xlfn.XLOOKUP(fSales[[#This Row],[SalesRepID]],dPSalesRep[SalesRepID],dPSalesRep[Region])</f>
        <v>East</v>
      </c>
      <c r="P210" t="str">
        <f>_xlfn.XLOOKUP(fSales[[#This Row],[ProductID]],dProduct[ProductID],dProduct[Product])</f>
        <v>Kiwi</v>
      </c>
      <c r="Q210">
        <f>_xlfn.XLOOKUP(fSales[[#This Row],[ProductID]],dProduct[ProductID],dProduct[CratePrice])-_xlfn.XLOOKUP(fSales[[#This Row],[ProductID]],dProduct[ProductID],dProduct[CrateCost])</f>
        <v>9.8999999999999986</v>
      </c>
      <c r="R210">
        <f>_xlfn.XLOOKUP(fSales[[#This Row],[ProductID]],dProduct[ProductID],dProduct[CratePrice])</f>
        <v>22.5</v>
      </c>
      <c r="S210">
        <f>_xlfn.XLOOKUP(fSales[[#This Row],[ProductID]],dProduct[ProductID],dProduct[CrateCost])</f>
        <v>12.600000000000001</v>
      </c>
    </row>
    <row r="211" spans="7:19" x14ac:dyDescent="0.25">
      <c r="G211" s="2">
        <v>45440</v>
      </c>
      <c r="H211">
        <v>48</v>
      </c>
      <c r="I211" t="s">
        <v>28</v>
      </c>
      <c r="J211" t="s">
        <v>29</v>
      </c>
      <c r="K211">
        <f>_xlfn.XLOOKUP(fSales[[#This Row],[ProductID]],dProduct[ProductID],dProduct[CratePrice])*fSales[[#This Row],[Units]]</f>
        <v>2097.6000000000004</v>
      </c>
      <c r="L211">
        <f>fSales[[#This Row],[Total sales]]-_xlfn.XLOOKUP(fSales[[#This Row],[ProductID]],dProduct[ProductID],dProduct[CrateCost])*fSales[[#This Row],[Units]]</f>
        <v>880.99200000000042</v>
      </c>
      <c r="M211">
        <f>(_xlfn.XLOOKUP(fSales[[#This Row],[ProductID]],dProduct[ProductID],dProduct[CratePrice])-_xlfn.XLOOKUP(fSales[[#This Row],[ProductID]],dProduct[ProductID],dProduct[CrateCost]))/_xlfn.XLOOKUP(fSales[[#This Row],[ProductID]],dProduct[ProductID],dProduct[CratePrice])</f>
        <v>0.42000000000000004</v>
      </c>
      <c r="N211" t="str">
        <f>_xlfn.XLOOKUP(fSales[[#This Row],[SalesRepID]],dPSalesRep[SalesRepID],dPSalesRep[SalesRep])</f>
        <v>Sioux Best</v>
      </c>
      <c r="O211" t="str">
        <f>_xlfn.XLOOKUP(fSales[[#This Row],[SalesRepID]],dPSalesRep[SalesRepID],dPSalesRep[Region])</f>
        <v>West</v>
      </c>
      <c r="P211" t="str">
        <f>_xlfn.XLOOKUP(fSales[[#This Row],[ProductID]],dProduct[ProductID],dProduct[Product])</f>
        <v>Cherry</v>
      </c>
      <c r="Q211">
        <f>_xlfn.XLOOKUP(fSales[[#This Row],[ProductID]],dProduct[ProductID],dProduct[CratePrice])-_xlfn.XLOOKUP(fSales[[#This Row],[ProductID]],dProduct[ProductID],dProduct[CrateCost])</f>
        <v>18.354000000000003</v>
      </c>
      <c r="R211">
        <f>_xlfn.XLOOKUP(fSales[[#This Row],[ProductID]],dProduct[ProductID],dProduct[CratePrice])</f>
        <v>43.7</v>
      </c>
      <c r="S211">
        <f>_xlfn.XLOOKUP(fSales[[#This Row],[ProductID]],dProduct[ProductID],dProduct[CrateCost])</f>
        <v>25.346</v>
      </c>
    </row>
    <row r="212" spans="7:19" x14ac:dyDescent="0.25">
      <c r="G212" s="2">
        <v>45440</v>
      </c>
      <c r="H212">
        <v>120</v>
      </c>
      <c r="I212" t="s">
        <v>19</v>
      </c>
      <c r="J212" t="s">
        <v>52</v>
      </c>
      <c r="K212">
        <f>_xlfn.XLOOKUP(fSales[[#This Row],[ProductID]],dProduct[ProductID],dProduct[CratePrice])*fSales[[#This Row],[Units]]</f>
        <v>4200</v>
      </c>
      <c r="L212">
        <f>fSales[[#This Row],[Total sales]]-_xlfn.XLOOKUP(fSales[[#This Row],[ProductID]],dProduct[ProductID],dProduct[CrateCost])*fSales[[#This Row],[Units]]</f>
        <v>2352</v>
      </c>
      <c r="M212">
        <f>(_xlfn.XLOOKUP(fSales[[#This Row],[ProductID]],dProduct[ProductID],dProduct[CratePrice])-_xlfn.XLOOKUP(fSales[[#This Row],[ProductID]],dProduct[ProductID],dProduct[CrateCost]))/_xlfn.XLOOKUP(fSales[[#This Row],[ProductID]],dProduct[ProductID],dProduct[CratePrice])</f>
        <v>0.56000000000000005</v>
      </c>
      <c r="N212" t="str">
        <f>_xlfn.XLOOKUP(fSales[[#This Row],[SalesRepID]],dPSalesRep[SalesRepID],dPSalesRep[SalesRep])</f>
        <v>Smitty Rad</v>
      </c>
      <c r="O212" t="str">
        <f>_xlfn.XLOOKUP(fSales[[#This Row],[SalesRepID]],dPSalesRep[SalesRepID],dPSalesRep[Region])</f>
        <v>MidWest</v>
      </c>
      <c r="P212" t="str">
        <f>_xlfn.XLOOKUP(fSales[[#This Row],[ProductID]],dProduct[ProductID],dProduct[Product])</f>
        <v>Apple</v>
      </c>
      <c r="Q212">
        <f>_xlfn.XLOOKUP(fSales[[#This Row],[ProductID]],dProduct[ProductID],dProduct[CratePrice])-_xlfn.XLOOKUP(fSales[[#This Row],[ProductID]],dProduct[ProductID],dProduct[CrateCost])</f>
        <v>19.600000000000001</v>
      </c>
      <c r="R212">
        <f>_xlfn.XLOOKUP(fSales[[#This Row],[ProductID]],dProduct[ProductID],dProduct[CratePrice])</f>
        <v>35</v>
      </c>
      <c r="S212">
        <f>_xlfn.XLOOKUP(fSales[[#This Row],[ProductID]],dProduct[ProductID],dProduct[CrateCost])</f>
        <v>15.4</v>
      </c>
    </row>
    <row r="213" spans="7:19" x14ac:dyDescent="0.25">
      <c r="G213" s="2">
        <v>45441</v>
      </c>
      <c r="H213">
        <v>132</v>
      </c>
      <c r="I213" t="s">
        <v>34</v>
      </c>
      <c r="J213" t="s">
        <v>22</v>
      </c>
      <c r="K213">
        <f>_xlfn.XLOOKUP(fSales[[#This Row],[ProductID]],dProduct[ProductID],dProduct[CratePrice])*fSales[[#This Row],[Units]]</f>
        <v>2310</v>
      </c>
      <c r="L213">
        <f>fSales[[#This Row],[Total sales]]-_xlfn.XLOOKUP(fSales[[#This Row],[ProductID]],dProduct[ProductID],dProduct[CrateCost])*fSales[[#This Row],[Units]]</f>
        <v>762.29999999999973</v>
      </c>
      <c r="M213">
        <f>(_xlfn.XLOOKUP(fSales[[#This Row],[ProductID]],dProduct[ProductID],dProduct[CratePrice])-_xlfn.XLOOKUP(fSales[[#This Row],[ProductID]],dProduct[ProductID],dProduct[CrateCost]))/_xlfn.XLOOKUP(fSales[[#This Row],[ProductID]],dProduct[ProductID],dProduct[CratePrice])</f>
        <v>0.3299999999999999</v>
      </c>
      <c r="N213" t="str">
        <f>_xlfn.XLOOKUP(fSales[[#This Row],[SalesRepID]],dPSalesRep[SalesRepID],dPSalesRep[SalesRep])</f>
        <v>Timmy Kips</v>
      </c>
      <c r="O213" t="str">
        <f>_xlfn.XLOOKUP(fSales[[#This Row],[SalesRepID]],dPSalesRep[SalesRepID],dPSalesRep[Region])</f>
        <v>East</v>
      </c>
      <c r="P213" t="str">
        <f>_xlfn.XLOOKUP(fSales[[#This Row],[ProductID]],dProduct[ProductID],dProduct[Product])</f>
        <v>Banana</v>
      </c>
      <c r="Q213">
        <f>_xlfn.XLOOKUP(fSales[[#This Row],[ProductID]],dProduct[ProductID],dProduct[CratePrice])-_xlfn.XLOOKUP(fSales[[#This Row],[ProductID]],dProduct[ProductID],dProduct[CrateCost])</f>
        <v>5.7749999999999986</v>
      </c>
      <c r="R213">
        <f>_xlfn.XLOOKUP(fSales[[#This Row],[ProductID]],dProduct[ProductID],dProduct[CratePrice])</f>
        <v>17.5</v>
      </c>
      <c r="S213">
        <f>_xlfn.XLOOKUP(fSales[[#This Row],[ProductID]],dProduct[ProductID],dProduct[CrateCost])</f>
        <v>11.725000000000001</v>
      </c>
    </row>
    <row r="214" spans="7:19" x14ac:dyDescent="0.25">
      <c r="G214" s="2">
        <v>45441</v>
      </c>
      <c r="H214">
        <v>264</v>
      </c>
      <c r="I214" t="s">
        <v>21</v>
      </c>
      <c r="J214" t="s">
        <v>37</v>
      </c>
      <c r="K214">
        <f>_xlfn.XLOOKUP(fSales[[#This Row],[ProductID]],dProduct[ProductID],dProduct[CratePrice])*fSales[[#This Row],[Units]]</f>
        <v>5940</v>
      </c>
      <c r="L214">
        <f>fSales[[#This Row],[Total sales]]-_xlfn.XLOOKUP(fSales[[#This Row],[ProductID]],dProduct[ProductID],dProduct[CrateCost])*fSales[[#This Row],[Units]]</f>
        <v>2613.5999999999995</v>
      </c>
      <c r="M214">
        <f>(_xlfn.XLOOKUP(fSales[[#This Row],[ProductID]],dProduct[ProductID],dProduct[CratePrice])-_xlfn.XLOOKUP(fSales[[#This Row],[ProductID]],dProduct[ProductID],dProduct[CrateCost]))/_xlfn.XLOOKUP(fSales[[#This Row],[ProductID]],dProduct[ProductID],dProduct[CratePrice])</f>
        <v>0.43999999999999995</v>
      </c>
      <c r="N214" t="str">
        <f>_xlfn.XLOOKUP(fSales[[#This Row],[SalesRepID]],dPSalesRep[SalesRepID],dPSalesRep[SalesRep])</f>
        <v>Chantel Mims</v>
      </c>
      <c r="O214" t="str">
        <f>_xlfn.XLOOKUP(fSales[[#This Row],[SalesRepID]],dPSalesRep[SalesRepID],dPSalesRep[Region])</f>
        <v>NW</v>
      </c>
      <c r="P214" t="str">
        <f>_xlfn.XLOOKUP(fSales[[#This Row],[ProductID]],dProduct[ProductID],dProduct[Product])</f>
        <v>Kiwi</v>
      </c>
      <c r="Q214">
        <f>_xlfn.XLOOKUP(fSales[[#This Row],[ProductID]],dProduct[ProductID],dProduct[CratePrice])-_xlfn.XLOOKUP(fSales[[#This Row],[ProductID]],dProduct[ProductID],dProduct[CrateCost])</f>
        <v>9.8999999999999986</v>
      </c>
      <c r="R214">
        <f>_xlfn.XLOOKUP(fSales[[#This Row],[ProductID]],dProduct[ProductID],dProduct[CratePrice])</f>
        <v>22.5</v>
      </c>
      <c r="S214">
        <f>_xlfn.XLOOKUP(fSales[[#This Row],[ProductID]],dProduct[ProductID],dProduct[CrateCost])</f>
        <v>12.600000000000001</v>
      </c>
    </row>
    <row r="215" spans="7:19" x14ac:dyDescent="0.25">
      <c r="G215" s="2">
        <v>45442</v>
      </c>
      <c r="H215">
        <v>288</v>
      </c>
      <c r="I215" t="s">
        <v>28</v>
      </c>
      <c r="J215" t="s">
        <v>22</v>
      </c>
      <c r="K215">
        <f>_xlfn.XLOOKUP(fSales[[#This Row],[ProductID]],dProduct[ProductID],dProduct[CratePrice])*fSales[[#This Row],[Units]]</f>
        <v>12585.6</v>
      </c>
      <c r="L215">
        <f>fSales[[#This Row],[Total sales]]-_xlfn.XLOOKUP(fSales[[#This Row],[ProductID]],dProduct[ProductID],dProduct[CrateCost])*fSales[[#This Row],[Units]]</f>
        <v>5285.9520000000002</v>
      </c>
      <c r="M215">
        <f>(_xlfn.XLOOKUP(fSales[[#This Row],[ProductID]],dProduct[ProductID],dProduct[CratePrice])-_xlfn.XLOOKUP(fSales[[#This Row],[ProductID]],dProduct[ProductID],dProduct[CrateCost]))/_xlfn.XLOOKUP(fSales[[#This Row],[ProductID]],dProduct[ProductID],dProduct[CratePrice])</f>
        <v>0.42000000000000004</v>
      </c>
      <c r="N215" t="str">
        <f>_xlfn.XLOOKUP(fSales[[#This Row],[SalesRepID]],dPSalesRep[SalesRepID],dPSalesRep[SalesRep])</f>
        <v>Timmy Kips</v>
      </c>
      <c r="O215" t="str">
        <f>_xlfn.XLOOKUP(fSales[[#This Row],[SalesRepID]],dPSalesRep[SalesRepID],dPSalesRep[Region])</f>
        <v>East</v>
      </c>
      <c r="P215" t="str">
        <f>_xlfn.XLOOKUP(fSales[[#This Row],[ProductID]],dProduct[ProductID],dProduct[Product])</f>
        <v>Cherry</v>
      </c>
      <c r="Q215">
        <f>_xlfn.XLOOKUP(fSales[[#This Row],[ProductID]],dProduct[ProductID],dProduct[CratePrice])-_xlfn.XLOOKUP(fSales[[#This Row],[ProductID]],dProduct[ProductID],dProduct[CrateCost])</f>
        <v>18.354000000000003</v>
      </c>
      <c r="R215">
        <f>_xlfn.XLOOKUP(fSales[[#This Row],[ProductID]],dProduct[ProductID],dProduct[CratePrice])</f>
        <v>43.7</v>
      </c>
      <c r="S215">
        <f>_xlfn.XLOOKUP(fSales[[#This Row],[ProductID]],dProduct[ProductID],dProduct[CrateCost])</f>
        <v>25.346</v>
      </c>
    </row>
    <row r="216" spans="7:19" x14ac:dyDescent="0.25">
      <c r="G216" s="2">
        <v>45443</v>
      </c>
      <c r="H216">
        <v>288</v>
      </c>
      <c r="I216" t="s">
        <v>28</v>
      </c>
      <c r="J216" t="s">
        <v>37</v>
      </c>
      <c r="K216">
        <f>_xlfn.XLOOKUP(fSales[[#This Row],[ProductID]],dProduct[ProductID],dProduct[CratePrice])*fSales[[#This Row],[Units]]</f>
        <v>12585.6</v>
      </c>
      <c r="L216">
        <f>fSales[[#This Row],[Total sales]]-_xlfn.XLOOKUP(fSales[[#This Row],[ProductID]],dProduct[ProductID],dProduct[CrateCost])*fSales[[#This Row],[Units]]</f>
        <v>5285.9520000000002</v>
      </c>
      <c r="M216">
        <f>(_xlfn.XLOOKUP(fSales[[#This Row],[ProductID]],dProduct[ProductID],dProduct[CratePrice])-_xlfn.XLOOKUP(fSales[[#This Row],[ProductID]],dProduct[ProductID],dProduct[CrateCost]))/_xlfn.XLOOKUP(fSales[[#This Row],[ProductID]],dProduct[ProductID],dProduct[CratePrice])</f>
        <v>0.42000000000000004</v>
      </c>
      <c r="N216" t="str">
        <f>_xlfn.XLOOKUP(fSales[[#This Row],[SalesRepID]],dPSalesRep[SalesRepID],dPSalesRep[SalesRep])</f>
        <v>Chantel Mims</v>
      </c>
      <c r="O216" t="str">
        <f>_xlfn.XLOOKUP(fSales[[#This Row],[SalesRepID]],dPSalesRep[SalesRepID],dPSalesRep[Region])</f>
        <v>NW</v>
      </c>
      <c r="P216" t="str">
        <f>_xlfn.XLOOKUP(fSales[[#This Row],[ProductID]],dProduct[ProductID],dProduct[Product])</f>
        <v>Cherry</v>
      </c>
      <c r="Q216">
        <f>_xlfn.XLOOKUP(fSales[[#This Row],[ProductID]],dProduct[ProductID],dProduct[CratePrice])-_xlfn.XLOOKUP(fSales[[#This Row],[ProductID]],dProduct[ProductID],dProduct[CrateCost])</f>
        <v>18.354000000000003</v>
      </c>
      <c r="R216">
        <f>_xlfn.XLOOKUP(fSales[[#This Row],[ProductID]],dProduct[ProductID],dProduct[CratePrice])</f>
        <v>43.7</v>
      </c>
      <c r="S216">
        <f>_xlfn.XLOOKUP(fSales[[#This Row],[ProductID]],dProduct[ProductID],dProduct[CrateCost])</f>
        <v>25.346</v>
      </c>
    </row>
    <row r="217" spans="7:19" x14ac:dyDescent="0.25">
      <c r="G217" s="2">
        <v>45444</v>
      </c>
      <c r="H217">
        <v>216</v>
      </c>
      <c r="I217" t="s">
        <v>19</v>
      </c>
      <c r="J217" t="s">
        <v>52</v>
      </c>
      <c r="K217">
        <f>_xlfn.XLOOKUP(fSales[[#This Row],[ProductID]],dProduct[ProductID],dProduct[CratePrice])*fSales[[#This Row],[Units]]</f>
        <v>7560</v>
      </c>
      <c r="L217">
        <f>fSales[[#This Row],[Total sales]]-_xlfn.XLOOKUP(fSales[[#This Row],[ProductID]],dProduct[ProductID],dProduct[CrateCost])*fSales[[#This Row],[Units]]</f>
        <v>4233.6000000000004</v>
      </c>
      <c r="M217">
        <f>(_xlfn.XLOOKUP(fSales[[#This Row],[ProductID]],dProduct[ProductID],dProduct[CratePrice])-_xlfn.XLOOKUP(fSales[[#This Row],[ProductID]],dProduct[ProductID],dProduct[CrateCost]))/_xlfn.XLOOKUP(fSales[[#This Row],[ProductID]],dProduct[ProductID],dProduct[CratePrice])</f>
        <v>0.56000000000000005</v>
      </c>
      <c r="N217" t="str">
        <f>_xlfn.XLOOKUP(fSales[[#This Row],[SalesRepID]],dPSalesRep[SalesRepID],dPSalesRep[SalesRep])</f>
        <v>Smitty Rad</v>
      </c>
      <c r="O217" t="str">
        <f>_xlfn.XLOOKUP(fSales[[#This Row],[SalesRepID]],dPSalesRep[SalesRepID],dPSalesRep[Region])</f>
        <v>MidWest</v>
      </c>
      <c r="P217" t="str">
        <f>_xlfn.XLOOKUP(fSales[[#This Row],[ProductID]],dProduct[ProductID],dProduct[Product])</f>
        <v>Apple</v>
      </c>
      <c r="Q217">
        <f>_xlfn.XLOOKUP(fSales[[#This Row],[ProductID]],dProduct[ProductID],dProduct[CratePrice])-_xlfn.XLOOKUP(fSales[[#This Row],[ProductID]],dProduct[ProductID],dProduct[CrateCost])</f>
        <v>19.600000000000001</v>
      </c>
      <c r="R217">
        <f>_xlfn.XLOOKUP(fSales[[#This Row],[ProductID]],dProduct[ProductID],dProduct[CratePrice])</f>
        <v>35</v>
      </c>
      <c r="S217">
        <f>_xlfn.XLOOKUP(fSales[[#This Row],[ProductID]],dProduct[ProductID],dProduct[CrateCost])</f>
        <v>15.4</v>
      </c>
    </row>
    <row r="218" spans="7:19" x14ac:dyDescent="0.25">
      <c r="G218" s="2">
        <v>45444</v>
      </c>
      <c r="H218">
        <v>300</v>
      </c>
      <c r="I218" t="s">
        <v>26</v>
      </c>
      <c r="J218" t="s">
        <v>37</v>
      </c>
      <c r="K218">
        <f>_xlfn.XLOOKUP(fSales[[#This Row],[ProductID]],dProduct[ProductID],dProduct[CratePrice])*fSales[[#This Row],[Units]]</f>
        <v>8925</v>
      </c>
      <c r="L218">
        <f>fSales[[#This Row],[Total sales]]-_xlfn.XLOOKUP(fSales[[#This Row],[ProductID]],dProduct[ProductID],dProduct[CrateCost])*fSales[[#This Row],[Units]]</f>
        <v>3748.5</v>
      </c>
      <c r="M218">
        <f>(_xlfn.XLOOKUP(fSales[[#This Row],[ProductID]],dProduct[ProductID],dProduct[CratePrice])-_xlfn.XLOOKUP(fSales[[#This Row],[ProductID]],dProduct[ProductID],dProduct[CrateCost]))/_xlfn.XLOOKUP(fSales[[#This Row],[ProductID]],dProduct[ProductID],dProduct[CratePrice])</f>
        <v>0.42000000000000004</v>
      </c>
      <c r="N218" t="str">
        <f>_xlfn.XLOOKUP(fSales[[#This Row],[SalesRepID]],dPSalesRep[SalesRepID],dPSalesRep[SalesRep])</f>
        <v>Chantel Mims</v>
      </c>
      <c r="O218" t="str">
        <f>_xlfn.XLOOKUP(fSales[[#This Row],[SalesRepID]],dPSalesRep[SalesRepID],dPSalesRep[Region])</f>
        <v>NW</v>
      </c>
      <c r="P218" t="str">
        <f>_xlfn.XLOOKUP(fSales[[#This Row],[ProductID]],dProduct[ProductID],dProduct[Product])</f>
        <v>Orange</v>
      </c>
      <c r="Q218">
        <f>_xlfn.XLOOKUP(fSales[[#This Row],[ProductID]],dProduct[ProductID],dProduct[CratePrice])-_xlfn.XLOOKUP(fSales[[#This Row],[ProductID]],dProduct[ProductID],dProduct[CrateCost])</f>
        <v>12.495000000000001</v>
      </c>
      <c r="R218">
        <f>_xlfn.XLOOKUP(fSales[[#This Row],[ProductID]],dProduct[ProductID],dProduct[CratePrice])</f>
        <v>29.75</v>
      </c>
      <c r="S218">
        <f>_xlfn.XLOOKUP(fSales[[#This Row],[ProductID]],dProduct[ProductID],dProduct[CrateCost])</f>
        <v>17.254999999999999</v>
      </c>
    </row>
    <row r="219" spans="7:19" x14ac:dyDescent="0.25">
      <c r="G219" s="2">
        <v>45445</v>
      </c>
      <c r="H219">
        <v>288</v>
      </c>
      <c r="I219" t="s">
        <v>34</v>
      </c>
      <c r="J219" t="s">
        <v>29</v>
      </c>
      <c r="K219">
        <f>_xlfn.XLOOKUP(fSales[[#This Row],[ProductID]],dProduct[ProductID],dProduct[CratePrice])*fSales[[#This Row],[Units]]</f>
        <v>5040</v>
      </c>
      <c r="L219">
        <f>fSales[[#This Row],[Total sales]]-_xlfn.XLOOKUP(fSales[[#This Row],[ProductID]],dProduct[ProductID],dProduct[CrateCost])*fSales[[#This Row],[Units]]</f>
        <v>1663.1999999999998</v>
      </c>
      <c r="M219">
        <f>(_xlfn.XLOOKUP(fSales[[#This Row],[ProductID]],dProduct[ProductID],dProduct[CratePrice])-_xlfn.XLOOKUP(fSales[[#This Row],[ProductID]],dProduct[ProductID],dProduct[CrateCost]))/_xlfn.XLOOKUP(fSales[[#This Row],[ProductID]],dProduct[ProductID],dProduct[CratePrice])</f>
        <v>0.3299999999999999</v>
      </c>
      <c r="N219" t="str">
        <f>_xlfn.XLOOKUP(fSales[[#This Row],[SalesRepID]],dPSalesRep[SalesRepID],dPSalesRep[SalesRep])</f>
        <v>Sioux Best</v>
      </c>
      <c r="O219" t="str">
        <f>_xlfn.XLOOKUP(fSales[[#This Row],[SalesRepID]],dPSalesRep[SalesRepID],dPSalesRep[Region])</f>
        <v>West</v>
      </c>
      <c r="P219" t="str">
        <f>_xlfn.XLOOKUP(fSales[[#This Row],[ProductID]],dProduct[ProductID],dProduct[Product])</f>
        <v>Banana</v>
      </c>
      <c r="Q219">
        <f>_xlfn.XLOOKUP(fSales[[#This Row],[ProductID]],dProduct[ProductID],dProduct[CratePrice])-_xlfn.XLOOKUP(fSales[[#This Row],[ProductID]],dProduct[ProductID],dProduct[CrateCost])</f>
        <v>5.7749999999999986</v>
      </c>
      <c r="R219">
        <f>_xlfn.XLOOKUP(fSales[[#This Row],[ProductID]],dProduct[ProductID],dProduct[CratePrice])</f>
        <v>17.5</v>
      </c>
      <c r="S219">
        <f>_xlfn.XLOOKUP(fSales[[#This Row],[ProductID]],dProduct[ProductID],dProduct[CrateCost])</f>
        <v>11.725000000000001</v>
      </c>
    </row>
    <row r="220" spans="7:19" x14ac:dyDescent="0.25">
      <c r="G220" s="2">
        <v>45446</v>
      </c>
      <c r="H220">
        <v>228</v>
      </c>
      <c r="I220" t="s">
        <v>21</v>
      </c>
      <c r="J220" t="s">
        <v>32</v>
      </c>
      <c r="K220">
        <f>_xlfn.XLOOKUP(fSales[[#This Row],[ProductID]],dProduct[ProductID],dProduct[CratePrice])*fSales[[#This Row],[Units]]</f>
        <v>5130</v>
      </c>
      <c r="L220">
        <f>fSales[[#This Row],[Total sales]]-_xlfn.XLOOKUP(fSales[[#This Row],[ProductID]],dProduct[ProductID],dProduct[CrateCost])*fSales[[#This Row],[Units]]</f>
        <v>2257.1999999999998</v>
      </c>
      <c r="M220">
        <f>(_xlfn.XLOOKUP(fSales[[#This Row],[ProductID]],dProduct[ProductID],dProduct[CratePrice])-_xlfn.XLOOKUP(fSales[[#This Row],[ProductID]],dProduct[ProductID],dProduct[CrateCost]))/_xlfn.XLOOKUP(fSales[[#This Row],[ProductID]],dProduct[ProductID],dProduct[CratePrice])</f>
        <v>0.43999999999999995</v>
      </c>
      <c r="N220" t="str">
        <f>_xlfn.XLOOKUP(fSales[[#This Row],[SalesRepID]],dPSalesRep[SalesRepID],dPSalesRep[SalesRep])</f>
        <v>Shihara Fazzaa</v>
      </c>
      <c r="O220" t="str">
        <f>_xlfn.XLOOKUP(fSales[[#This Row],[SalesRepID]],dPSalesRep[SalesRepID],dPSalesRep[Region])</f>
        <v>East</v>
      </c>
      <c r="P220" t="str">
        <f>_xlfn.XLOOKUP(fSales[[#This Row],[ProductID]],dProduct[ProductID],dProduct[Product])</f>
        <v>Kiwi</v>
      </c>
      <c r="Q220">
        <f>_xlfn.XLOOKUP(fSales[[#This Row],[ProductID]],dProduct[ProductID],dProduct[CratePrice])-_xlfn.XLOOKUP(fSales[[#This Row],[ProductID]],dProduct[ProductID],dProduct[CrateCost])</f>
        <v>9.8999999999999986</v>
      </c>
      <c r="R220">
        <f>_xlfn.XLOOKUP(fSales[[#This Row],[ProductID]],dProduct[ProductID],dProduct[CratePrice])</f>
        <v>22.5</v>
      </c>
      <c r="S220">
        <f>_xlfn.XLOOKUP(fSales[[#This Row],[ProductID]],dProduct[ProductID],dProduct[CrateCost])</f>
        <v>12.600000000000001</v>
      </c>
    </row>
    <row r="221" spans="7:19" x14ac:dyDescent="0.25">
      <c r="G221" s="2">
        <v>45448</v>
      </c>
      <c r="H221">
        <v>228</v>
      </c>
      <c r="I221" t="s">
        <v>28</v>
      </c>
      <c r="J221" t="s">
        <v>22</v>
      </c>
      <c r="K221">
        <f>_xlfn.XLOOKUP(fSales[[#This Row],[ProductID]],dProduct[ProductID],dProduct[CratePrice])*fSales[[#This Row],[Units]]</f>
        <v>9963.6</v>
      </c>
      <c r="L221">
        <f>fSales[[#This Row],[Total sales]]-_xlfn.XLOOKUP(fSales[[#This Row],[ProductID]],dProduct[ProductID],dProduct[CrateCost])*fSales[[#This Row],[Units]]</f>
        <v>4184.7120000000004</v>
      </c>
      <c r="M221">
        <f>(_xlfn.XLOOKUP(fSales[[#This Row],[ProductID]],dProduct[ProductID],dProduct[CratePrice])-_xlfn.XLOOKUP(fSales[[#This Row],[ProductID]],dProduct[ProductID],dProduct[CrateCost]))/_xlfn.XLOOKUP(fSales[[#This Row],[ProductID]],dProduct[ProductID],dProduct[CratePrice])</f>
        <v>0.42000000000000004</v>
      </c>
      <c r="N221" t="str">
        <f>_xlfn.XLOOKUP(fSales[[#This Row],[SalesRepID]],dPSalesRep[SalesRepID],dPSalesRep[SalesRep])</f>
        <v>Timmy Kips</v>
      </c>
      <c r="O221" t="str">
        <f>_xlfn.XLOOKUP(fSales[[#This Row],[SalesRepID]],dPSalesRep[SalesRepID],dPSalesRep[Region])</f>
        <v>East</v>
      </c>
      <c r="P221" t="str">
        <f>_xlfn.XLOOKUP(fSales[[#This Row],[ProductID]],dProduct[ProductID],dProduct[Product])</f>
        <v>Cherry</v>
      </c>
      <c r="Q221">
        <f>_xlfn.XLOOKUP(fSales[[#This Row],[ProductID]],dProduct[ProductID],dProduct[CratePrice])-_xlfn.XLOOKUP(fSales[[#This Row],[ProductID]],dProduct[ProductID],dProduct[CrateCost])</f>
        <v>18.354000000000003</v>
      </c>
      <c r="R221">
        <f>_xlfn.XLOOKUP(fSales[[#This Row],[ProductID]],dProduct[ProductID],dProduct[CratePrice])</f>
        <v>43.7</v>
      </c>
      <c r="S221">
        <f>_xlfn.XLOOKUP(fSales[[#This Row],[ProductID]],dProduct[ProductID],dProduct[CrateCost])</f>
        <v>25.346</v>
      </c>
    </row>
    <row r="222" spans="7:19" x14ac:dyDescent="0.25">
      <c r="G222" s="2">
        <v>45449</v>
      </c>
      <c r="H222">
        <v>288</v>
      </c>
      <c r="I222" t="s">
        <v>19</v>
      </c>
      <c r="J222" t="s">
        <v>22</v>
      </c>
      <c r="K222">
        <f>_xlfn.XLOOKUP(fSales[[#This Row],[ProductID]],dProduct[ProductID],dProduct[CratePrice])*fSales[[#This Row],[Units]]</f>
        <v>10080</v>
      </c>
      <c r="L222">
        <f>fSales[[#This Row],[Total sales]]-_xlfn.XLOOKUP(fSales[[#This Row],[ProductID]],dProduct[ProductID],dProduct[CrateCost])*fSales[[#This Row],[Units]]</f>
        <v>5644.8</v>
      </c>
      <c r="M222">
        <f>(_xlfn.XLOOKUP(fSales[[#This Row],[ProductID]],dProduct[ProductID],dProduct[CratePrice])-_xlfn.XLOOKUP(fSales[[#This Row],[ProductID]],dProduct[ProductID],dProduct[CrateCost]))/_xlfn.XLOOKUP(fSales[[#This Row],[ProductID]],dProduct[ProductID],dProduct[CratePrice])</f>
        <v>0.56000000000000005</v>
      </c>
      <c r="N222" t="str">
        <f>_xlfn.XLOOKUP(fSales[[#This Row],[SalesRepID]],dPSalesRep[SalesRepID],dPSalesRep[SalesRep])</f>
        <v>Timmy Kips</v>
      </c>
      <c r="O222" t="str">
        <f>_xlfn.XLOOKUP(fSales[[#This Row],[SalesRepID]],dPSalesRep[SalesRepID],dPSalesRep[Region])</f>
        <v>East</v>
      </c>
      <c r="P222" t="str">
        <f>_xlfn.XLOOKUP(fSales[[#This Row],[ProductID]],dProduct[ProductID],dProduct[Product])</f>
        <v>Apple</v>
      </c>
      <c r="Q222">
        <f>_xlfn.XLOOKUP(fSales[[#This Row],[ProductID]],dProduct[ProductID],dProduct[CratePrice])-_xlfn.XLOOKUP(fSales[[#This Row],[ProductID]],dProduct[ProductID],dProduct[CrateCost])</f>
        <v>19.600000000000001</v>
      </c>
      <c r="R222">
        <f>_xlfn.XLOOKUP(fSales[[#This Row],[ProductID]],dProduct[ProductID],dProduct[CratePrice])</f>
        <v>35</v>
      </c>
      <c r="S222">
        <f>_xlfn.XLOOKUP(fSales[[#This Row],[ProductID]],dProduct[ProductID],dProduct[CrateCost])</f>
        <v>15.4</v>
      </c>
    </row>
    <row r="223" spans="7:19" x14ac:dyDescent="0.25">
      <c r="G223" s="2">
        <v>45450</v>
      </c>
      <c r="H223">
        <v>84</v>
      </c>
      <c r="I223" t="s">
        <v>19</v>
      </c>
      <c r="J223" t="s">
        <v>37</v>
      </c>
      <c r="K223">
        <f>_xlfn.XLOOKUP(fSales[[#This Row],[ProductID]],dProduct[ProductID],dProduct[CratePrice])*fSales[[#This Row],[Units]]</f>
        <v>2940</v>
      </c>
      <c r="L223">
        <f>fSales[[#This Row],[Total sales]]-_xlfn.XLOOKUP(fSales[[#This Row],[ProductID]],dProduct[ProductID],dProduct[CrateCost])*fSales[[#This Row],[Units]]</f>
        <v>1646.3999999999999</v>
      </c>
      <c r="M223">
        <f>(_xlfn.XLOOKUP(fSales[[#This Row],[ProductID]],dProduct[ProductID],dProduct[CratePrice])-_xlfn.XLOOKUP(fSales[[#This Row],[ProductID]],dProduct[ProductID],dProduct[CrateCost]))/_xlfn.XLOOKUP(fSales[[#This Row],[ProductID]],dProduct[ProductID],dProduct[CratePrice])</f>
        <v>0.56000000000000005</v>
      </c>
      <c r="N223" t="str">
        <f>_xlfn.XLOOKUP(fSales[[#This Row],[SalesRepID]],dPSalesRep[SalesRepID],dPSalesRep[SalesRep])</f>
        <v>Chantel Mims</v>
      </c>
      <c r="O223" t="str">
        <f>_xlfn.XLOOKUP(fSales[[#This Row],[SalesRepID]],dPSalesRep[SalesRepID],dPSalesRep[Region])</f>
        <v>NW</v>
      </c>
      <c r="P223" t="str">
        <f>_xlfn.XLOOKUP(fSales[[#This Row],[ProductID]],dProduct[ProductID],dProduct[Product])</f>
        <v>Apple</v>
      </c>
      <c r="Q223">
        <f>_xlfn.XLOOKUP(fSales[[#This Row],[ProductID]],dProduct[ProductID],dProduct[CratePrice])-_xlfn.XLOOKUP(fSales[[#This Row],[ProductID]],dProduct[ProductID],dProduct[CrateCost])</f>
        <v>19.600000000000001</v>
      </c>
      <c r="R223">
        <f>_xlfn.XLOOKUP(fSales[[#This Row],[ProductID]],dProduct[ProductID],dProduct[CratePrice])</f>
        <v>35</v>
      </c>
      <c r="S223">
        <f>_xlfn.XLOOKUP(fSales[[#This Row],[ProductID]],dProduct[ProductID],dProduct[CrateCost])</f>
        <v>15.4</v>
      </c>
    </row>
    <row r="224" spans="7:19" x14ac:dyDescent="0.25">
      <c r="G224" s="2">
        <v>45452</v>
      </c>
      <c r="H224">
        <v>84</v>
      </c>
      <c r="I224" t="s">
        <v>34</v>
      </c>
      <c r="J224" t="s">
        <v>29</v>
      </c>
      <c r="K224">
        <f>_xlfn.XLOOKUP(fSales[[#This Row],[ProductID]],dProduct[ProductID],dProduct[CratePrice])*fSales[[#This Row],[Units]]</f>
        <v>1470</v>
      </c>
      <c r="L224">
        <f>fSales[[#This Row],[Total sales]]-_xlfn.XLOOKUP(fSales[[#This Row],[ProductID]],dProduct[ProductID],dProduct[CrateCost])*fSales[[#This Row],[Units]]</f>
        <v>485.09999999999991</v>
      </c>
      <c r="M224">
        <f>(_xlfn.XLOOKUP(fSales[[#This Row],[ProductID]],dProduct[ProductID],dProduct[CratePrice])-_xlfn.XLOOKUP(fSales[[#This Row],[ProductID]],dProduct[ProductID],dProduct[CrateCost]))/_xlfn.XLOOKUP(fSales[[#This Row],[ProductID]],dProduct[ProductID],dProduct[CratePrice])</f>
        <v>0.3299999999999999</v>
      </c>
      <c r="N224" t="str">
        <f>_xlfn.XLOOKUP(fSales[[#This Row],[SalesRepID]],dPSalesRep[SalesRepID],dPSalesRep[SalesRep])</f>
        <v>Sioux Best</v>
      </c>
      <c r="O224" t="str">
        <f>_xlfn.XLOOKUP(fSales[[#This Row],[SalesRepID]],dPSalesRep[SalesRepID],dPSalesRep[Region])</f>
        <v>West</v>
      </c>
      <c r="P224" t="str">
        <f>_xlfn.XLOOKUP(fSales[[#This Row],[ProductID]],dProduct[ProductID],dProduct[Product])</f>
        <v>Banana</v>
      </c>
      <c r="Q224">
        <f>_xlfn.XLOOKUP(fSales[[#This Row],[ProductID]],dProduct[ProductID],dProduct[CratePrice])-_xlfn.XLOOKUP(fSales[[#This Row],[ProductID]],dProduct[ProductID],dProduct[CrateCost])</f>
        <v>5.7749999999999986</v>
      </c>
      <c r="R224">
        <f>_xlfn.XLOOKUP(fSales[[#This Row],[ProductID]],dProduct[ProductID],dProduct[CratePrice])</f>
        <v>17.5</v>
      </c>
      <c r="S224">
        <f>_xlfn.XLOOKUP(fSales[[#This Row],[ProductID]],dProduct[ProductID],dProduct[CrateCost])</f>
        <v>11.725000000000001</v>
      </c>
    </row>
    <row r="225" spans="7:19" x14ac:dyDescent="0.25">
      <c r="G225" s="2">
        <v>45453</v>
      </c>
      <c r="H225">
        <v>240</v>
      </c>
      <c r="I225" t="s">
        <v>26</v>
      </c>
      <c r="J225" t="s">
        <v>52</v>
      </c>
      <c r="K225">
        <f>_xlfn.XLOOKUP(fSales[[#This Row],[ProductID]],dProduct[ProductID],dProduct[CratePrice])*fSales[[#This Row],[Units]]</f>
        <v>7140</v>
      </c>
      <c r="L225">
        <f>fSales[[#This Row],[Total sales]]-_xlfn.XLOOKUP(fSales[[#This Row],[ProductID]],dProduct[ProductID],dProduct[CrateCost])*fSales[[#This Row],[Units]]</f>
        <v>2998.8</v>
      </c>
      <c r="M225">
        <f>(_xlfn.XLOOKUP(fSales[[#This Row],[ProductID]],dProduct[ProductID],dProduct[CratePrice])-_xlfn.XLOOKUP(fSales[[#This Row],[ProductID]],dProduct[ProductID],dProduct[CrateCost]))/_xlfn.XLOOKUP(fSales[[#This Row],[ProductID]],dProduct[ProductID],dProduct[CratePrice])</f>
        <v>0.42000000000000004</v>
      </c>
      <c r="N225" t="str">
        <f>_xlfn.XLOOKUP(fSales[[#This Row],[SalesRepID]],dPSalesRep[SalesRepID],dPSalesRep[SalesRep])</f>
        <v>Smitty Rad</v>
      </c>
      <c r="O225" t="str">
        <f>_xlfn.XLOOKUP(fSales[[#This Row],[SalesRepID]],dPSalesRep[SalesRepID],dPSalesRep[Region])</f>
        <v>MidWest</v>
      </c>
      <c r="P225" t="str">
        <f>_xlfn.XLOOKUP(fSales[[#This Row],[ProductID]],dProduct[ProductID],dProduct[Product])</f>
        <v>Orange</v>
      </c>
      <c r="Q225">
        <f>_xlfn.XLOOKUP(fSales[[#This Row],[ProductID]],dProduct[ProductID],dProduct[CratePrice])-_xlfn.XLOOKUP(fSales[[#This Row],[ProductID]],dProduct[ProductID],dProduct[CrateCost])</f>
        <v>12.495000000000001</v>
      </c>
      <c r="R225">
        <f>_xlfn.XLOOKUP(fSales[[#This Row],[ProductID]],dProduct[ProductID],dProduct[CratePrice])</f>
        <v>29.75</v>
      </c>
      <c r="S225">
        <f>_xlfn.XLOOKUP(fSales[[#This Row],[ProductID]],dProduct[ProductID],dProduct[CrateCost])</f>
        <v>17.254999999999999</v>
      </c>
    </row>
    <row r="226" spans="7:19" x14ac:dyDescent="0.25">
      <c r="G226" s="2">
        <v>45453</v>
      </c>
      <c r="H226">
        <v>192</v>
      </c>
      <c r="I226" t="s">
        <v>19</v>
      </c>
      <c r="J226" t="s">
        <v>37</v>
      </c>
      <c r="K226">
        <f>_xlfn.XLOOKUP(fSales[[#This Row],[ProductID]],dProduct[ProductID],dProduct[CratePrice])*fSales[[#This Row],[Units]]</f>
        <v>6720</v>
      </c>
      <c r="L226">
        <f>fSales[[#This Row],[Total sales]]-_xlfn.XLOOKUP(fSales[[#This Row],[ProductID]],dProduct[ProductID],dProduct[CrateCost])*fSales[[#This Row],[Units]]</f>
        <v>3763.2</v>
      </c>
      <c r="M226">
        <f>(_xlfn.XLOOKUP(fSales[[#This Row],[ProductID]],dProduct[ProductID],dProduct[CratePrice])-_xlfn.XLOOKUP(fSales[[#This Row],[ProductID]],dProduct[ProductID],dProduct[CrateCost]))/_xlfn.XLOOKUP(fSales[[#This Row],[ProductID]],dProduct[ProductID],dProduct[CratePrice])</f>
        <v>0.56000000000000005</v>
      </c>
      <c r="N226" t="str">
        <f>_xlfn.XLOOKUP(fSales[[#This Row],[SalesRepID]],dPSalesRep[SalesRepID],dPSalesRep[SalesRep])</f>
        <v>Chantel Mims</v>
      </c>
      <c r="O226" t="str">
        <f>_xlfn.XLOOKUP(fSales[[#This Row],[SalesRepID]],dPSalesRep[SalesRepID],dPSalesRep[Region])</f>
        <v>NW</v>
      </c>
      <c r="P226" t="str">
        <f>_xlfn.XLOOKUP(fSales[[#This Row],[ProductID]],dProduct[ProductID],dProduct[Product])</f>
        <v>Apple</v>
      </c>
      <c r="Q226">
        <f>_xlfn.XLOOKUP(fSales[[#This Row],[ProductID]],dProduct[ProductID],dProduct[CratePrice])-_xlfn.XLOOKUP(fSales[[#This Row],[ProductID]],dProduct[ProductID],dProduct[CrateCost])</f>
        <v>19.600000000000001</v>
      </c>
      <c r="R226">
        <f>_xlfn.XLOOKUP(fSales[[#This Row],[ProductID]],dProduct[ProductID],dProduct[CratePrice])</f>
        <v>35</v>
      </c>
      <c r="S226">
        <f>_xlfn.XLOOKUP(fSales[[#This Row],[ProductID]],dProduct[ProductID],dProduct[CrateCost])</f>
        <v>15.4</v>
      </c>
    </row>
    <row r="227" spans="7:19" x14ac:dyDescent="0.25">
      <c r="G227" s="2">
        <v>45454</v>
      </c>
      <c r="H227">
        <v>48</v>
      </c>
      <c r="I227" t="s">
        <v>34</v>
      </c>
      <c r="J227" t="s">
        <v>32</v>
      </c>
      <c r="K227">
        <f>_xlfn.XLOOKUP(fSales[[#This Row],[ProductID]],dProduct[ProductID],dProduct[CratePrice])*fSales[[#This Row],[Units]]</f>
        <v>840</v>
      </c>
      <c r="L227">
        <f>fSales[[#This Row],[Total sales]]-_xlfn.XLOOKUP(fSales[[#This Row],[ProductID]],dProduct[ProductID],dProduct[CrateCost])*fSales[[#This Row],[Units]]</f>
        <v>277.19999999999993</v>
      </c>
      <c r="M227">
        <f>(_xlfn.XLOOKUP(fSales[[#This Row],[ProductID]],dProduct[ProductID],dProduct[CratePrice])-_xlfn.XLOOKUP(fSales[[#This Row],[ProductID]],dProduct[ProductID],dProduct[CrateCost]))/_xlfn.XLOOKUP(fSales[[#This Row],[ProductID]],dProduct[ProductID],dProduct[CratePrice])</f>
        <v>0.3299999999999999</v>
      </c>
      <c r="N227" t="str">
        <f>_xlfn.XLOOKUP(fSales[[#This Row],[SalesRepID]],dPSalesRep[SalesRepID],dPSalesRep[SalesRep])</f>
        <v>Shihara Fazzaa</v>
      </c>
      <c r="O227" t="str">
        <f>_xlfn.XLOOKUP(fSales[[#This Row],[SalesRepID]],dPSalesRep[SalesRepID],dPSalesRep[Region])</f>
        <v>East</v>
      </c>
      <c r="P227" t="str">
        <f>_xlfn.XLOOKUP(fSales[[#This Row],[ProductID]],dProduct[ProductID],dProduct[Product])</f>
        <v>Banana</v>
      </c>
      <c r="Q227">
        <f>_xlfn.XLOOKUP(fSales[[#This Row],[ProductID]],dProduct[ProductID],dProduct[CratePrice])-_xlfn.XLOOKUP(fSales[[#This Row],[ProductID]],dProduct[ProductID],dProduct[CrateCost])</f>
        <v>5.7749999999999986</v>
      </c>
      <c r="R227">
        <f>_xlfn.XLOOKUP(fSales[[#This Row],[ProductID]],dProduct[ProductID],dProduct[CratePrice])</f>
        <v>17.5</v>
      </c>
      <c r="S227">
        <f>_xlfn.XLOOKUP(fSales[[#This Row],[ProductID]],dProduct[ProductID],dProduct[CrateCost])</f>
        <v>11.725000000000001</v>
      </c>
    </row>
    <row r="228" spans="7:19" x14ac:dyDescent="0.25">
      <c r="G228" s="2">
        <v>45454</v>
      </c>
      <c r="H228">
        <v>60</v>
      </c>
      <c r="I228" t="s">
        <v>34</v>
      </c>
      <c r="J228" t="s">
        <v>22</v>
      </c>
      <c r="K228">
        <f>_xlfn.XLOOKUP(fSales[[#This Row],[ProductID]],dProduct[ProductID],dProduct[CratePrice])*fSales[[#This Row],[Units]]</f>
        <v>1050</v>
      </c>
      <c r="L228">
        <f>fSales[[#This Row],[Total sales]]-_xlfn.XLOOKUP(fSales[[#This Row],[ProductID]],dProduct[ProductID],dProduct[CrateCost])*fSales[[#This Row],[Units]]</f>
        <v>346.49999999999989</v>
      </c>
      <c r="M228">
        <f>(_xlfn.XLOOKUP(fSales[[#This Row],[ProductID]],dProduct[ProductID],dProduct[CratePrice])-_xlfn.XLOOKUP(fSales[[#This Row],[ProductID]],dProduct[ProductID],dProduct[CrateCost]))/_xlfn.XLOOKUP(fSales[[#This Row],[ProductID]],dProduct[ProductID],dProduct[CratePrice])</f>
        <v>0.3299999999999999</v>
      </c>
      <c r="N228" t="str">
        <f>_xlfn.XLOOKUP(fSales[[#This Row],[SalesRepID]],dPSalesRep[SalesRepID],dPSalesRep[SalesRep])</f>
        <v>Timmy Kips</v>
      </c>
      <c r="O228" t="str">
        <f>_xlfn.XLOOKUP(fSales[[#This Row],[SalesRepID]],dPSalesRep[SalesRepID],dPSalesRep[Region])</f>
        <v>East</v>
      </c>
      <c r="P228" t="str">
        <f>_xlfn.XLOOKUP(fSales[[#This Row],[ProductID]],dProduct[ProductID],dProduct[Product])</f>
        <v>Banana</v>
      </c>
      <c r="Q228">
        <f>_xlfn.XLOOKUP(fSales[[#This Row],[ProductID]],dProduct[ProductID],dProduct[CratePrice])-_xlfn.XLOOKUP(fSales[[#This Row],[ProductID]],dProduct[ProductID],dProduct[CrateCost])</f>
        <v>5.7749999999999986</v>
      </c>
      <c r="R228">
        <f>_xlfn.XLOOKUP(fSales[[#This Row],[ProductID]],dProduct[ProductID],dProduct[CratePrice])</f>
        <v>17.5</v>
      </c>
      <c r="S228">
        <f>_xlfn.XLOOKUP(fSales[[#This Row],[ProductID]],dProduct[ProductID],dProduct[CrateCost])</f>
        <v>11.725000000000001</v>
      </c>
    </row>
    <row r="229" spans="7:19" x14ac:dyDescent="0.25">
      <c r="G229" s="2">
        <v>45455</v>
      </c>
      <c r="H229">
        <v>72</v>
      </c>
      <c r="I229" t="s">
        <v>21</v>
      </c>
      <c r="J229" t="s">
        <v>37</v>
      </c>
      <c r="K229">
        <f>_xlfn.XLOOKUP(fSales[[#This Row],[ProductID]],dProduct[ProductID],dProduct[CratePrice])*fSales[[#This Row],[Units]]</f>
        <v>1620</v>
      </c>
      <c r="L229">
        <f>fSales[[#This Row],[Total sales]]-_xlfn.XLOOKUP(fSales[[#This Row],[ProductID]],dProduct[ProductID],dProduct[CrateCost])*fSales[[#This Row],[Units]]</f>
        <v>712.8</v>
      </c>
      <c r="M229">
        <f>(_xlfn.XLOOKUP(fSales[[#This Row],[ProductID]],dProduct[ProductID],dProduct[CratePrice])-_xlfn.XLOOKUP(fSales[[#This Row],[ProductID]],dProduct[ProductID],dProduct[CrateCost]))/_xlfn.XLOOKUP(fSales[[#This Row],[ProductID]],dProduct[ProductID],dProduct[CratePrice])</f>
        <v>0.43999999999999995</v>
      </c>
      <c r="N229" t="str">
        <f>_xlfn.XLOOKUP(fSales[[#This Row],[SalesRepID]],dPSalesRep[SalesRepID],dPSalesRep[SalesRep])</f>
        <v>Chantel Mims</v>
      </c>
      <c r="O229" t="str">
        <f>_xlfn.XLOOKUP(fSales[[#This Row],[SalesRepID]],dPSalesRep[SalesRepID],dPSalesRep[Region])</f>
        <v>NW</v>
      </c>
      <c r="P229" t="str">
        <f>_xlfn.XLOOKUP(fSales[[#This Row],[ProductID]],dProduct[ProductID],dProduct[Product])</f>
        <v>Kiwi</v>
      </c>
      <c r="Q229">
        <f>_xlfn.XLOOKUP(fSales[[#This Row],[ProductID]],dProduct[ProductID],dProduct[CratePrice])-_xlfn.XLOOKUP(fSales[[#This Row],[ProductID]],dProduct[ProductID],dProduct[CrateCost])</f>
        <v>9.8999999999999986</v>
      </c>
      <c r="R229">
        <f>_xlfn.XLOOKUP(fSales[[#This Row],[ProductID]],dProduct[ProductID],dProduct[CratePrice])</f>
        <v>22.5</v>
      </c>
      <c r="S229">
        <f>_xlfn.XLOOKUP(fSales[[#This Row],[ProductID]],dProduct[ProductID],dProduct[CrateCost])</f>
        <v>12.600000000000001</v>
      </c>
    </row>
    <row r="230" spans="7:19" x14ac:dyDescent="0.25">
      <c r="G230" s="2">
        <v>45455</v>
      </c>
      <c r="H230">
        <v>192</v>
      </c>
      <c r="I230" t="s">
        <v>28</v>
      </c>
      <c r="J230" t="s">
        <v>37</v>
      </c>
      <c r="K230">
        <f>_xlfn.XLOOKUP(fSales[[#This Row],[ProductID]],dProduct[ProductID],dProduct[CratePrice])*fSales[[#This Row],[Units]]</f>
        <v>8390.4000000000015</v>
      </c>
      <c r="L230">
        <f>fSales[[#This Row],[Total sales]]-_xlfn.XLOOKUP(fSales[[#This Row],[ProductID]],dProduct[ProductID],dProduct[CrateCost])*fSales[[#This Row],[Units]]</f>
        <v>3523.9680000000017</v>
      </c>
      <c r="M230">
        <f>(_xlfn.XLOOKUP(fSales[[#This Row],[ProductID]],dProduct[ProductID],dProduct[CratePrice])-_xlfn.XLOOKUP(fSales[[#This Row],[ProductID]],dProduct[ProductID],dProduct[CrateCost]))/_xlfn.XLOOKUP(fSales[[#This Row],[ProductID]],dProduct[ProductID],dProduct[CratePrice])</f>
        <v>0.42000000000000004</v>
      </c>
      <c r="N230" t="str">
        <f>_xlfn.XLOOKUP(fSales[[#This Row],[SalesRepID]],dPSalesRep[SalesRepID],dPSalesRep[SalesRep])</f>
        <v>Chantel Mims</v>
      </c>
      <c r="O230" t="str">
        <f>_xlfn.XLOOKUP(fSales[[#This Row],[SalesRepID]],dPSalesRep[SalesRepID],dPSalesRep[Region])</f>
        <v>NW</v>
      </c>
      <c r="P230" t="str">
        <f>_xlfn.XLOOKUP(fSales[[#This Row],[ProductID]],dProduct[ProductID],dProduct[Product])</f>
        <v>Cherry</v>
      </c>
      <c r="Q230">
        <f>_xlfn.XLOOKUP(fSales[[#This Row],[ProductID]],dProduct[ProductID],dProduct[CratePrice])-_xlfn.XLOOKUP(fSales[[#This Row],[ProductID]],dProduct[ProductID],dProduct[CrateCost])</f>
        <v>18.354000000000003</v>
      </c>
      <c r="R230">
        <f>_xlfn.XLOOKUP(fSales[[#This Row],[ProductID]],dProduct[ProductID],dProduct[CratePrice])</f>
        <v>43.7</v>
      </c>
      <c r="S230">
        <f>_xlfn.XLOOKUP(fSales[[#This Row],[ProductID]],dProduct[ProductID],dProduct[CrateCost])</f>
        <v>25.346</v>
      </c>
    </row>
    <row r="231" spans="7:19" x14ac:dyDescent="0.25">
      <c r="G231" s="2">
        <v>45455</v>
      </c>
      <c r="H231">
        <v>24</v>
      </c>
      <c r="I231" t="s">
        <v>19</v>
      </c>
      <c r="J231" t="s">
        <v>22</v>
      </c>
      <c r="K231">
        <f>_xlfn.XLOOKUP(fSales[[#This Row],[ProductID]],dProduct[ProductID],dProduct[CratePrice])*fSales[[#This Row],[Units]]</f>
        <v>840</v>
      </c>
      <c r="L231">
        <f>fSales[[#This Row],[Total sales]]-_xlfn.XLOOKUP(fSales[[#This Row],[ProductID]],dProduct[ProductID],dProduct[CrateCost])*fSales[[#This Row],[Units]]</f>
        <v>470.4</v>
      </c>
      <c r="M231">
        <f>(_xlfn.XLOOKUP(fSales[[#This Row],[ProductID]],dProduct[ProductID],dProduct[CratePrice])-_xlfn.XLOOKUP(fSales[[#This Row],[ProductID]],dProduct[ProductID],dProduct[CrateCost]))/_xlfn.XLOOKUP(fSales[[#This Row],[ProductID]],dProduct[ProductID],dProduct[CratePrice])</f>
        <v>0.56000000000000005</v>
      </c>
      <c r="N231" t="str">
        <f>_xlfn.XLOOKUP(fSales[[#This Row],[SalesRepID]],dPSalesRep[SalesRepID],dPSalesRep[SalesRep])</f>
        <v>Timmy Kips</v>
      </c>
      <c r="O231" t="str">
        <f>_xlfn.XLOOKUP(fSales[[#This Row],[SalesRepID]],dPSalesRep[SalesRepID],dPSalesRep[Region])</f>
        <v>East</v>
      </c>
      <c r="P231" t="str">
        <f>_xlfn.XLOOKUP(fSales[[#This Row],[ProductID]],dProduct[ProductID],dProduct[Product])</f>
        <v>Apple</v>
      </c>
      <c r="Q231">
        <f>_xlfn.XLOOKUP(fSales[[#This Row],[ProductID]],dProduct[ProductID],dProduct[CratePrice])-_xlfn.XLOOKUP(fSales[[#This Row],[ProductID]],dProduct[ProductID],dProduct[CrateCost])</f>
        <v>19.600000000000001</v>
      </c>
      <c r="R231">
        <f>_xlfn.XLOOKUP(fSales[[#This Row],[ProductID]],dProduct[ProductID],dProduct[CratePrice])</f>
        <v>35</v>
      </c>
      <c r="S231">
        <f>_xlfn.XLOOKUP(fSales[[#This Row],[ProductID]],dProduct[ProductID],dProduct[CrateCost])</f>
        <v>15.4</v>
      </c>
    </row>
    <row r="232" spans="7:19" x14ac:dyDescent="0.25">
      <c r="G232" s="2">
        <v>45456</v>
      </c>
      <c r="H232">
        <v>204</v>
      </c>
      <c r="I232" t="s">
        <v>28</v>
      </c>
      <c r="J232" t="s">
        <v>22</v>
      </c>
      <c r="K232">
        <f>_xlfn.XLOOKUP(fSales[[#This Row],[ProductID]],dProduct[ProductID],dProduct[CratePrice])*fSales[[#This Row],[Units]]</f>
        <v>8914.8000000000011</v>
      </c>
      <c r="L232">
        <f>fSales[[#This Row],[Total sales]]-_xlfn.XLOOKUP(fSales[[#This Row],[ProductID]],dProduct[ProductID],dProduct[CrateCost])*fSales[[#This Row],[Units]]</f>
        <v>3744.2160000000013</v>
      </c>
      <c r="M232">
        <f>(_xlfn.XLOOKUP(fSales[[#This Row],[ProductID]],dProduct[ProductID],dProduct[CratePrice])-_xlfn.XLOOKUP(fSales[[#This Row],[ProductID]],dProduct[ProductID],dProduct[CrateCost]))/_xlfn.XLOOKUP(fSales[[#This Row],[ProductID]],dProduct[ProductID],dProduct[CratePrice])</f>
        <v>0.42000000000000004</v>
      </c>
      <c r="N232" t="str">
        <f>_xlfn.XLOOKUP(fSales[[#This Row],[SalesRepID]],dPSalesRep[SalesRepID],dPSalesRep[SalesRep])</f>
        <v>Timmy Kips</v>
      </c>
      <c r="O232" t="str">
        <f>_xlfn.XLOOKUP(fSales[[#This Row],[SalesRepID]],dPSalesRep[SalesRepID],dPSalesRep[Region])</f>
        <v>East</v>
      </c>
      <c r="P232" t="str">
        <f>_xlfn.XLOOKUP(fSales[[#This Row],[ProductID]],dProduct[ProductID],dProduct[Product])</f>
        <v>Cherry</v>
      </c>
      <c r="Q232">
        <f>_xlfn.XLOOKUP(fSales[[#This Row],[ProductID]],dProduct[ProductID],dProduct[CratePrice])-_xlfn.XLOOKUP(fSales[[#This Row],[ProductID]],dProduct[ProductID],dProduct[CrateCost])</f>
        <v>18.354000000000003</v>
      </c>
      <c r="R232">
        <f>_xlfn.XLOOKUP(fSales[[#This Row],[ProductID]],dProduct[ProductID],dProduct[CratePrice])</f>
        <v>43.7</v>
      </c>
      <c r="S232">
        <f>_xlfn.XLOOKUP(fSales[[#This Row],[ProductID]],dProduct[ProductID],dProduct[CrateCost])</f>
        <v>25.346</v>
      </c>
    </row>
    <row r="233" spans="7:19" x14ac:dyDescent="0.25">
      <c r="G233" s="2">
        <v>45459</v>
      </c>
      <c r="H233">
        <v>96</v>
      </c>
      <c r="I233" t="s">
        <v>26</v>
      </c>
      <c r="J233" t="s">
        <v>29</v>
      </c>
      <c r="K233">
        <f>_xlfn.XLOOKUP(fSales[[#This Row],[ProductID]],dProduct[ProductID],dProduct[CratePrice])*fSales[[#This Row],[Units]]</f>
        <v>2856</v>
      </c>
      <c r="L233">
        <f>fSales[[#This Row],[Total sales]]-_xlfn.XLOOKUP(fSales[[#This Row],[ProductID]],dProduct[ProductID],dProduct[CrateCost])*fSales[[#This Row],[Units]]</f>
        <v>1199.52</v>
      </c>
      <c r="M233">
        <f>(_xlfn.XLOOKUP(fSales[[#This Row],[ProductID]],dProduct[ProductID],dProduct[CratePrice])-_xlfn.XLOOKUP(fSales[[#This Row],[ProductID]],dProduct[ProductID],dProduct[CrateCost]))/_xlfn.XLOOKUP(fSales[[#This Row],[ProductID]],dProduct[ProductID],dProduct[CratePrice])</f>
        <v>0.42000000000000004</v>
      </c>
      <c r="N233" t="str">
        <f>_xlfn.XLOOKUP(fSales[[#This Row],[SalesRepID]],dPSalesRep[SalesRepID],dPSalesRep[SalesRep])</f>
        <v>Sioux Best</v>
      </c>
      <c r="O233" t="str">
        <f>_xlfn.XLOOKUP(fSales[[#This Row],[SalesRepID]],dPSalesRep[SalesRepID],dPSalesRep[Region])</f>
        <v>West</v>
      </c>
      <c r="P233" t="str">
        <f>_xlfn.XLOOKUP(fSales[[#This Row],[ProductID]],dProduct[ProductID],dProduct[Product])</f>
        <v>Orange</v>
      </c>
      <c r="Q233">
        <f>_xlfn.XLOOKUP(fSales[[#This Row],[ProductID]],dProduct[ProductID],dProduct[CratePrice])-_xlfn.XLOOKUP(fSales[[#This Row],[ProductID]],dProduct[ProductID],dProduct[CrateCost])</f>
        <v>12.495000000000001</v>
      </c>
      <c r="R233">
        <f>_xlfn.XLOOKUP(fSales[[#This Row],[ProductID]],dProduct[ProductID],dProduct[CratePrice])</f>
        <v>29.75</v>
      </c>
      <c r="S233">
        <f>_xlfn.XLOOKUP(fSales[[#This Row],[ProductID]],dProduct[ProductID],dProduct[CrateCost])</f>
        <v>17.254999999999999</v>
      </c>
    </row>
    <row r="234" spans="7:19" x14ac:dyDescent="0.25">
      <c r="G234" s="2">
        <v>45459</v>
      </c>
      <c r="H234">
        <v>240</v>
      </c>
      <c r="I234" t="s">
        <v>28</v>
      </c>
      <c r="J234" t="s">
        <v>37</v>
      </c>
      <c r="K234">
        <f>_xlfn.XLOOKUP(fSales[[#This Row],[ProductID]],dProduct[ProductID],dProduct[CratePrice])*fSales[[#This Row],[Units]]</f>
        <v>10488</v>
      </c>
      <c r="L234">
        <f>fSales[[#This Row],[Total sales]]-_xlfn.XLOOKUP(fSales[[#This Row],[ProductID]],dProduct[ProductID],dProduct[CrateCost])*fSales[[#This Row],[Units]]</f>
        <v>4404.96</v>
      </c>
      <c r="M234">
        <f>(_xlfn.XLOOKUP(fSales[[#This Row],[ProductID]],dProduct[ProductID],dProduct[CratePrice])-_xlfn.XLOOKUP(fSales[[#This Row],[ProductID]],dProduct[ProductID],dProduct[CrateCost]))/_xlfn.XLOOKUP(fSales[[#This Row],[ProductID]],dProduct[ProductID],dProduct[CratePrice])</f>
        <v>0.42000000000000004</v>
      </c>
      <c r="N234" t="str">
        <f>_xlfn.XLOOKUP(fSales[[#This Row],[SalesRepID]],dPSalesRep[SalesRepID],dPSalesRep[SalesRep])</f>
        <v>Chantel Mims</v>
      </c>
      <c r="O234" t="str">
        <f>_xlfn.XLOOKUP(fSales[[#This Row],[SalesRepID]],dPSalesRep[SalesRepID],dPSalesRep[Region])</f>
        <v>NW</v>
      </c>
      <c r="P234" t="str">
        <f>_xlfn.XLOOKUP(fSales[[#This Row],[ProductID]],dProduct[ProductID],dProduct[Product])</f>
        <v>Cherry</v>
      </c>
      <c r="Q234">
        <f>_xlfn.XLOOKUP(fSales[[#This Row],[ProductID]],dProduct[ProductID],dProduct[CratePrice])-_xlfn.XLOOKUP(fSales[[#This Row],[ProductID]],dProduct[ProductID],dProduct[CrateCost])</f>
        <v>18.354000000000003</v>
      </c>
      <c r="R234">
        <f>_xlfn.XLOOKUP(fSales[[#This Row],[ProductID]],dProduct[ProductID],dProduct[CratePrice])</f>
        <v>43.7</v>
      </c>
      <c r="S234">
        <f>_xlfn.XLOOKUP(fSales[[#This Row],[ProductID]],dProduct[ProductID],dProduct[CrateCost])</f>
        <v>25.346</v>
      </c>
    </row>
    <row r="235" spans="7:19" x14ac:dyDescent="0.25">
      <c r="G235" s="2">
        <v>45459</v>
      </c>
      <c r="H235">
        <v>228</v>
      </c>
      <c r="I235" t="s">
        <v>19</v>
      </c>
      <c r="J235" t="s">
        <v>32</v>
      </c>
      <c r="K235">
        <f>_xlfn.XLOOKUP(fSales[[#This Row],[ProductID]],dProduct[ProductID],dProduct[CratePrice])*fSales[[#This Row],[Units]]</f>
        <v>7980</v>
      </c>
      <c r="L235">
        <f>fSales[[#This Row],[Total sales]]-_xlfn.XLOOKUP(fSales[[#This Row],[ProductID]],dProduct[ProductID],dProduct[CrateCost])*fSales[[#This Row],[Units]]</f>
        <v>4468.7999999999993</v>
      </c>
      <c r="M235">
        <f>(_xlfn.XLOOKUP(fSales[[#This Row],[ProductID]],dProduct[ProductID],dProduct[CratePrice])-_xlfn.XLOOKUP(fSales[[#This Row],[ProductID]],dProduct[ProductID],dProduct[CrateCost]))/_xlfn.XLOOKUP(fSales[[#This Row],[ProductID]],dProduct[ProductID],dProduct[CratePrice])</f>
        <v>0.56000000000000005</v>
      </c>
      <c r="N235" t="str">
        <f>_xlfn.XLOOKUP(fSales[[#This Row],[SalesRepID]],dPSalesRep[SalesRepID],dPSalesRep[SalesRep])</f>
        <v>Shihara Fazzaa</v>
      </c>
      <c r="O235" t="str">
        <f>_xlfn.XLOOKUP(fSales[[#This Row],[SalesRepID]],dPSalesRep[SalesRepID],dPSalesRep[Region])</f>
        <v>East</v>
      </c>
      <c r="P235" t="str">
        <f>_xlfn.XLOOKUP(fSales[[#This Row],[ProductID]],dProduct[ProductID],dProduct[Product])</f>
        <v>Apple</v>
      </c>
      <c r="Q235">
        <f>_xlfn.XLOOKUP(fSales[[#This Row],[ProductID]],dProduct[ProductID],dProduct[CratePrice])-_xlfn.XLOOKUP(fSales[[#This Row],[ProductID]],dProduct[ProductID],dProduct[CrateCost])</f>
        <v>19.600000000000001</v>
      </c>
      <c r="R235">
        <f>_xlfn.XLOOKUP(fSales[[#This Row],[ProductID]],dProduct[ProductID],dProduct[CratePrice])</f>
        <v>35</v>
      </c>
      <c r="S235">
        <f>_xlfn.XLOOKUP(fSales[[#This Row],[ProductID]],dProduct[ProductID],dProduct[CrateCost])</f>
        <v>15.4</v>
      </c>
    </row>
    <row r="236" spans="7:19" x14ac:dyDescent="0.25">
      <c r="G236" s="2">
        <v>45460</v>
      </c>
      <c r="H236">
        <v>72</v>
      </c>
      <c r="I236" t="s">
        <v>34</v>
      </c>
      <c r="J236" t="s">
        <v>52</v>
      </c>
      <c r="K236">
        <f>_xlfn.XLOOKUP(fSales[[#This Row],[ProductID]],dProduct[ProductID],dProduct[CratePrice])*fSales[[#This Row],[Units]]</f>
        <v>1260</v>
      </c>
      <c r="L236">
        <f>fSales[[#This Row],[Total sales]]-_xlfn.XLOOKUP(fSales[[#This Row],[ProductID]],dProduct[ProductID],dProduct[CrateCost])*fSales[[#This Row],[Units]]</f>
        <v>415.79999999999995</v>
      </c>
      <c r="M236">
        <f>(_xlfn.XLOOKUP(fSales[[#This Row],[ProductID]],dProduct[ProductID],dProduct[CratePrice])-_xlfn.XLOOKUP(fSales[[#This Row],[ProductID]],dProduct[ProductID],dProduct[CrateCost]))/_xlfn.XLOOKUP(fSales[[#This Row],[ProductID]],dProduct[ProductID],dProduct[CratePrice])</f>
        <v>0.3299999999999999</v>
      </c>
      <c r="N236" t="str">
        <f>_xlfn.XLOOKUP(fSales[[#This Row],[SalesRepID]],dPSalesRep[SalesRepID],dPSalesRep[SalesRep])</f>
        <v>Smitty Rad</v>
      </c>
      <c r="O236" t="str">
        <f>_xlfn.XLOOKUP(fSales[[#This Row],[SalesRepID]],dPSalesRep[SalesRepID],dPSalesRep[Region])</f>
        <v>MidWest</v>
      </c>
      <c r="P236" t="str">
        <f>_xlfn.XLOOKUP(fSales[[#This Row],[ProductID]],dProduct[ProductID],dProduct[Product])</f>
        <v>Banana</v>
      </c>
      <c r="Q236">
        <f>_xlfn.XLOOKUP(fSales[[#This Row],[ProductID]],dProduct[ProductID],dProduct[CratePrice])-_xlfn.XLOOKUP(fSales[[#This Row],[ProductID]],dProduct[ProductID],dProduct[CrateCost])</f>
        <v>5.7749999999999986</v>
      </c>
      <c r="R236">
        <f>_xlfn.XLOOKUP(fSales[[#This Row],[ProductID]],dProduct[ProductID],dProduct[CratePrice])</f>
        <v>17.5</v>
      </c>
      <c r="S236">
        <f>_xlfn.XLOOKUP(fSales[[#This Row],[ProductID]],dProduct[ProductID],dProduct[CrateCost])</f>
        <v>11.725000000000001</v>
      </c>
    </row>
    <row r="237" spans="7:19" x14ac:dyDescent="0.25">
      <c r="G237" s="2">
        <v>45460</v>
      </c>
      <c r="H237">
        <v>24</v>
      </c>
      <c r="I237" t="s">
        <v>26</v>
      </c>
      <c r="J237" t="s">
        <v>52</v>
      </c>
      <c r="K237">
        <f>_xlfn.XLOOKUP(fSales[[#This Row],[ProductID]],dProduct[ProductID],dProduct[CratePrice])*fSales[[#This Row],[Units]]</f>
        <v>714</v>
      </c>
      <c r="L237">
        <f>fSales[[#This Row],[Total sales]]-_xlfn.XLOOKUP(fSales[[#This Row],[ProductID]],dProduct[ProductID],dProduct[CrateCost])*fSales[[#This Row],[Units]]</f>
        <v>299.88</v>
      </c>
      <c r="M237">
        <f>(_xlfn.XLOOKUP(fSales[[#This Row],[ProductID]],dProduct[ProductID],dProduct[CratePrice])-_xlfn.XLOOKUP(fSales[[#This Row],[ProductID]],dProduct[ProductID],dProduct[CrateCost]))/_xlfn.XLOOKUP(fSales[[#This Row],[ProductID]],dProduct[ProductID],dProduct[CratePrice])</f>
        <v>0.42000000000000004</v>
      </c>
      <c r="N237" t="str">
        <f>_xlfn.XLOOKUP(fSales[[#This Row],[SalesRepID]],dPSalesRep[SalesRepID],dPSalesRep[SalesRep])</f>
        <v>Smitty Rad</v>
      </c>
      <c r="O237" t="str">
        <f>_xlfn.XLOOKUP(fSales[[#This Row],[SalesRepID]],dPSalesRep[SalesRepID],dPSalesRep[Region])</f>
        <v>MidWest</v>
      </c>
      <c r="P237" t="str">
        <f>_xlfn.XLOOKUP(fSales[[#This Row],[ProductID]],dProduct[ProductID],dProduct[Product])</f>
        <v>Orange</v>
      </c>
      <c r="Q237">
        <f>_xlfn.XLOOKUP(fSales[[#This Row],[ProductID]],dProduct[ProductID],dProduct[CratePrice])-_xlfn.XLOOKUP(fSales[[#This Row],[ProductID]],dProduct[ProductID],dProduct[CrateCost])</f>
        <v>12.495000000000001</v>
      </c>
      <c r="R237">
        <f>_xlfn.XLOOKUP(fSales[[#This Row],[ProductID]],dProduct[ProductID],dProduct[CratePrice])</f>
        <v>29.75</v>
      </c>
      <c r="S237">
        <f>_xlfn.XLOOKUP(fSales[[#This Row],[ProductID]],dProduct[ProductID],dProduct[CrateCost])</f>
        <v>17.254999999999999</v>
      </c>
    </row>
    <row r="238" spans="7:19" x14ac:dyDescent="0.25">
      <c r="G238" s="2">
        <v>45462</v>
      </c>
      <c r="H238">
        <v>288</v>
      </c>
      <c r="I238" t="s">
        <v>21</v>
      </c>
      <c r="J238" t="s">
        <v>22</v>
      </c>
      <c r="K238">
        <f>_xlfn.XLOOKUP(fSales[[#This Row],[ProductID]],dProduct[ProductID],dProduct[CratePrice])*fSales[[#This Row],[Units]]</f>
        <v>6480</v>
      </c>
      <c r="L238">
        <f>fSales[[#This Row],[Total sales]]-_xlfn.XLOOKUP(fSales[[#This Row],[ProductID]],dProduct[ProductID],dProduct[CrateCost])*fSales[[#This Row],[Units]]</f>
        <v>2851.2</v>
      </c>
      <c r="M238">
        <f>(_xlfn.XLOOKUP(fSales[[#This Row],[ProductID]],dProduct[ProductID],dProduct[CratePrice])-_xlfn.XLOOKUP(fSales[[#This Row],[ProductID]],dProduct[ProductID],dProduct[CrateCost]))/_xlfn.XLOOKUP(fSales[[#This Row],[ProductID]],dProduct[ProductID],dProduct[CratePrice])</f>
        <v>0.43999999999999995</v>
      </c>
      <c r="N238" t="str">
        <f>_xlfn.XLOOKUP(fSales[[#This Row],[SalesRepID]],dPSalesRep[SalesRepID],dPSalesRep[SalesRep])</f>
        <v>Timmy Kips</v>
      </c>
      <c r="O238" t="str">
        <f>_xlfn.XLOOKUP(fSales[[#This Row],[SalesRepID]],dPSalesRep[SalesRepID],dPSalesRep[Region])</f>
        <v>East</v>
      </c>
      <c r="P238" t="str">
        <f>_xlfn.XLOOKUP(fSales[[#This Row],[ProductID]],dProduct[ProductID],dProduct[Product])</f>
        <v>Kiwi</v>
      </c>
      <c r="Q238">
        <f>_xlfn.XLOOKUP(fSales[[#This Row],[ProductID]],dProduct[ProductID],dProduct[CratePrice])-_xlfn.XLOOKUP(fSales[[#This Row],[ProductID]],dProduct[ProductID],dProduct[CrateCost])</f>
        <v>9.8999999999999986</v>
      </c>
      <c r="R238">
        <f>_xlfn.XLOOKUP(fSales[[#This Row],[ProductID]],dProduct[ProductID],dProduct[CratePrice])</f>
        <v>22.5</v>
      </c>
      <c r="S238">
        <f>_xlfn.XLOOKUP(fSales[[#This Row],[ProductID]],dProduct[ProductID],dProduct[CrateCost])</f>
        <v>12.600000000000001</v>
      </c>
    </row>
    <row r="239" spans="7:19" x14ac:dyDescent="0.25">
      <c r="G239" s="2">
        <v>45463</v>
      </c>
      <c r="H239">
        <v>48</v>
      </c>
      <c r="I239" t="s">
        <v>28</v>
      </c>
      <c r="J239" t="s">
        <v>52</v>
      </c>
      <c r="K239">
        <f>_xlfn.XLOOKUP(fSales[[#This Row],[ProductID]],dProduct[ProductID],dProduct[CratePrice])*fSales[[#This Row],[Units]]</f>
        <v>2097.6000000000004</v>
      </c>
      <c r="L239">
        <f>fSales[[#This Row],[Total sales]]-_xlfn.XLOOKUP(fSales[[#This Row],[ProductID]],dProduct[ProductID],dProduct[CrateCost])*fSales[[#This Row],[Units]]</f>
        <v>880.99200000000042</v>
      </c>
      <c r="M239">
        <f>(_xlfn.XLOOKUP(fSales[[#This Row],[ProductID]],dProduct[ProductID],dProduct[CratePrice])-_xlfn.XLOOKUP(fSales[[#This Row],[ProductID]],dProduct[ProductID],dProduct[CrateCost]))/_xlfn.XLOOKUP(fSales[[#This Row],[ProductID]],dProduct[ProductID],dProduct[CratePrice])</f>
        <v>0.42000000000000004</v>
      </c>
      <c r="N239" t="str">
        <f>_xlfn.XLOOKUP(fSales[[#This Row],[SalesRepID]],dPSalesRep[SalesRepID],dPSalesRep[SalesRep])</f>
        <v>Smitty Rad</v>
      </c>
      <c r="O239" t="str">
        <f>_xlfn.XLOOKUP(fSales[[#This Row],[SalesRepID]],dPSalesRep[SalesRepID],dPSalesRep[Region])</f>
        <v>MidWest</v>
      </c>
      <c r="P239" t="str">
        <f>_xlfn.XLOOKUP(fSales[[#This Row],[ProductID]],dProduct[ProductID],dProduct[Product])</f>
        <v>Cherry</v>
      </c>
      <c r="Q239">
        <f>_xlfn.XLOOKUP(fSales[[#This Row],[ProductID]],dProduct[ProductID],dProduct[CratePrice])-_xlfn.XLOOKUP(fSales[[#This Row],[ProductID]],dProduct[ProductID],dProduct[CrateCost])</f>
        <v>18.354000000000003</v>
      </c>
      <c r="R239">
        <f>_xlfn.XLOOKUP(fSales[[#This Row],[ProductID]],dProduct[ProductID],dProduct[CratePrice])</f>
        <v>43.7</v>
      </c>
      <c r="S239">
        <f>_xlfn.XLOOKUP(fSales[[#This Row],[ProductID]],dProduct[ProductID],dProduct[CrateCost])</f>
        <v>25.346</v>
      </c>
    </row>
    <row r="240" spans="7:19" x14ac:dyDescent="0.25">
      <c r="G240" s="2">
        <v>45464</v>
      </c>
      <c r="H240">
        <v>144</v>
      </c>
      <c r="I240" t="s">
        <v>28</v>
      </c>
      <c r="J240" t="s">
        <v>52</v>
      </c>
      <c r="K240">
        <f>_xlfn.XLOOKUP(fSales[[#This Row],[ProductID]],dProduct[ProductID],dProduct[CratePrice])*fSales[[#This Row],[Units]]</f>
        <v>6292.8</v>
      </c>
      <c r="L240">
        <f>fSales[[#This Row],[Total sales]]-_xlfn.XLOOKUP(fSales[[#This Row],[ProductID]],dProduct[ProductID],dProduct[CrateCost])*fSales[[#This Row],[Units]]</f>
        <v>2642.9760000000001</v>
      </c>
      <c r="M240">
        <f>(_xlfn.XLOOKUP(fSales[[#This Row],[ProductID]],dProduct[ProductID],dProduct[CratePrice])-_xlfn.XLOOKUP(fSales[[#This Row],[ProductID]],dProduct[ProductID],dProduct[CrateCost]))/_xlfn.XLOOKUP(fSales[[#This Row],[ProductID]],dProduct[ProductID],dProduct[CratePrice])</f>
        <v>0.42000000000000004</v>
      </c>
      <c r="N240" t="str">
        <f>_xlfn.XLOOKUP(fSales[[#This Row],[SalesRepID]],dPSalesRep[SalesRepID],dPSalesRep[SalesRep])</f>
        <v>Smitty Rad</v>
      </c>
      <c r="O240" t="str">
        <f>_xlfn.XLOOKUP(fSales[[#This Row],[SalesRepID]],dPSalesRep[SalesRepID],dPSalesRep[Region])</f>
        <v>MidWest</v>
      </c>
      <c r="P240" t="str">
        <f>_xlfn.XLOOKUP(fSales[[#This Row],[ProductID]],dProduct[ProductID],dProduct[Product])</f>
        <v>Cherry</v>
      </c>
      <c r="Q240">
        <f>_xlfn.XLOOKUP(fSales[[#This Row],[ProductID]],dProduct[ProductID],dProduct[CratePrice])-_xlfn.XLOOKUP(fSales[[#This Row],[ProductID]],dProduct[ProductID],dProduct[CrateCost])</f>
        <v>18.354000000000003</v>
      </c>
      <c r="R240">
        <f>_xlfn.XLOOKUP(fSales[[#This Row],[ProductID]],dProduct[ProductID],dProduct[CratePrice])</f>
        <v>43.7</v>
      </c>
      <c r="S240">
        <f>_xlfn.XLOOKUP(fSales[[#This Row],[ProductID]],dProduct[ProductID],dProduct[CrateCost])</f>
        <v>25.346</v>
      </c>
    </row>
    <row r="241" spans="7:19" x14ac:dyDescent="0.25">
      <c r="G241" s="2">
        <v>45465</v>
      </c>
      <c r="H241">
        <v>24</v>
      </c>
      <c r="I241" t="s">
        <v>26</v>
      </c>
      <c r="J241" t="s">
        <v>22</v>
      </c>
      <c r="K241">
        <f>_xlfn.XLOOKUP(fSales[[#This Row],[ProductID]],dProduct[ProductID],dProduct[CratePrice])*fSales[[#This Row],[Units]]</f>
        <v>714</v>
      </c>
      <c r="L241">
        <f>fSales[[#This Row],[Total sales]]-_xlfn.XLOOKUP(fSales[[#This Row],[ProductID]],dProduct[ProductID],dProduct[CrateCost])*fSales[[#This Row],[Units]]</f>
        <v>299.88</v>
      </c>
      <c r="M241">
        <f>(_xlfn.XLOOKUP(fSales[[#This Row],[ProductID]],dProduct[ProductID],dProduct[CratePrice])-_xlfn.XLOOKUP(fSales[[#This Row],[ProductID]],dProduct[ProductID],dProduct[CrateCost]))/_xlfn.XLOOKUP(fSales[[#This Row],[ProductID]],dProduct[ProductID],dProduct[CratePrice])</f>
        <v>0.42000000000000004</v>
      </c>
      <c r="N241" t="str">
        <f>_xlfn.XLOOKUP(fSales[[#This Row],[SalesRepID]],dPSalesRep[SalesRepID],dPSalesRep[SalesRep])</f>
        <v>Timmy Kips</v>
      </c>
      <c r="O241" t="str">
        <f>_xlfn.XLOOKUP(fSales[[#This Row],[SalesRepID]],dPSalesRep[SalesRepID],dPSalesRep[Region])</f>
        <v>East</v>
      </c>
      <c r="P241" t="str">
        <f>_xlfn.XLOOKUP(fSales[[#This Row],[ProductID]],dProduct[ProductID],dProduct[Product])</f>
        <v>Orange</v>
      </c>
      <c r="Q241">
        <f>_xlfn.XLOOKUP(fSales[[#This Row],[ProductID]],dProduct[ProductID],dProduct[CratePrice])-_xlfn.XLOOKUP(fSales[[#This Row],[ProductID]],dProduct[ProductID],dProduct[CrateCost])</f>
        <v>12.495000000000001</v>
      </c>
      <c r="R241">
        <f>_xlfn.XLOOKUP(fSales[[#This Row],[ProductID]],dProduct[ProductID],dProduct[CratePrice])</f>
        <v>29.75</v>
      </c>
      <c r="S241">
        <f>_xlfn.XLOOKUP(fSales[[#This Row],[ProductID]],dProduct[ProductID],dProduct[CrateCost])</f>
        <v>17.254999999999999</v>
      </c>
    </row>
    <row r="242" spans="7:19" x14ac:dyDescent="0.25">
      <c r="G242" s="2">
        <v>45466</v>
      </c>
      <c r="H242">
        <v>276</v>
      </c>
      <c r="I242" t="s">
        <v>26</v>
      </c>
      <c r="J242" t="s">
        <v>52</v>
      </c>
      <c r="K242">
        <f>_xlfn.XLOOKUP(fSales[[#This Row],[ProductID]],dProduct[ProductID],dProduct[CratePrice])*fSales[[#This Row],[Units]]</f>
        <v>8211</v>
      </c>
      <c r="L242">
        <f>fSales[[#This Row],[Total sales]]-_xlfn.XLOOKUP(fSales[[#This Row],[ProductID]],dProduct[ProductID],dProduct[CrateCost])*fSales[[#This Row],[Units]]</f>
        <v>3448.62</v>
      </c>
      <c r="M242">
        <f>(_xlfn.XLOOKUP(fSales[[#This Row],[ProductID]],dProduct[ProductID],dProduct[CratePrice])-_xlfn.XLOOKUP(fSales[[#This Row],[ProductID]],dProduct[ProductID],dProduct[CrateCost]))/_xlfn.XLOOKUP(fSales[[#This Row],[ProductID]],dProduct[ProductID],dProduct[CratePrice])</f>
        <v>0.42000000000000004</v>
      </c>
      <c r="N242" t="str">
        <f>_xlfn.XLOOKUP(fSales[[#This Row],[SalesRepID]],dPSalesRep[SalesRepID],dPSalesRep[SalesRep])</f>
        <v>Smitty Rad</v>
      </c>
      <c r="O242" t="str">
        <f>_xlfn.XLOOKUP(fSales[[#This Row],[SalesRepID]],dPSalesRep[SalesRepID],dPSalesRep[Region])</f>
        <v>MidWest</v>
      </c>
      <c r="P242" t="str">
        <f>_xlfn.XLOOKUP(fSales[[#This Row],[ProductID]],dProduct[ProductID],dProduct[Product])</f>
        <v>Orange</v>
      </c>
      <c r="Q242">
        <f>_xlfn.XLOOKUP(fSales[[#This Row],[ProductID]],dProduct[ProductID],dProduct[CratePrice])-_xlfn.XLOOKUP(fSales[[#This Row],[ProductID]],dProduct[ProductID],dProduct[CrateCost])</f>
        <v>12.495000000000001</v>
      </c>
      <c r="R242">
        <f>_xlfn.XLOOKUP(fSales[[#This Row],[ProductID]],dProduct[ProductID],dProduct[CratePrice])</f>
        <v>29.75</v>
      </c>
      <c r="S242">
        <f>_xlfn.XLOOKUP(fSales[[#This Row],[ProductID]],dProduct[ProductID],dProduct[CrateCost])</f>
        <v>17.254999999999999</v>
      </c>
    </row>
    <row r="243" spans="7:19" x14ac:dyDescent="0.25">
      <c r="G243" s="2">
        <v>45467</v>
      </c>
      <c r="H243">
        <v>264</v>
      </c>
      <c r="I243" t="s">
        <v>34</v>
      </c>
      <c r="J243" t="s">
        <v>52</v>
      </c>
      <c r="K243">
        <f>_xlfn.XLOOKUP(fSales[[#This Row],[ProductID]],dProduct[ProductID],dProduct[CratePrice])*fSales[[#This Row],[Units]]</f>
        <v>4620</v>
      </c>
      <c r="L243">
        <f>fSales[[#This Row],[Total sales]]-_xlfn.XLOOKUP(fSales[[#This Row],[ProductID]],dProduct[ProductID],dProduct[CrateCost])*fSales[[#This Row],[Units]]</f>
        <v>1524.5999999999995</v>
      </c>
      <c r="M243">
        <f>(_xlfn.XLOOKUP(fSales[[#This Row],[ProductID]],dProduct[ProductID],dProduct[CratePrice])-_xlfn.XLOOKUP(fSales[[#This Row],[ProductID]],dProduct[ProductID],dProduct[CrateCost]))/_xlfn.XLOOKUP(fSales[[#This Row],[ProductID]],dProduct[ProductID],dProduct[CratePrice])</f>
        <v>0.3299999999999999</v>
      </c>
      <c r="N243" t="str">
        <f>_xlfn.XLOOKUP(fSales[[#This Row],[SalesRepID]],dPSalesRep[SalesRepID],dPSalesRep[SalesRep])</f>
        <v>Smitty Rad</v>
      </c>
      <c r="O243" t="str">
        <f>_xlfn.XLOOKUP(fSales[[#This Row],[SalesRepID]],dPSalesRep[SalesRepID],dPSalesRep[Region])</f>
        <v>MidWest</v>
      </c>
      <c r="P243" t="str">
        <f>_xlfn.XLOOKUP(fSales[[#This Row],[ProductID]],dProduct[ProductID],dProduct[Product])</f>
        <v>Banana</v>
      </c>
      <c r="Q243">
        <f>_xlfn.XLOOKUP(fSales[[#This Row],[ProductID]],dProduct[ProductID],dProduct[CratePrice])-_xlfn.XLOOKUP(fSales[[#This Row],[ProductID]],dProduct[ProductID],dProduct[CrateCost])</f>
        <v>5.7749999999999986</v>
      </c>
      <c r="R243">
        <f>_xlfn.XLOOKUP(fSales[[#This Row],[ProductID]],dProduct[ProductID],dProduct[CratePrice])</f>
        <v>17.5</v>
      </c>
      <c r="S243">
        <f>_xlfn.XLOOKUP(fSales[[#This Row],[ProductID]],dProduct[ProductID],dProduct[CrateCost])</f>
        <v>11.725000000000001</v>
      </c>
    </row>
    <row r="244" spans="7:19" x14ac:dyDescent="0.25">
      <c r="G244" s="2">
        <v>45467</v>
      </c>
      <c r="H244">
        <v>264</v>
      </c>
      <c r="I244" t="s">
        <v>26</v>
      </c>
      <c r="J244" t="s">
        <v>22</v>
      </c>
      <c r="K244">
        <f>_xlfn.XLOOKUP(fSales[[#This Row],[ProductID]],dProduct[ProductID],dProduct[CratePrice])*fSales[[#This Row],[Units]]</f>
        <v>7854</v>
      </c>
      <c r="L244">
        <f>fSales[[#This Row],[Total sales]]-_xlfn.XLOOKUP(fSales[[#This Row],[ProductID]],dProduct[ProductID],dProduct[CrateCost])*fSales[[#This Row],[Units]]</f>
        <v>3298.6800000000003</v>
      </c>
      <c r="M244">
        <f>(_xlfn.XLOOKUP(fSales[[#This Row],[ProductID]],dProduct[ProductID],dProduct[CratePrice])-_xlfn.XLOOKUP(fSales[[#This Row],[ProductID]],dProduct[ProductID],dProduct[CrateCost]))/_xlfn.XLOOKUP(fSales[[#This Row],[ProductID]],dProduct[ProductID],dProduct[CratePrice])</f>
        <v>0.42000000000000004</v>
      </c>
      <c r="N244" t="str">
        <f>_xlfn.XLOOKUP(fSales[[#This Row],[SalesRepID]],dPSalesRep[SalesRepID],dPSalesRep[SalesRep])</f>
        <v>Timmy Kips</v>
      </c>
      <c r="O244" t="str">
        <f>_xlfn.XLOOKUP(fSales[[#This Row],[SalesRepID]],dPSalesRep[SalesRepID],dPSalesRep[Region])</f>
        <v>East</v>
      </c>
      <c r="P244" t="str">
        <f>_xlfn.XLOOKUP(fSales[[#This Row],[ProductID]],dProduct[ProductID],dProduct[Product])</f>
        <v>Orange</v>
      </c>
      <c r="Q244">
        <f>_xlfn.XLOOKUP(fSales[[#This Row],[ProductID]],dProduct[ProductID],dProduct[CratePrice])-_xlfn.XLOOKUP(fSales[[#This Row],[ProductID]],dProduct[ProductID],dProduct[CrateCost])</f>
        <v>12.495000000000001</v>
      </c>
      <c r="R244">
        <f>_xlfn.XLOOKUP(fSales[[#This Row],[ProductID]],dProduct[ProductID],dProduct[CratePrice])</f>
        <v>29.75</v>
      </c>
      <c r="S244">
        <f>_xlfn.XLOOKUP(fSales[[#This Row],[ProductID]],dProduct[ProductID],dProduct[CrateCost])</f>
        <v>17.254999999999999</v>
      </c>
    </row>
    <row r="245" spans="7:19" x14ac:dyDescent="0.25">
      <c r="G245" s="2">
        <v>45467</v>
      </c>
      <c r="H245">
        <v>264</v>
      </c>
      <c r="I245" t="s">
        <v>28</v>
      </c>
      <c r="J245" t="s">
        <v>32</v>
      </c>
      <c r="K245">
        <f>_xlfn.XLOOKUP(fSales[[#This Row],[ProductID]],dProduct[ProductID],dProduct[CratePrice])*fSales[[#This Row],[Units]]</f>
        <v>11536.800000000001</v>
      </c>
      <c r="L245">
        <f>fSales[[#This Row],[Total sales]]-_xlfn.XLOOKUP(fSales[[#This Row],[ProductID]],dProduct[ProductID],dProduct[CrateCost])*fSales[[#This Row],[Units]]</f>
        <v>4845.456000000001</v>
      </c>
      <c r="M245">
        <f>(_xlfn.XLOOKUP(fSales[[#This Row],[ProductID]],dProduct[ProductID],dProduct[CratePrice])-_xlfn.XLOOKUP(fSales[[#This Row],[ProductID]],dProduct[ProductID],dProduct[CrateCost]))/_xlfn.XLOOKUP(fSales[[#This Row],[ProductID]],dProduct[ProductID],dProduct[CratePrice])</f>
        <v>0.42000000000000004</v>
      </c>
      <c r="N245" t="str">
        <f>_xlfn.XLOOKUP(fSales[[#This Row],[SalesRepID]],dPSalesRep[SalesRepID],dPSalesRep[SalesRep])</f>
        <v>Shihara Fazzaa</v>
      </c>
      <c r="O245" t="str">
        <f>_xlfn.XLOOKUP(fSales[[#This Row],[SalesRepID]],dPSalesRep[SalesRepID],dPSalesRep[Region])</f>
        <v>East</v>
      </c>
      <c r="P245" t="str">
        <f>_xlfn.XLOOKUP(fSales[[#This Row],[ProductID]],dProduct[ProductID],dProduct[Product])</f>
        <v>Cherry</v>
      </c>
      <c r="Q245">
        <f>_xlfn.XLOOKUP(fSales[[#This Row],[ProductID]],dProduct[ProductID],dProduct[CratePrice])-_xlfn.XLOOKUP(fSales[[#This Row],[ProductID]],dProduct[ProductID],dProduct[CrateCost])</f>
        <v>18.354000000000003</v>
      </c>
      <c r="R245">
        <f>_xlfn.XLOOKUP(fSales[[#This Row],[ProductID]],dProduct[ProductID],dProduct[CratePrice])</f>
        <v>43.7</v>
      </c>
      <c r="S245">
        <f>_xlfn.XLOOKUP(fSales[[#This Row],[ProductID]],dProduct[ProductID],dProduct[CrateCost])</f>
        <v>25.346</v>
      </c>
    </row>
    <row r="246" spans="7:19" x14ac:dyDescent="0.25">
      <c r="G246" s="2">
        <v>45467</v>
      </c>
      <c r="H246">
        <v>228</v>
      </c>
      <c r="I246" t="s">
        <v>28</v>
      </c>
      <c r="J246" t="s">
        <v>52</v>
      </c>
      <c r="K246">
        <f>_xlfn.XLOOKUP(fSales[[#This Row],[ProductID]],dProduct[ProductID],dProduct[CratePrice])*fSales[[#This Row],[Units]]</f>
        <v>9963.6</v>
      </c>
      <c r="L246">
        <f>fSales[[#This Row],[Total sales]]-_xlfn.XLOOKUP(fSales[[#This Row],[ProductID]],dProduct[ProductID],dProduct[CrateCost])*fSales[[#This Row],[Units]]</f>
        <v>4184.7120000000004</v>
      </c>
      <c r="M246">
        <f>(_xlfn.XLOOKUP(fSales[[#This Row],[ProductID]],dProduct[ProductID],dProduct[CratePrice])-_xlfn.XLOOKUP(fSales[[#This Row],[ProductID]],dProduct[ProductID],dProduct[CrateCost]))/_xlfn.XLOOKUP(fSales[[#This Row],[ProductID]],dProduct[ProductID],dProduct[CratePrice])</f>
        <v>0.42000000000000004</v>
      </c>
      <c r="N246" t="str">
        <f>_xlfn.XLOOKUP(fSales[[#This Row],[SalesRepID]],dPSalesRep[SalesRepID],dPSalesRep[SalesRep])</f>
        <v>Smitty Rad</v>
      </c>
      <c r="O246" t="str">
        <f>_xlfn.XLOOKUP(fSales[[#This Row],[SalesRepID]],dPSalesRep[SalesRepID],dPSalesRep[Region])</f>
        <v>MidWest</v>
      </c>
      <c r="P246" t="str">
        <f>_xlfn.XLOOKUP(fSales[[#This Row],[ProductID]],dProduct[ProductID],dProduct[Product])</f>
        <v>Cherry</v>
      </c>
      <c r="Q246">
        <f>_xlfn.XLOOKUP(fSales[[#This Row],[ProductID]],dProduct[ProductID],dProduct[CratePrice])-_xlfn.XLOOKUP(fSales[[#This Row],[ProductID]],dProduct[ProductID],dProduct[CrateCost])</f>
        <v>18.354000000000003</v>
      </c>
      <c r="R246">
        <f>_xlfn.XLOOKUP(fSales[[#This Row],[ProductID]],dProduct[ProductID],dProduct[CratePrice])</f>
        <v>43.7</v>
      </c>
      <c r="S246">
        <f>_xlfn.XLOOKUP(fSales[[#This Row],[ProductID]],dProduct[ProductID],dProduct[CrateCost])</f>
        <v>25.346</v>
      </c>
    </row>
    <row r="247" spans="7:19" x14ac:dyDescent="0.25">
      <c r="G247" s="2">
        <v>45468</v>
      </c>
      <c r="H247">
        <v>204</v>
      </c>
      <c r="I247" t="s">
        <v>34</v>
      </c>
      <c r="J247" t="s">
        <v>29</v>
      </c>
      <c r="K247">
        <f>_xlfn.XLOOKUP(fSales[[#This Row],[ProductID]],dProduct[ProductID],dProduct[CratePrice])*fSales[[#This Row],[Units]]</f>
        <v>3570</v>
      </c>
      <c r="L247">
        <f>fSales[[#This Row],[Total sales]]-_xlfn.XLOOKUP(fSales[[#This Row],[ProductID]],dProduct[ProductID],dProduct[CrateCost])*fSales[[#This Row],[Units]]</f>
        <v>1178.0999999999999</v>
      </c>
      <c r="M247">
        <f>(_xlfn.XLOOKUP(fSales[[#This Row],[ProductID]],dProduct[ProductID],dProduct[CratePrice])-_xlfn.XLOOKUP(fSales[[#This Row],[ProductID]],dProduct[ProductID],dProduct[CrateCost]))/_xlfn.XLOOKUP(fSales[[#This Row],[ProductID]],dProduct[ProductID],dProduct[CratePrice])</f>
        <v>0.3299999999999999</v>
      </c>
      <c r="N247" t="str">
        <f>_xlfn.XLOOKUP(fSales[[#This Row],[SalesRepID]],dPSalesRep[SalesRepID],dPSalesRep[SalesRep])</f>
        <v>Sioux Best</v>
      </c>
      <c r="O247" t="str">
        <f>_xlfn.XLOOKUP(fSales[[#This Row],[SalesRepID]],dPSalesRep[SalesRepID],dPSalesRep[Region])</f>
        <v>West</v>
      </c>
      <c r="P247" t="str">
        <f>_xlfn.XLOOKUP(fSales[[#This Row],[ProductID]],dProduct[ProductID],dProduct[Product])</f>
        <v>Banana</v>
      </c>
      <c r="Q247">
        <f>_xlfn.XLOOKUP(fSales[[#This Row],[ProductID]],dProduct[ProductID],dProduct[CratePrice])-_xlfn.XLOOKUP(fSales[[#This Row],[ProductID]],dProduct[ProductID],dProduct[CrateCost])</f>
        <v>5.7749999999999986</v>
      </c>
      <c r="R247">
        <f>_xlfn.XLOOKUP(fSales[[#This Row],[ProductID]],dProduct[ProductID],dProduct[CratePrice])</f>
        <v>17.5</v>
      </c>
      <c r="S247">
        <f>_xlfn.XLOOKUP(fSales[[#This Row],[ProductID]],dProduct[ProductID],dProduct[CrateCost])</f>
        <v>11.725000000000001</v>
      </c>
    </row>
    <row r="248" spans="7:19" x14ac:dyDescent="0.25">
      <c r="G248" s="2">
        <v>45469</v>
      </c>
      <c r="H248">
        <v>252</v>
      </c>
      <c r="I248" t="s">
        <v>26</v>
      </c>
      <c r="J248" t="s">
        <v>29</v>
      </c>
      <c r="K248">
        <f>_xlfn.XLOOKUP(fSales[[#This Row],[ProductID]],dProduct[ProductID],dProduct[CratePrice])*fSales[[#This Row],[Units]]</f>
        <v>7497</v>
      </c>
      <c r="L248">
        <f>fSales[[#This Row],[Total sales]]-_xlfn.XLOOKUP(fSales[[#This Row],[ProductID]],dProduct[ProductID],dProduct[CrateCost])*fSales[[#This Row],[Units]]</f>
        <v>3148.7400000000007</v>
      </c>
      <c r="M248">
        <f>(_xlfn.XLOOKUP(fSales[[#This Row],[ProductID]],dProduct[ProductID],dProduct[CratePrice])-_xlfn.XLOOKUP(fSales[[#This Row],[ProductID]],dProduct[ProductID],dProduct[CrateCost]))/_xlfn.XLOOKUP(fSales[[#This Row],[ProductID]],dProduct[ProductID],dProduct[CratePrice])</f>
        <v>0.42000000000000004</v>
      </c>
      <c r="N248" t="str">
        <f>_xlfn.XLOOKUP(fSales[[#This Row],[SalesRepID]],dPSalesRep[SalesRepID],dPSalesRep[SalesRep])</f>
        <v>Sioux Best</v>
      </c>
      <c r="O248" t="str">
        <f>_xlfn.XLOOKUP(fSales[[#This Row],[SalesRepID]],dPSalesRep[SalesRepID],dPSalesRep[Region])</f>
        <v>West</v>
      </c>
      <c r="P248" t="str">
        <f>_xlfn.XLOOKUP(fSales[[#This Row],[ProductID]],dProduct[ProductID],dProduct[Product])</f>
        <v>Orange</v>
      </c>
      <c r="Q248">
        <f>_xlfn.XLOOKUP(fSales[[#This Row],[ProductID]],dProduct[ProductID],dProduct[CratePrice])-_xlfn.XLOOKUP(fSales[[#This Row],[ProductID]],dProduct[ProductID],dProduct[CrateCost])</f>
        <v>12.495000000000001</v>
      </c>
      <c r="R248">
        <f>_xlfn.XLOOKUP(fSales[[#This Row],[ProductID]],dProduct[ProductID],dProduct[CratePrice])</f>
        <v>29.75</v>
      </c>
      <c r="S248">
        <f>_xlfn.XLOOKUP(fSales[[#This Row],[ProductID]],dProduct[ProductID],dProduct[CrateCost])</f>
        <v>17.254999999999999</v>
      </c>
    </row>
    <row r="249" spans="7:19" x14ac:dyDescent="0.25">
      <c r="G249" s="2">
        <v>45469</v>
      </c>
      <c r="H249">
        <v>300</v>
      </c>
      <c r="I249" t="s">
        <v>19</v>
      </c>
      <c r="J249" t="s">
        <v>37</v>
      </c>
      <c r="K249">
        <f>_xlfn.XLOOKUP(fSales[[#This Row],[ProductID]],dProduct[ProductID],dProduct[CratePrice])*fSales[[#This Row],[Units]]</f>
        <v>10500</v>
      </c>
      <c r="L249">
        <f>fSales[[#This Row],[Total sales]]-_xlfn.XLOOKUP(fSales[[#This Row],[ProductID]],dProduct[ProductID],dProduct[CrateCost])*fSales[[#This Row],[Units]]</f>
        <v>5880</v>
      </c>
      <c r="M249">
        <f>(_xlfn.XLOOKUP(fSales[[#This Row],[ProductID]],dProduct[ProductID],dProduct[CratePrice])-_xlfn.XLOOKUP(fSales[[#This Row],[ProductID]],dProduct[ProductID],dProduct[CrateCost]))/_xlfn.XLOOKUP(fSales[[#This Row],[ProductID]],dProduct[ProductID],dProduct[CratePrice])</f>
        <v>0.56000000000000005</v>
      </c>
      <c r="N249" t="str">
        <f>_xlfn.XLOOKUP(fSales[[#This Row],[SalesRepID]],dPSalesRep[SalesRepID],dPSalesRep[SalesRep])</f>
        <v>Chantel Mims</v>
      </c>
      <c r="O249" t="str">
        <f>_xlfn.XLOOKUP(fSales[[#This Row],[SalesRepID]],dPSalesRep[SalesRepID],dPSalesRep[Region])</f>
        <v>NW</v>
      </c>
      <c r="P249" t="str">
        <f>_xlfn.XLOOKUP(fSales[[#This Row],[ProductID]],dProduct[ProductID],dProduct[Product])</f>
        <v>Apple</v>
      </c>
      <c r="Q249">
        <f>_xlfn.XLOOKUP(fSales[[#This Row],[ProductID]],dProduct[ProductID],dProduct[CratePrice])-_xlfn.XLOOKUP(fSales[[#This Row],[ProductID]],dProduct[ProductID],dProduct[CrateCost])</f>
        <v>19.600000000000001</v>
      </c>
      <c r="R249">
        <f>_xlfn.XLOOKUP(fSales[[#This Row],[ProductID]],dProduct[ProductID],dProduct[CratePrice])</f>
        <v>35</v>
      </c>
      <c r="S249">
        <f>_xlfn.XLOOKUP(fSales[[#This Row],[ProductID]],dProduct[ProductID],dProduct[CrateCost])</f>
        <v>15.4</v>
      </c>
    </row>
    <row r="250" spans="7:19" x14ac:dyDescent="0.25">
      <c r="G250" s="2">
        <v>45469</v>
      </c>
      <c r="H250">
        <v>288</v>
      </c>
      <c r="I250" t="s">
        <v>28</v>
      </c>
      <c r="J250" t="s">
        <v>22</v>
      </c>
      <c r="K250">
        <f>_xlfn.XLOOKUP(fSales[[#This Row],[ProductID]],dProduct[ProductID],dProduct[CratePrice])*fSales[[#This Row],[Units]]</f>
        <v>12585.6</v>
      </c>
      <c r="L250">
        <f>fSales[[#This Row],[Total sales]]-_xlfn.XLOOKUP(fSales[[#This Row],[ProductID]],dProduct[ProductID],dProduct[CrateCost])*fSales[[#This Row],[Units]]</f>
        <v>5285.9520000000002</v>
      </c>
      <c r="M250">
        <f>(_xlfn.XLOOKUP(fSales[[#This Row],[ProductID]],dProduct[ProductID],dProduct[CratePrice])-_xlfn.XLOOKUP(fSales[[#This Row],[ProductID]],dProduct[ProductID],dProduct[CrateCost]))/_xlfn.XLOOKUP(fSales[[#This Row],[ProductID]],dProduct[ProductID],dProduct[CratePrice])</f>
        <v>0.42000000000000004</v>
      </c>
      <c r="N250" t="str">
        <f>_xlfn.XLOOKUP(fSales[[#This Row],[SalesRepID]],dPSalesRep[SalesRepID],dPSalesRep[SalesRep])</f>
        <v>Timmy Kips</v>
      </c>
      <c r="O250" t="str">
        <f>_xlfn.XLOOKUP(fSales[[#This Row],[SalesRepID]],dPSalesRep[SalesRepID],dPSalesRep[Region])</f>
        <v>East</v>
      </c>
      <c r="P250" t="str">
        <f>_xlfn.XLOOKUP(fSales[[#This Row],[ProductID]],dProduct[ProductID],dProduct[Product])</f>
        <v>Cherry</v>
      </c>
      <c r="Q250">
        <f>_xlfn.XLOOKUP(fSales[[#This Row],[ProductID]],dProduct[ProductID],dProduct[CratePrice])-_xlfn.XLOOKUP(fSales[[#This Row],[ProductID]],dProduct[ProductID],dProduct[CrateCost])</f>
        <v>18.354000000000003</v>
      </c>
      <c r="R250">
        <f>_xlfn.XLOOKUP(fSales[[#This Row],[ProductID]],dProduct[ProductID],dProduct[CratePrice])</f>
        <v>43.7</v>
      </c>
      <c r="S250">
        <f>_xlfn.XLOOKUP(fSales[[#This Row],[ProductID]],dProduct[ProductID],dProduct[CrateCost])</f>
        <v>25.346</v>
      </c>
    </row>
    <row r="251" spans="7:19" x14ac:dyDescent="0.25">
      <c r="G251" s="2">
        <v>45470</v>
      </c>
      <c r="H251">
        <v>108</v>
      </c>
      <c r="I251" t="s">
        <v>26</v>
      </c>
      <c r="J251" t="s">
        <v>52</v>
      </c>
      <c r="K251">
        <f>_xlfn.XLOOKUP(fSales[[#This Row],[ProductID]],dProduct[ProductID],dProduct[CratePrice])*fSales[[#This Row],[Units]]</f>
        <v>3213</v>
      </c>
      <c r="L251">
        <f>fSales[[#This Row],[Total sales]]-_xlfn.XLOOKUP(fSales[[#This Row],[ProductID]],dProduct[ProductID],dProduct[CrateCost])*fSales[[#This Row],[Units]]</f>
        <v>1349.46</v>
      </c>
      <c r="M251">
        <f>(_xlfn.XLOOKUP(fSales[[#This Row],[ProductID]],dProduct[ProductID],dProduct[CratePrice])-_xlfn.XLOOKUP(fSales[[#This Row],[ProductID]],dProduct[ProductID],dProduct[CrateCost]))/_xlfn.XLOOKUP(fSales[[#This Row],[ProductID]],dProduct[ProductID],dProduct[CratePrice])</f>
        <v>0.42000000000000004</v>
      </c>
      <c r="N251" t="str">
        <f>_xlfn.XLOOKUP(fSales[[#This Row],[SalesRepID]],dPSalesRep[SalesRepID],dPSalesRep[SalesRep])</f>
        <v>Smitty Rad</v>
      </c>
      <c r="O251" t="str">
        <f>_xlfn.XLOOKUP(fSales[[#This Row],[SalesRepID]],dPSalesRep[SalesRepID],dPSalesRep[Region])</f>
        <v>MidWest</v>
      </c>
      <c r="P251" t="str">
        <f>_xlfn.XLOOKUP(fSales[[#This Row],[ProductID]],dProduct[ProductID],dProduct[Product])</f>
        <v>Orange</v>
      </c>
      <c r="Q251">
        <f>_xlfn.XLOOKUP(fSales[[#This Row],[ProductID]],dProduct[ProductID],dProduct[CratePrice])-_xlfn.XLOOKUP(fSales[[#This Row],[ProductID]],dProduct[ProductID],dProduct[CrateCost])</f>
        <v>12.495000000000001</v>
      </c>
      <c r="R251">
        <f>_xlfn.XLOOKUP(fSales[[#This Row],[ProductID]],dProduct[ProductID],dProduct[CratePrice])</f>
        <v>29.75</v>
      </c>
      <c r="S251">
        <f>_xlfn.XLOOKUP(fSales[[#This Row],[ProductID]],dProduct[ProductID],dProduct[CrateCost])</f>
        <v>17.254999999999999</v>
      </c>
    </row>
    <row r="252" spans="7:19" x14ac:dyDescent="0.25">
      <c r="G252" s="2">
        <v>45470</v>
      </c>
      <c r="H252">
        <v>96</v>
      </c>
      <c r="I252" t="s">
        <v>21</v>
      </c>
      <c r="J252" t="s">
        <v>37</v>
      </c>
      <c r="K252">
        <f>_xlfn.XLOOKUP(fSales[[#This Row],[ProductID]],dProduct[ProductID],dProduct[CratePrice])*fSales[[#This Row],[Units]]</f>
        <v>2160</v>
      </c>
      <c r="L252">
        <f>fSales[[#This Row],[Total sales]]-_xlfn.XLOOKUP(fSales[[#This Row],[ProductID]],dProduct[ProductID],dProduct[CrateCost])*fSales[[#This Row],[Units]]</f>
        <v>950.39999999999986</v>
      </c>
      <c r="M252">
        <f>(_xlfn.XLOOKUP(fSales[[#This Row],[ProductID]],dProduct[ProductID],dProduct[CratePrice])-_xlfn.XLOOKUP(fSales[[#This Row],[ProductID]],dProduct[ProductID],dProduct[CrateCost]))/_xlfn.XLOOKUP(fSales[[#This Row],[ProductID]],dProduct[ProductID],dProduct[CratePrice])</f>
        <v>0.43999999999999995</v>
      </c>
      <c r="N252" t="str">
        <f>_xlfn.XLOOKUP(fSales[[#This Row],[SalesRepID]],dPSalesRep[SalesRepID],dPSalesRep[SalesRep])</f>
        <v>Chantel Mims</v>
      </c>
      <c r="O252" t="str">
        <f>_xlfn.XLOOKUP(fSales[[#This Row],[SalesRepID]],dPSalesRep[SalesRepID],dPSalesRep[Region])</f>
        <v>NW</v>
      </c>
      <c r="P252" t="str">
        <f>_xlfn.XLOOKUP(fSales[[#This Row],[ProductID]],dProduct[ProductID],dProduct[Product])</f>
        <v>Kiwi</v>
      </c>
      <c r="Q252">
        <f>_xlfn.XLOOKUP(fSales[[#This Row],[ProductID]],dProduct[ProductID],dProduct[CratePrice])-_xlfn.XLOOKUP(fSales[[#This Row],[ProductID]],dProduct[ProductID],dProduct[CrateCost])</f>
        <v>9.8999999999999986</v>
      </c>
      <c r="R252">
        <f>_xlfn.XLOOKUP(fSales[[#This Row],[ProductID]],dProduct[ProductID],dProduct[CratePrice])</f>
        <v>22.5</v>
      </c>
      <c r="S252">
        <f>_xlfn.XLOOKUP(fSales[[#This Row],[ProductID]],dProduct[ProductID],dProduct[CrateCost])</f>
        <v>12.600000000000001</v>
      </c>
    </row>
    <row r="253" spans="7:19" x14ac:dyDescent="0.25">
      <c r="G253" s="2">
        <v>45470</v>
      </c>
      <c r="H253">
        <v>48</v>
      </c>
      <c r="I253" t="s">
        <v>26</v>
      </c>
      <c r="J253" t="s">
        <v>52</v>
      </c>
      <c r="K253">
        <f>_xlfn.XLOOKUP(fSales[[#This Row],[ProductID]],dProduct[ProductID],dProduct[CratePrice])*fSales[[#This Row],[Units]]</f>
        <v>1428</v>
      </c>
      <c r="L253">
        <f>fSales[[#This Row],[Total sales]]-_xlfn.XLOOKUP(fSales[[#This Row],[ProductID]],dProduct[ProductID],dProduct[CrateCost])*fSales[[#This Row],[Units]]</f>
        <v>599.76</v>
      </c>
      <c r="M253">
        <f>(_xlfn.XLOOKUP(fSales[[#This Row],[ProductID]],dProduct[ProductID],dProduct[CratePrice])-_xlfn.XLOOKUP(fSales[[#This Row],[ProductID]],dProduct[ProductID],dProduct[CrateCost]))/_xlfn.XLOOKUP(fSales[[#This Row],[ProductID]],dProduct[ProductID],dProduct[CratePrice])</f>
        <v>0.42000000000000004</v>
      </c>
      <c r="N253" t="str">
        <f>_xlfn.XLOOKUP(fSales[[#This Row],[SalesRepID]],dPSalesRep[SalesRepID],dPSalesRep[SalesRep])</f>
        <v>Smitty Rad</v>
      </c>
      <c r="O253" t="str">
        <f>_xlfn.XLOOKUP(fSales[[#This Row],[SalesRepID]],dPSalesRep[SalesRepID],dPSalesRep[Region])</f>
        <v>MidWest</v>
      </c>
      <c r="P253" t="str">
        <f>_xlfn.XLOOKUP(fSales[[#This Row],[ProductID]],dProduct[ProductID],dProduct[Product])</f>
        <v>Orange</v>
      </c>
      <c r="Q253">
        <f>_xlfn.XLOOKUP(fSales[[#This Row],[ProductID]],dProduct[ProductID],dProduct[CratePrice])-_xlfn.XLOOKUP(fSales[[#This Row],[ProductID]],dProduct[ProductID],dProduct[CrateCost])</f>
        <v>12.495000000000001</v>
      </c>
      <c r="R253">
        <f>_xlfn.XLOOKUP(fSales[[#This Row],[ProductID]],dProduct[ProductID],dProduct[CratePrice])</f>
        <v>29.75</v>
      </c>
      <c r="S253">
        <f>_xlfn.XLOOKUP(fSales[[#This Row],[ProductID]],dProduct[ProductID],dProduct[CrateCost])</f>
        <v>17.254999999999999</v>
      </c>
    </row>
    <row r="254" spans="7:19" x14ac:dyDescent="0.25">
      <c r="G254" s="2">
        <v>45471</v>
      </c>
      <c r="H254">
        <v>168</v>
      </c>
      <c r="I254" t="s">
        <v>28</v>
      </c>
      <c r="J254" t="s">
        <v>22</v>
      </c>
      <c r="K254">
        <f>_xlfn.XLOOKUP(fSales[[#This Row],[ProductID]],dProduct[ProductID],dProduct[CratePrice])*fSales[[#This Row],[Units]]</f>
        <v>7341.6</v>
      </c>
      <c r="L254">
        <f>fSales[[#This Row],[Total sales]]-_xlfn.XLOOKUP(fSales[[#This Row],[ProductID]],dProduct[ProductID],dProduct[CrateCost])*fSales[[#This Row],[Units]]</f>
        <v>3083.4720000000007</v>
      </c>
      <c r="M254">
        <f>(_xlfn.XLOOKUP(fSales[[#This Row],[ProductID]],dProduct[ProductID],dProduct[CratePrice])-_xlfn.XLOOKUP(fSales[[#This Row],[ProductID]],dProduct[ProductID],dProduct[CrateCost]))/_xlfn.XLOOKUP(fSales[[#This Row],[ProductID]],dProduct[ProductID],dProduct[CratePrice])</f>
        <v>0.42000000000000004</v>
      </c>
      <c r="N254" t="str">
        <f>_xlfn.XLOOKUP(fSales[[#This Row],[SalesRepID]],dPSalesRep[SalesRepID],dPSalesRep[SalesRep])</f>
        <v>Timmy Kips</v>
      </c>
      <c r="O254" t="str">
        <f>_xlfn.XLOOKUP(fSales[[#This Row],[SalesRepID]],dPSalesRep[SalesRepID],dPSalesRep[Region])</f>
        <v>East</v>
      </c>
      <c r="P254" t="str">
        <f>_xlfn.XLOOKUP(fSales[[#This Row],[ProductID]],dProduct[ProductID],dProduct[Product])</f>
        <v>Cherry</v>
      </c>
      <c r="Q254">
        <f>_xlfn.XLOOKUP(fSales[[#This Row],[ProductID]],dProduct[ProductID],dProduct[CratePrice])-_xlfn.XLOOKUP(fSales[[#This Row],[ProductID]],dProduct[ProductID],dProduct[CrateCost])</f>
        <v>18.354000000000003</v>
      </c>
      <c r="R254">
        <f>_xlfn.XLOOKUP(fSales[[#This Row],[ProductID]],dProduct[ProductID],dProduct[CratePrice])</f>
        <v>43.7</v>
      </c>
      <c r="S254">
        <f>_xlfn.XLOOKUP(fSales[[#This Row],[ProductID]],dProduct[ProductID],dProduct[CrateCost])</f>
        <v>25.346</v>
      </c>
    </row>
    <row r="255" spans="7:19" x14ac:dyDescent="0.25">
      <c r="G255" s="2">
        <v>45473</v>
      </c>
      <c r="H255">
        <v>240</v>
      </c>
      <c r="I255" t="s">
        <v>21</v>
      </c>
      <c r="J255" t="s">
        <v>22</v>
      </c>
      <c r="K255">
        <f>_xlfn.XLOOKUP(fSales[[#This Row],[ProductID]],dProduct[ProductID],dProduct[CratePrice])*fSales[[#This Row],[Units]]</f>
        <v>5400</v>
      </c>
      <c r="L255">
        <f>fSales[[#This Row],[Total sales]]-_xlfn.XLOOKUP(fSales[[#This Row],[ProductID]],dProduct[ProductID],dProduct[CrateCost])*fSales[[#This Row],[Units]]</f>
        <v>2375.9999999999995</v>
      </c>
      <c r="M255">
        <f>(_xlfn.XLOOKUP(fSales[[#This Row],[ProductID]],dProduct[ProductID],dProduct[CratePrice])-_xlfn.XLOOKUP(fSales[[#This Row],[ProductID]],dProduct[ProductID],dProduct[CrateCost]))/_xlfn.XLOOKUP(fSales[[#This Row],[ProductID]],dProduct[ProductID],dProduct[CratePrice])</f>
        <v>0.43999999999999995</v>
      </c>
      <c r="N255" t="str">
        <f>_xlfn.XLOOKUP(fSales[[#This Row],[SalesRepID]],dPSalesRep[SalesRepID],dPSalesRep[SalesRep])</f>
        <v>Timmy Kips</v>
      </c>
      <c r="O255" t="str">
        <f>_xlfn.XLOOKUP(fSales[[#This Row],[SalesRepID]],dPSalesRep[SalesRepID],dPSalesRep[Region])</f>
        <v>East</v>
      </c>
      <c r="P255" t="str">
        <f>_xlfn.XLOOKUP(fSales[[#This Row],[ProductID]],dProduct[ProductID],dProduct[Product])</f>
        <v>Kiwi</v>
      </c>
      <c r="Q255">
        <f>_xlfn.XLOOKUP(fSales[[#This Row],[ProductID]],dProduct[ProductID],dProduct[CratePrice])-_xlfn.XLOOKUP(fSales[[#This Row],[ProductID]],dProduct[ProductID],dProduct[CrateCost])</f>
        <v>9.8999999999999986</v>
      </c>
      <c r="R255">
        <f>_xlfn.XLOOKUP(fSales[[#This Row],[ProductID]],dProduct[ProductID],dProduct[CratePrice])</f>
        <v>22.5</v>
      </c>
      <c r="S255">
        <f>_xlfn.XLOOKUP(fSales[[#This Row],[ProductID]],dProduct[ProductID],dProduct[CrateCost])</f>
        <v>12.600000000000001</v>
      </c>
    </row>
    <row r="256" spans="7:19" x14ac:dyDescent="0.25">
      <c r="G256" s="2">
        <v>45473</v>
      </c>
      <c r="H256">
        <v>216</v>
      </c>
      <c r="I256" t="s">
        <v>21</v>
      </c>
      <c r="J256" t="s">
        <v>32</v>
      </c>
      <c r="K256">
        <f>_xlfn.XLOOKUP(fSales[[#This Row],[ProductID]],dProduct[ProductID],dProduct[CratePrice])*fSales[[#This Row],[Units]]</f>
        <v>4860</v>
      </c>
      <c r="L256">
        <f>fSales[[#This Row],[Total sales]]-_xlfn.XLOOKUP(fSales[[#This Row],[ProductID]],dProduct[ProductID],dProduct[CrateCost])*fSales[[#This Row],[Units]]</f>
        <v>2138.3999999999996</v>
      </c>
      <c r="M256">
        <f>(_xlfn.XLOOKUP(fSales[[#This Row],[ProductID]],dProduct[ProductID],dProduct[CratePrice])-_xlfn.XLOOKUP(fSales[[#This Row],[ProductID]],dProduct[ProductID],dProduct[CrateCost]))/_xlfn.XLOOKUP(fSales[[#This Row],[ProductID]],dProduct[ProductID],dProduct[CratePrice])</f>
        <v>0.43999999999999995</v>
      </c>
      <c r="N256" t="str">
        <f>_xlfn.XLOOKUP(fSales[[#This Row],[SalesRepID]],dPSalesRep[SalesRepID],dPSalesRep[SalesRep])</f>
        <v>Shihara Fazzaa</v>
      </c>
      <c r="O256" t="str">
        <f>_xlfn.XLOOKUP(fSales[[#This Row],[SalesRepID]],dPSalesRep[SalesRepID],dPSalesRep[Region])</f>
        <v>East</v>
      </c>
      <c r="P256" t="str">
        <f>_xlfn.XLOOKUP(fSales[[#This Row],[ProductID]],dProduct[ProductID],dProduct[Product])</f>
        <v>Kiwi</v>
      </c>
      <c r="Q256">
        <f>_xlfn.XLOOKUP(fSales[[#This Row],[ProductID]],dProduct[ProductID],dProduct[CratePrice])-_xlfn.XLOOKUP(fSales[[#This Row],[ProductID]],dProduct[ProductID],dProduct[CrateCost])</f>
        <v>9.8999999999999986</v>
      </c>
      <c r="R256">
        <f>_xlfn.XLOOKUP(fSales[[#This Row],[ProductID]],dProduct[ProductID],dProduct[CratePrice])</f>
        <v>22.5</v>
      </c>
      <c r="S256">
        <f>_xlfn.XLOOKUP(fSales[[#This Row],[ProductID]],dProduct[ProductID],dProduct[CrateCost])</f>
        <v>12.600000000000001</v>
      </c>
    </row>
    <row r="257" spans="7:19" x14ac:dyDescent="0.25">
      <c r="G257" s="2">
        <v>45474</v>
      </c>
      <c r="H257">
        <v>240</v>
      </c>
      <c r="I257" t="s">
        <v>26</v>
      </c>
      <c r="J257" t="s">
        <v>22</v>
      </c>
      <c r="K257">
        <f>_xlfn.XLOOKUP(fSales[[#This Row],[ProductID]],dProduct[ProductID],dProduct[CratePrice])*fSales[[#This Row],[Units]]</f>
        <v>7140</v>
      </c>
      <c r="L257">
        <f>fSales[[#This Row],[Total sales]]-_xlfn.XLOOKUP(fSales[[#This Row],[ProductID]],dProduct[ProductID],dProduct[CrateCost])*fSales[[#This Row],[Units]]</f>
        <v>2998.8</v>
      </c>
      <c r="M257">
        <f>(_xlfn.XLOOKUP(fSales[[#This Row],[ProductID]],dProduct[ProductID],dProduct[CratePrice])-_xlfn.XLOOKUP(fSales[[#This Row],[ProductID]],dProduct[ProductID],dProduct[CrateCost]))/_xlfn.XLOOKUP(fSales[[#This Row],[ProductID]],dProduct[ProductID],dProduct[CratePrice])</f>
        <v>0.42000000000000004</v>
      </c>
      <c r="N257" t="str">
        <f>_xlfn.XLOOKUP(fSales[[#This Row],[SalesRepID]],dPSalesRep[SalesRepID],dPSalesRep[SalesRep])</f>
        <v>Timmy Kips</v>
      </c>
      <c r="O257" t="str">
        <f>_xlfn.XLOOKUP(fSales[[#This Row],[SalesRepID]],dPSalesRep[SalesRepID],dPSalesRep[Region])</f>
        <v>East</v>
      </c>
      <c r="P257" t="str">
        <f>_xlfn.XLOOKUP(fSales[[#This Row],[ProductID]],dProduct[ProductID],dProduct[Product])</f>
        <v>Orange</v>
      </c>
      <c r="Q257">
        <f>_xlfn.XLOOKUP(fSales[[#This Row],[ProductID]],dProduct[ProductID],dProduct[CratePrice])-_xlfn.XLOOKUP(fSales[[#This Row],[ProductID]],dProduct[ProductID],dProduct[CrateCost])</f>
        <v>12.495000000000001</v>
      </c>
      <c r="R257">
        <f>_xlfn.XLOOKUP(fSales[[#This Row],[ProductID]],dProduct[ProductID],dProduct[CratePrice])</f>
        <v>29.75</v>
      </c>
      <c r="S257">
        <f>_xlfn.XLOOKUP(fSales[[#This Row],[ProductID]],dProduct[ProductID],dProduct[CrateCost])</f>
        <v>17.254999999999999</v>
      </c>
    </row>
    <row r="258" spans="7:19" x14ac:dyDescent="0.25">
      <c r="G258" s="2">
        <v>45475</v>
      </c>
      <c r="H258">
        <v>84</v>
      </c>
      <c r="I258" t="s">
        <v>34</v>
      </c>
      <c r="J258" t="s">
        <v>32</v>
      </c>
      <c r="K258">
        <f>_xlfn.XLOOKUP(fSales[[#This Row],[ProductID]],dProduct[ProductID],dProduct[CratePrice])*fSales[[#This Row],[Units]]</f>
        <v>1470</v>
      </c>
      <c r="L258">
        <f>fSales[[#This Row],[Total sales]]-_xlfn.XLOOKUP(fSales[[#This Row],[ProductID]],dProduct[ProductID],dProduct[CrateCost])*fSales[[#This Row],[Units]]</f>
        <v>485.09999999999991</v>
      </c>
      <c r="M258">
        <f>(_xlfn.XLOOKUP(fSales[[#This Row],[ProductID]],dProduct[ProductID],dProduct[CratePrice])-_xlfn.XLOOKUP(fSales[[#This Row],[ProductID]],dProduct[ProductID],dProduct[CrateCost]))/_xlfn.XLOOKUP(fSales[[#This Row],[ProductID]],dProduct[ProductID],dProduct[CratePrice])</f>
        <v>0.3299999999999999</v>
      </c>
      <c r="N258" t="str">
        <f>_xlfn.XLOOKUP(fSales[[#This Row],[SalesRepID]],dPSalesRep[SalesRepID],dPSalesRep[SalesRep])</f>
        <v>Shihara Fazzaa</v>
      </c>
      <c r="O258" t="str">
        <f>_xlfn.XLOOKUP(fSales[[#This Row],[SalesRepID]],dPSalesRep[SalesRepID],dPSalesRep[Region])</f>
        <v>East</v>
      </c>
      <c r="P258" t="str">
        <f>_xlfn.XLOOKUP(fSales[[#This Row],[ProductID]],dProduct[ProductID],dProduct[Product])</f>
        <v>Banana</v>
      </c>
      <c r="Q258">
        <f>_xlfn.XLOOKUP(fSales[[#This Row],[ProductID]],dProduct[ProductID],dProduct[CratePrice])-_xlfn.XLOOKUP(fSales[[#This Row],[ProductID]],dProduct[ProductID],dProduct[CrateCost])</f>
        <v>5.7749999999999986</v>
      </c>
      <c r="R258">
        <f>_xlfn.XLOOKUP(fSales[[#This Row],[ProductID]],dProduct[ProductID],dProduct[CratePrice])</f>
        <v>17.5</v>
      </c>
      <c r="S258">
        <f>_xlfn.XLOOKUP(fSales[[#This Row],[ProductID]],dProduct[ProductID],dProduct[CrateCost])</f>
        <v>11.725000000000001</v>
      </c>
    </row>
    <row r="259" spans="7:19" x14ac:dyDescent="0.25">
      <c r="G259" s="2">
        <v>45476</v>
      </c>
      <c r="H259">
        <v>144</v>
      </c>
      <c r="I259" t="s">
        <v>26</v>
      </c>
      <c r="J259" t="s">
        <v>37</v>
      </c>
      <c r="K259">
        <f>_xlfn.XLOOKUP(fSales[[#This Row],[ProductID]],dProduct[ProductID],dProduct[CratePrice])*fSales[[#This Row],[Units]]</f>
        <v>4284</v>
      </c>
      <c r="L259">
        <f>fSales[[#This Row],[Total sales]]-_xlfn.XLOOKUP(fSales[[#This Row],[ProductID]],dProduct[ProductID],dProduct[CrateCost])*fSales[[#This Row],[Units]]</f>
        <v>1799.2800000000002</v>
      </c>
      <c r="M259">
        <f>(_xlfn.XLOOKUP(fSales[[#This Row],[ProductID]],dProduct[ProductID],dProduct[CratePrice])-_xlfn.XLOOKUP(fSales[[#This Row],[ProductID]],dProduct[ProductID],dProduct[CrateCost]))/_xlfn.XLOOKUP(fSales[[#This Row],[ProductID]],dProduct[ProductID],dProduct[CratePrice])</f>
        <v>0.42000000000000004</v>
      </c>
      <c r="N259" t="str">
        <f>_xlfn.XLOOKUP(fSales[[#This Row],[SalesRepID]],dPSalesRep[SalesRepID],dPSalesRep[SalesRep])</f>
        <v>Chantel Mims</v>
      </c>
      <c r="O259" t="str">
        <f>_xlfn.XLOOKUP(fSales[[#This Row],[SalesRepID]],dPSalesRep[SalesRepID],dPSalesRep[Region])</f>
        <v>NW</v>
      </c>
      <c r="P259" t="str">
        <f>_xlfn.XLOOKUP(fSales[[#This Row],[ProductID]],dProduct[ProductID],dProduct[Product])</f>
        <v>Orange</v>
      </c>
      <c r="Q259">
        <f>_xlfn.XLOOKUP(fSales[[#This Row],[ProductID]],dProduct[ProductID],dProduct[CratePrice])-_xlfn.XLOOKUP(fSales[[#This Row],[ProductID]],dProduct[ProductID],dProduct[CrateCost])</f>
        <v>12.495000000000001</v>
      </c>
      <c r="R259">
        <f>_xlfn.XLOOKUP(fSales[[#This Row],[ProductID]],dProduct[ProductID],dProduct[CratePrice])</f>
        <v>29.75</v>
      </c>
      <c r="S259">
        <f>_xlfn.XLOOKUP(fSales[[#This Row],[ProductID]],dProduct[ProductID],dProduct[CrateCost])</f>
        <v>17.254999999999999</v>
      </c>
    </row>
    <row r="260" spans="7:19" x14ac:dyDescent="0.25">
      <c r="G260" s="2">
        <v>45476</v>
      </c>
      <c r="H260">
        <v>276</v>
      </c>
      <c r="I260" t="s">
        <v>21</v>
      </c>
      <c r="J260" t="s">
        <v>37</v>
      </c>
      <c r="K260">
        <f>_xlfn.XLOOKUP(fSales[[#This Row],[ProductID]],dProduct[ProductID],dProduct[CratePrice])*fSales[[#This Row],[Units]]</f>
        <v>6210</v>
      </c>
      <c r="L260">
        <f>fSales[[#This Row],[Total sales]]-_xlfn.XLOOKUP(fSales[[#This Row],[ProductID]],dProduct[ProductID],dProduct[CrateCost])*fSales[[#This Row],[Units]]</f>
        <v>2732.3999999999996</v>
      </c>
      <c r="M260">
        <f>(_xlfn.XLOOKUP(fSales[[#This Row],[ProductID]],dProduct[ProductID],dProduct[CratePrice])-_xlfn.XLOOKUP(fSales[[#This Row],[ProductID]],dProduct[ProductID],dProduct[CrateCost]))/_xlfn.XLOOKUP(fSales[[#This Row],[ProductID]],dProduct[ProductID],dProduct[CratePrice])</f>
        <v>0.43999999999999995</v>
      </c>
      <c r="N260" t="str">
        <f>_xlfn.XLOOKUP(fSales[[#This Row],[SalesRepID]],dPSalesRep[SalesRepID],dPSalesRep[SalesRep])</f>
        <v>Chantel Mims</v>
      </c>
      <c r="O260" t="str">
        <f>_xlfn.XLOOKUP(fSales[[#This Row],[SalesRepID]],dPSalesRep[SalesRepID],dPSalesRep[Region])</f>
        <v>NW</v>
      </c>
      <c r="P260" t="str">
        <f>_xlfn.XLOOKUP(fSales[[#This Row],[ProductID]],dProduct[ProductID],dProduct[Product])</f>
        <v>Kiwi</v>
      </c>
      <c r="Q260">
        <f>_xlfn.XLOOKUP(fSales[[#This Row],[ProductID]],dProduct[ProductID],dProduct[CratePrice])-_xlfn.XLOOKUP(fSales[[#This Row],[ProductID]],dProduct[ProductID],dProduct[CrateCost])</f>
        <v>9.8999999999999986</v>
      </c>
      <c r="R260">
        <f>_xlfn.XLOOKUP(fSales[[#This Row],[ProductID]],dProduct[ProductID],dProduct[CratePrice])</f>
        <v>22.5</v>
      </c>
      <c r="S260">
        <f>_xlfn.XLOOKUP(fSales[[#This Row],[ProductID]],dProduct[ProductID],dProduct[CrateCost])</f>
        <v>12.600000000000001</v>
      </c>
    </row>
    <row r="261" spans="7:19" x14ac:dyDescent="0.25">
      <c r="G261" s="2">
        <v>45477</v>
      </c>
      <c r="H261">
        <v>24</v>
      </c>
      <c r="I261" t="s">
        <v>34</v>
      </c>
      <c r="J261" t="s">
        <v>29</v>
      </c>
      <c r="K261">
        <f>_xlfn.XLOOKUP(fSales[[#This Row],[ProductID]],dProduct[ProductID],dProduct[CratePrice])*fSales[[#This Row],[Units]]</f>
        <v>420</v>
      </c>
      <c r="L261">
        <f>fSales[[#This Row],[Total sales]]-_xlfn.XLOOKUP(fSales[[#This Row],[ProductID]],dProduct[ProductID],dProduct[CrateCost])*fSales[[#This Row],[Units]]</f>
        <v>138.59999999999997</v>
      </c>
      <c r="M261">
        <f>(_xlfn.XLOOKUP(fSales[[#This Row],[ProductID]],dProduct[ProductID],dProduct[CratePrice])-_xlfn.XLOOKUP(fSales[[#This Row],[ProductID]],dProduct[ProductID],dProduct[CrateCost]))/_xlfn.XLOOKUP(fSales[[#This Row],[ProductID]],dProduct[ProductID],dProduct[CratePrice])</f>
        <v>0.3299999999999999</v>
      </c>
      <c r="N261" t="str">
        <f>_xlfn.XLOOKUP(fSales[[#This Row],[SalesRepID]],dPSalesRep[SalesRepID],dPSalesRep[SalesRep])</f>
        <v>Sioux Best</v>
      </c>
      <c r="O261" t="str">
        <f>_xlfn.XLOOKUP(fSales[[#This Row],[SalesRepID]],dPSalesRep[SalesRepID],dPSalesRep[Region])</f>
        <v>West</v>
      </c>
      <c r="P261" t="str">
        <f>_xlfn.XLOOKUP(fSales[[#This Row],[ProductID]],dProduct[ProductID],dProduct[Product])</f>
        <v>Banana</v>
      </c>
      <c r="Q261">
        <f>_xlfn.XLOOKUP(fSales[[#This Row],[ProductID]],dProduct[ProductID],dProduct[CratePrice])-_xlfn.XLOOKUP(fSales[[#This Row],[ProductID]],dProduct[ProductID],dProduct[CrateCost])</f>
        <v>5.7749999999999986</v>
      </c>
      <c r="R261">
        <f>_xlfn.XLOOKUP(fSales[[#This Row],[ProductID]],dProduct[ProductID],dProduct[CratePrice])</f>
        <v>17.5</v>
      </c>
      <c r="S261">
        <f>_xlfn.XLOOKUP(fSales[[#This Row],[ProductID]],dProduct[ProductID],dProduct[CrateCost])</f>
        <v>11.725000000000001</v>
      </c>
    </row>
    <row r="262" spans="7:19" x14ac:dyDescent="0.25">
      <c r="G262" s="2">
        <v>45478</v>
      </c>
      <c r="H262">
        <v>216</v>
      </c>
      <c r="I262" t="s">
        <v>28</v>
      </c>
      <c r="J262" t="s">
        <v>37</v>
      </c>
      <c r="K262">
        <f>_xlfn.XLOOKUP(fSales[[#This Row],[ProductID]],dProduct[ProductID],dProduct[CratePrice])*fSales[[#This Row],[Units]]</f>
        <v>9439.2000000000007</v>
      </c>
      <c r="L262">
        <f>fSales[[#This Row],[Total sales]]-_xlfn.XLOOKUP(fSales[[#This Row],[ProductID]],dProduct[ProductID],dProduct[CrateCost])*fSales[[#This Row],[Units]]</f>
        <v>3964.4640000000009</v>
      </c>
      <c r="M262">
        <f>(_xlfn.XLOOKUP(fSales[[#This Row],[ProductID]],dProduct[ProductID],dProduct[CratePrice])-_xlfn.XLOOKUP(fSales[[#This Row],[ProductID]],dProduct[ProductID],dProduct[CrateCost]))/_xlfn.XLOOKUP(fSales[[#This Row],[ProductID]],dProduct[ProductID],dProduct[CratePrice])</f>
        <v>0.42000000000000004</v>
      </c>
      <c r="N262" t="str">
        <f>_xlfn.XLOOKUP(fSales[[#This Row],[SalesRepID]],dPSalesRep[SalesRepID],dPSalesRep[SalesRep])</f>
        <v>Chantel Mims</v>
      </c>
      <c r="O262" t="str">
        <f>_xlfn.XLOOKUP(fSales[[#This Row],[SalesRepID]],dPSalesRep[SalesRepID],dPSalesRep[Region])</f>
        <v>NW</v>
      </c>
      <c r="P262" t="str">
        <f>_xlfn.XLOOKUP(fSales[[#This Row],[ProductID]],dProduct[ProductID],dProduct[Product])</f>
        <v>Cherry</v>
      </c>
      <c r="Q262">
        <f>_xlfn.XLOOKUP(fSales[[#This Row],[ProductID]],dProduct[ProductID],dProduct[CratePrice])-_xlfn.XLOOKUP(fSales[[#This Row],[ProductID]],dProduct[ProductID],dProduct[CrateCost])</f>
        <v>18.354000000000003</v>
      </c>
      <c r="R262">
        <f>_xlfn.XLOOKUP(fSales[[#This Row],[ProductID]],dProduct[ProductID],dProduct[CratePrice])</f>
        <v>43.7</v>
      </c>
      <c r="S262">
        <f>_xlfn.XLOOKUP(fSales[[#This Row],[ProductID]],dProduct[ProductID],dProduct[CrateCost])</f>
        <v>25.346</v>
      </c>
    </row>
    <row r="263" spans="7:19" x14ac:dyDescent="0.25">
      <c r="G263" s="2">
        <v>45479</v>
      </c>
      <c r="H263">
        <v>168</v>
      </c>
      <c r="I263" t="s">
        <v>19</v>
      </c>
      <c r="J263" t="s">
        <v>52</v>
      </c>
      <c r="K263">
        <f>_xlfn.XLOOKUP(fSales[[#This Row],[ProductID]],dProduct[ProductID],dProduct[CratePrice])*fSales[[#This Row],[Units]]</f>
        <v>5880</v>
      </c>
      <c r="L263">
        <f>fSales[[#This Row],[Total sales]]-_xlfn.XLOOKUP(fSales[[#This Row],[ProductID]],dProduct[ProductID],dProduct[CrateCost])*fSales[[#This Row],[Units]]</f>
        <v>3292.7999999999997</v>
      </c>
      <c r="M263">
        <f>(_xlfn.XLOOKUP(fSales[[#This Row],[ProductID]],dProduct[ProductID],dProduct[CratePrice])-_xlfn.XLOOKUP(fSales[[#This Row],[ProductID]],dProduct[ProductID],dProduct[CrateCost]))/_xlfn.XLOOKUP(fSales[[#This Row],[ProductID]],dProduct[ProductID],dProduct[CratePrice])</f>
        <v>0.56000000000000005</v>
      </c>
      <c r="N263" t="str">
        <f>_xlfn.XLOOKUP(fSales[[#This Row],[SalesRepID]],dPSalesRep[SalesRepID],dPSalesRep[SalesRep])</f>
        <v>Smitty Rad</v>
      </c>
      <c r="O263" t="str">
        <f>_xlfn.XLOOKUP(fSales[[#This Row],[SalesRepID]],dPSalesRep[SalesRepID],dPSalesRep[Region])</f>
        <v>MidWest</v>
      </c>
      <c r="P263" t="str">
        <f>_xlfn.XLOOKUP(fSales[[#This Row],[ProductID]],dProduct[ProductID],dProduct[Product])</f>
        <v>Apple</v>
      </c>
      <c r="Q263">
        <f>_xlfn.XLOOKUP(fSales[[#This Row],[ProductID]],dProduct[ProductID],dProduct[CratePrice])-_xlfn.XLOOKUP(fSales[[#This Row],[ProductID]],dProduct[ProductID],dProduct[CrateCost])</f>
        <v>19.600000000000001</v>
      </c>
      <c r="R263">
        <f>_xlfn.XLOOKUP(fSales[[#This Row],[ProductID]],dProduct[ProductID],dProduct[CratePrice])</f>
        <v>35</v>
      </c>
      <c r="S263">
        <f>_xlfn.XLOOKUP(fSales[[#This Row],[ProductID]],dProduct[ProductID],dProduct[CrateCost])</f>
        <v>15.4</v>
      </c>
    </row>
    <row r="264" spans="7:19" x14ac:dyDescent="0.25">
      <c r="G264" s="2">
        <v>45479</v>
      </c>
      <c r="H264">
        <v>72</v>
      </c>
      <c r="I264" t="s">
        <v>28</v>
      </c>
      <c r="J264" t="s">
        <v>29</v>
      </c>
      <c r="K264">
        <f>_xlfn.XLOOKUP(fSales[[#This Row],[ProductID]],dProduct[ProductID],dProduct[CratePrice])*fSales[[#This Row],[Units]]</f>
        <v>3146.4</v>
      </c>
      <c r="L264">
        <f>fSales[[#This Row],[Total sales]]-_xlfn.XLOOKUP(fSales[[#This Row],[ProductID]],dProduct[ProductID],dProduct[CrateCost])*fSales[[#This Row],[Units]]</f>
        <v>1321.4880000000001</v>
      </c>
      <c r="M264">
        <f>(_xlfn.XLOOKUP(fSales[[#This Row],[ProductID]],dProduct[ProductID],dProduct[CratePrice])-_xlfn.XLOOKUP(fSales[[#This Row],[ProductID]],dProduct[ProductID],dProduct[CrateCost]))/_xlfn.XLOOKUP(fSales[[#This Row],[ProductID]],dProduct[ProductID],dProduct[CratePrice])</f>
        <v>0.42000000000000004</v>
      </c>
      <c r="N264" t="str">
        <f>_xlfn.XLOOKUP(fSales[[#This Row],[SalesRepID]],dPSalesRep[SalesRepID],dPSalesRep[SalesRep])</f>
        <v>Sioux Best</v>
      </c>
      <c r="O264" t="str">
        <f>_xlfn.XLOOKUP(fSales[[#This Row],[SalesRepID]],dPSalesRep[SalesRepID],dPSalesRep[Region])</f>
        <v>West</v>
      </c>
      <c r="P264" t="str">
        <f>_xlfn.XLOOKUP(fSales[[#This Row],[ProductID]],dProduct[ProductID],dProduct[Product])</f>
        <v>Cherry</v>
      </c>
      <c r="Q264">
        <f>_xlfn.XLOOKUP(fSales[[#This Row],[ProductID]],dProduct[ProductID],dProduct[CratePrice])-_xlfn.XLOOKUP(fSales[[#This Row],[ProductID]],dProduct[ProductID],dProduct[CrateCost])</f>
        <v>18.354000000000003</v>
      </c>
      <c r="R264">
        <f>_xlfn.XLOOKUP(fSales[[#This Row],[ProductID]],dProduct[ProductID],dProduct[CratePrice])</f>
        <v>43.7</v>
      </c>
      <c r="S264">
        <f>_xlfn.XLOOKUP(fSales[[#This Row],[ProductID]],dProduct[ProductID],dProduct[CrateCost])</f>
        <v>25.346</v>
      </c>
    </row>
    <row r="265" spans="7:19" x14ac:dyDescent="0.25">
      <c r="G265" s="2">
        <v>45480</v>
      </c>
      <c r="H265">
        <v>264</v>
      </c>
      <c r="I265" t="s">
        <v>21</v>
      </c>
      <c r="J265" t="s">
        <v>29</v>
      </c>
      <c r="K265">
        <f>_xlfn.XLOOKUP(fSales[[#This Row],[ProductID]],dProduct[ProductID],dProduct[CratePrice])*fSales[[#This Row],[Units]]</f>
        <v>5940</v>
      </c>
      <c r="L265">
        <f>fSales[[#This Row],[Total sales]]-_xlfn.XLOOKUP(fSales[[#This Row],[ProductID]],dProduct[ProductID],dProduct[CrateCost])*fSales[[#This Row],[Units]]</f>
        <v>2613.5999999999995</v>
      </c>
      <c r="M265">
        <f>(_xlfn.XLOOKUP(fSales[[#This Row],[ProductID]],dProduct[ProductID],dProduct[CratePrice])-_xlfn.XLOOKUP(fSales[[#This Row],[ProductID]],dProduct[ProductID],dProduct[CrateCost]))/_xlfn.XLOOKUP(fSales[[#This Row],[ProductID]],dProduct[ProductID],dProduct[CratePrice])</f>
        <v>0.43999999999999995</v>
      </c>
      <c r="N265" t="str">
        <f>_xlfn.XLOOKUP(fSales[[#This Row],[SalesRepID]],dPSalesRep[SalesRepID],dPSalesRep[SalesRep])</f>
        <v>Sioux Best</v>
      </c>
      <c r="O265" t="str">
        <f>_xlfn.XLOOKUP(fSales[[#This Row],[SalesRepID]],dPSalesRep[SalesRepID],dPSalesRep[Region])</f>
        <v>West</v>
      </c>
      <c r="P265" t="str">
        <f>_xlfn.XLOOKUP(fSales[[#This Row],[ProductID]],dProduct[ProductID],dProduct[Product])</f>
        <v>Kiwi</v>
      </c>
      <c r="Q265">
        <f>_xlfn.XLOOKUP(fSales[[#This Row],[ProductID]],dProduct[ProductID],dProduct[CratePrice])-_xlfn.XLOOKUP(fSales[[#This Row],[ProductID]],dProduct[ProductID],dProduct[CrateCost])</f>
        <v>9.8999999999999986</v>
      </c>
      <c r="R265">
        <f>_xlfn.XLOOKUP(fSales[[#This Row],[ProductID]],dProduct[ProductID],dProduct[CratePrice])</f>
        <v>22.5</v>
      </c>
      <c r="S265">
        <f>_xlfn.XLOOKUP(fSales[[#This Row],[ProductID]],dProduct[ProductID],dProduct[CrateCost])</f>
        <v>12.600000000000001</v>
      </c>
    </row>
    <row r="266" spans="7:19" x14ac:dyDescent="0.25">
      <c r="G266" s="2">
        <v>45480</v>
      </c>
      <c r="H266">
        <v>276</v>
      </c>
      <c r="I266" t="s">
        <v>34</v>
      </c>
      <c r="J266" t="s">
        <v>52</v>
      </c>
      <c r="K266">
        <f>_xlfn.XLOOKUP(fSales[[#This Row],[ProductID]],dProduct[ProductID],dProduct[CratePrice])*fSales[[#This Row],[Units]]</f>
        <v>4830</v>
      </c>
      <c r="L266">
        <f>fSales[[#This Row],[Total sales]]-_xlfn.XLOOKUP(fSales[[#This Row],[ProductID]],dProduct[ProductID],dProduct[CrateCost])*fSales[[#This Row],[Units]]</f>
        <v>1593.8999999999996</v>
      </c>
      <c r="M266">
        <f>(_xlfn.XLOOKUP(fSales[[#This Row],[ProductID]],dProduct[ProductID],dProduct[CratePrice])-_xlfn.XLOOKUP(fSales[[#This Row],[ProductID]],dProduct[ProductID],dProduct[CrateCost]))/_xlfn.XLOOKUP(fSales[[#This Row],[ProductID]],dProduct[ProductID],dProduct[CratePrice])</f>
        <v>0.3299999999999999</v>
      </c>
      <c r="N266" t="str">
        <f>_xlfn.XLOOKUP(fSales[[#This Row],[SalesRepID]],dPSalesRep[SalesRepID],dPSalesRep[SalesRep])</f>
        <v>Smitty Rad</v>
      </c>
      <c r="O266" t="str">
        <f>_xlfn.XLOOKUP(fSales[[#This Row],[SalesRepID]],dPSalesRep[SalesRepID],dPSalesRep[Region])</f>
        <v>MidWest</v>
      </c>
      <c r="P266" t="str">
        <f>_xlfn.XLOOKUP(fSales[[#This Row],[ProductID]],dProduct[ProductID],dProduct[Product])</f>
        <v>Banana</v>
      </c>
      <c r="Q266">
        <f>_xlfn.XLOOKUP(fSales[[#This Row],[ProductID]],dProduct[ProductID],dProduct[CratePrice])-_xlfn.XLOOKUP(fSales[[#This Row],[ProductID]],dProduct[ProductID],dProduct[CrateCost])</f>
        <v>5.7749999999999986</v>
      </c>
      <c r="R266">
        <f>_xlfn.XLOOKUP(fSales[[#This Row],[ProductID]],dProduct[ProductID],dProduct[CratePrice])</f>
        <v>17.5</v>
      </c>
      <c r="S266">
        <f>_xlfn.XLOOKUP(fSales[[#This Row],[ProductID]],dProduct[ProductID],dProduct[CrateCost])</f>
        <v>11.725000000000001</v>
      </c>
    </row>
    <row r="267" spans="7:19" x14ac:dyDescent="0.25">
      <c r="G267" s="2">
        <v>45482</v>
      </c>
      <c r="H267">
        <v>132</v>
      </c>
      <c r="I267" t="s">
        <v>19</v>
      </c>
      <c r="J267" t="s">
        <v>37</v>
      </c>
      <c r="K267">
        <f>_xlfn.XLOOKUP(fSales[[#This Row],[ProductID]],dProduct[ProductID],dProduct[CratePrice])*fSales[[#This Row],[Units]]</f>
        <v>4620</v>
      </c>
      <c r="L267">
        <f>fSales[[#This Row],[Total sales]]-_xlfn.XLOOKUP(fSales[[#This Row],[ProductID]],dProduct[ProductID],dProduct[CrateCost])*fSales[[#This Row],[Units]]</f>
        <v>2587.1999999999998</v>
      </c>
      <c r="M267">
        <f>(_xlfn.XLOOKUP(fSales[[#This Row],[ProductID]],dProduct[ProductID],dProduct[CratePrice])-_xlfn.XLOOKUP(fSales[[#This Row],[ProductID]],dProduct[ProductID],dProduct[CrateCost]))/_xlfn.XLOOKUP(fSales[[#This Row],[ProductID]],dProduct[ProductID],dProduct[CratePrice])</f>
        <v>0.56000000000000005</v>
      </c>
      <c r="N267" t="str">
        <f>_xlfn.XLOOKUP(fSales[[#This Row],[SalesRepID]],dPSalesRep[SalesRepID],dPSalesRep[SalesRep])</f>
        <v>Chantel Mims</v>
      </c>
      <c r="O267" t="str">
        <f>_xlfn.XLOOKUP(fSales[[#This Row],[SalesRepID]],dPSalesRep[SalesRepID],dPSalesRep[Region])</f>
        <v>NW</v>
      </c>
      <c r="P267" t="str">
        <f>_xlfn.XLOOKUP(fSales[[#This Row],[ProductID]],dProduct[ProductID],dProduct[Product])</f>
        <v>Apple</v>
      </c>
      <c r="Q267">
        <f>_xlfn.XLOOKUP(fSales[[#This Row],[ProductID]],dProduct[ProductID],dProduct[CratePrice])-_xlfn.XLOOKUP(fSales[[#This Row],[ProductID]],dProduct[ProductID],dProduct[CrateCost])</f>
        <v>19.600000000000001</v>
      </c>
      <c r="R267">
        <f>_xlfn.XLOOKUP(fSales[[#This Row],[ProductID]],dProduct[ProductID],dProduct[CratePrice])</f>
        <v>35</v>
      </c>
      <c r="S267">
        <f>_xlfn.XLOOKUP(fSales[[#This Row],[ProductID]],dProduct[ProductID],dProduct[CrateCost])</f>
        <v>15.4</v>
      </c>
    </row>
    <row r="268" spans="7:19" x14ac:dyDescent="0.25">
      <c r="G268" s="2">
        <v>45483</v>
      </c>
      <c r="H268">
        <v>204</v>
      </c>
      <c r="I268" t="s">
        <v>28</v>
      </c>
      <c r="J268" t="s">
        <v>29</v>
      </c>
      <c r="K268">
        <f>_xlfn.XLOOKUP(fSales[[#This Row],[ProductID]],dProduct[ProductID],dProduct[CratePrice])*fSales[[#This Row],[Units]]</f>
        <v>8914.8000000000011</v>
      </c>
      <c r="L268">
        <f>fSales[[#This Row],[Total sales]]-_xlfn.XLOOKUP(fSales[[#This Row],[ProductID]],dProduct[ProductID],dProduct[CrateCost])*fSales[[#This Row],[Units]]</f>
        <v>3744.2160000000013</v>
      </c>
      <c r="M268">
        <f>(_xlfn.XLOOKUP(fSales[[#This Row],[ProductID]],dProduct[ProductID],dProduct[CratePrice])-_xlfn.XLOOKUP(fSales[[#This Row],[ProductID]],dProduct[ProductID],dProduct[CrateCost]))/_xlfn.XLOOKUP(fSales[[#This Row],[ProductID]],dProduct[ProductID],dProduct[CratePrice])</f>
        <v>0.42000000000000004</v>
      </c>
      <c r="N268" t="str">
        <f>_xlfn.XLOOKUP(fSales[[#This Row],[SalesRepID]],dPSalesRep[SalesRepID],dPSalesRep[SalesRep])</f>
        <v>Sioux Best</v>
      </c>
      <c r="O268" t="str">
        <f>_xlfn.XLOOKUP(fSales[[#This Row],[SalesRepID]],dPSalesRep[SalesRepID],dPSalesRep[Region])</f>
        <v>West</v>
      </c>
      <c r="P268" t="str">
        <f>_xlfn.XLOOKUP(fSales[[#This Row],[ProductID]],dProduct[ProductID],dProduct[Product])</f>
        <v>Cherry</v>
      </c>
      <c r="Q268">
        <f>_xlfn.XLOOKUP(fSales[[#This Row],[ProductID]],dProduct[ProductID],dProduct[CratePrice])-_xlfn.XLOOKUP(fSales[[#This Row],[ProductID]],dProduct[ProductID],dProduct[CrateCost])</f>
        <v>18.354000000000003</v>
      </c>
      <c r="R268">
        <f>_xlfn.XLOOKUP(fSales[[#This Row],[ProductID]],dProduct[ProductID],dProduct[CratePrice])</f>
        <v>43.7</v>
      </c>
      <c r="S268">
        <f>_xlfn.XLOOKUP(fSales[[#This Row],[ProductID]],dProduct[ProductID],dProduct[CrateCost])</f>
        <v>25.346</v>
      </c>
    </row>
    <row r="269" spans="7:19" x14ac:dyDescent="0.25">
      <c r="G269" s="2">
        <v>45484</v>
      </c>
      <c r="H269">
        <v>120</v>
      </c>
      <c r="I269" t="s">
        <v>34</v>
      </c>
      <c r="J269" t="s">
        <v>29</v>
      </c>
      <c r="K269">
        <f>_xlfn.XLOOKUP(fSales[[#This Row],[ProductID]],dProduct[ProductID],dProduct[CratePrice])*fSales[[#This Row],[Units]]</f>
        <v>2100</v>
      </c>
      <c r="L269">
        <f>fSales[[#This Row],[Total sales]]-_xlfn.XLOOKUP(fSales[[#This Row],[ProductID]],dProduct[ProductID],dProduct[CrateCost])*fSales[[#This Row],[Units]]</f>
        <v>692.99999999999977</v>
      </c>
      <c r="M269">
        <f>(_xlfn.XLOOKUP(fSales[[#This Row],[ProductID]],dProduct[ProductID],dProduct[CratePrice])-_xlfn.XLOOKUP(fSales[[#This Row],[ProductID]],dProduct[ProductID],dProduct[CrateCost]))/_xlfn.XLOOKUP(fSales[[#This Row],[ProductID]],dProduct[ProductID],dProduct[CratePrice])</f>
        <v>0.3299999999999999</v>
      </c>
      <c r="N269" t="str">
        <f>_xlfn.XLOOKUP(fSales[[#This Row],[SalesRepID]],dPSalesRep[SalesRepID],dPSalesRep[SalesRep])</f>
        <v>Sioux Best</v>
      </c>
      <c r="O269" t="str">
        <f>_xlfn.XLOOKUP(fSales[[#This Row],[SalesRepID]],dPSalesRep[SalesRepID],dPSalesRep[Region])</f>
        <v>West</v>
      </c>
      <c r="P269" t="str">
        <f>_xlfn.XLOOKUP(fSales[[#This Row],[ProductID]],dProduct[ProductID],dProduct[Product])</f>
        <v>Banana</v>
      </c>
      <c r="Q269">
        <f>_xlfn.XLOOKUP(fSales[[#This Row],[ProductID]],dProduct[ProductID],dProduct[CratePrice])-_xlfn.XLOOKUP(fSales[[#This Row],[ProductID]],dProduct[ProductID],dProduct[CrateCost])</f>
        <v>5.7749999999999986</v>
      </c>
      <c r="R269">
        <f>_xlfn.XLOOKUP(fSales[[#This Row],[ProductID]],dProduct[ProductID],dProduct[CratePrice])</f>
        <v>17.5</v>
      </c>
      <c r="S269">
        <f>_xlfn.XLOOKUP(fSales[[#This Row],[ProductID]],dProduct[ProductID],dProduct[CrateCost])</f>
        <v>11.725000000000001</v>
      </c>
    </row>
    <row r="270" spans="7:19" x14ac:dyDescent="0.25">
      <c r="G270" s="2">
        <v>45485</v>
      </c>
      <c r="H270">
        <v>48</v>
      </c>
      <c r="I270" t="s">
        <v>34</v>
      </c>
      <c r="J270" t="s">
        <v>37</v>
      </c>
      <c r="K270">
        <f>_xlfn.XLOOKUP(fSales[[#This Row],[ProductID]],dProduct[ProductID],dProduct[CratePrice])*fSales[[#This Row],[Units]]</f>
        <v>840</v>
      </c>
      <c r="L270">
        <f>fSales[[#This Row],[Total sales]]-_xlfn.XLOOKUP(fSales[[#This Row],[ProductID]],dProduct[ProductID],dProduct[CrateCost])*fSales[[#This Row],[Units]]</f>
        <v>277.19999999999993</v>
      </c>
      <c r="M270">
        <f>(_xlfn.XLOOKUP(fSales[[#This Row],[ProductID]],dProduct[ProductID],dProduct[CratePrice])-_xlfn.XLOOKUP(fSales[[#This Row],[ProductID]],dProduct[ProductID],dProduct[CrateCost]))/_xlfn.XLOOKUP(fSales[[#This Row],[ProductID]],dProduct[ProductID],dProduct[CratePrice])</f>
        <v>0.3299999999999999</v>
      </c>
      <c r="N270" t="str">
        <f>_xlfn.XLOOKUP(fSales[[#This Row],[SalesRepID]],dPSalesRep[SalesRepID],dPSalesRep[SalesRep])</f>
        <v>Chantel Mims</v>
      </c>
      <c r="O270" t="str">
        <f>_xlfn.XLOOKUP(fSales[[#This Row],[SalesRepID]],dPSalesRep[SalesRepID],dPSalesRep[Region])</f>
        <v>NW</v>
      </c>
      <c r="P270" t="str">
        <f>_xlfn.XLOOKUP(fSales[[#This Row],[ProductID]],dProduct[ProductID],dProduct[Product])</f>
        <v>Banana</v>
      </c>
      <c r="Q270">
        <f>_xlfn.XLOOKUP(fSales[[#This Row],[ProductID]],dProduct[ProductID],dProduct[CratePrice])-_xlfn.XLOOKUP(fSales[[#This Row],[ProductID]],dProduct[ProductID],dProduct[CrateCost])</f>
        <v>5.7749999999999986</v>
      </c>
      <c r="R270">
        <f>_xlfn.XLOOKUP(fSales[[#This Row],[ProductID]],dProduct[ProductID],dProduct[CratePrice])</f>
        <v>17.5</v>
      </c>
      <c r="S270">
        <f>_xlfn.XLOOKUP(fSales[[#This Row],[ProductID]],dProduct[ProductID],dProduct[CrateCost])</f>
        <v>11.725000000000001</v>
      </c>
    </row>
    <row r="271" spans="7:19" x14ac:dyDescent="0.25">
      <c r="G271" s="2">
        <v>45485</v>
      </c>
      <c r="H271">
        <v>60</v>
      </c>
      <c r="I271" t="s">
        <v>21</v>
      </c>
      <c r="J271" t="s">
        <v>22</v>
      </c>
      <c r="K271">
        <f>_xlfn.XLOOKUP(fSales[[#This Row],[ProductID]],dProduct[ProductID],dProduct[CratePrice])*fSales[[#This Row],[Units]]</f>
        <v>1350</v>
      </c>
      <c r="L271">
        <f>fSales[[#This Row],[Total sales]]-_xlfn.XLOOKUP(fSales[[#This Row],[ProductID]],dProduct[ProductID],dProduct[CrateCost])*fSales[[#This Row],[Units]]</f>
        <v>593.99999999999989</v>
      </c>
      <c r="M271">
        <f>(_xlfn.XLOOKUP(fSales[[#This Row],[ProductID]],dProduct[ProductID],dProduct[CratePrice])-_xlfn.XLOOKUP(fSales[[#This Row],[ProductID]],dProduct[ProductID],dProduct[CrateCost]))/_xlfn.XLOOKUP(fSales[[#This Row],[ProductID]],dProduct[ProductID],dProduct[CratePrice])</f>
        <v>0.43999999999999995</v>
      </c>
      <c r="N271" t="str">
        <f>_xlfn.XLOOKUP(fSales[[#This Row],[SalesRepID]],dPSalesRep[SalesRepID],dPSalesRep[SalesRep])</f>
        <v>Timmy Kips</v>
      </c>
      <c r="O271" t="str">
        <f>_xlfn.XLOOKUP(fSales[[#This Row],[SalesRepID]],dPSalesRep[SalesRepID],dPSalesRep[Region])</f>
        <v>East</v>
      </c>
      <c r="P271" t="str">
        <f>_xlfn.XLOOKUP(fSales[[#This Row],[ProductID]],dProduct[ProductID],dProduct[Product])</f>
        <v>Kiwi</v>
      </c>
      <c r="Q271">
        <f>_xlfn.XLOOKUP(fSales[[#This Row],[ProductID]],dProduct[ProductID],dProduct[CratePrice])-_xlfn.XLOOKUP(fSales[[#This Row],[ProductID]],dProduct[ProductID],dProduct[CrateCost])</f>
        <v>9.8999999999999986</v>
      </c>
      <c r="R271">
        <f>_xlfn.XLOOKUP(fSales[[#This Row],[ProductID]],dProduct[ProductID],dProduct[CratePrice])</f>
        <v>22.5</v>
      </c>
      <c r="S271">
        <f>_xlfn.XLOOKUP(fSales[[#This Row],[ProductID]],dProduct[ProductID],dProduct[CrateCost])</f>
        <v>12.600000000000001</v>
      </c>
    </row>
    <row r="272" spans="7:19" x14ac:dyDescent="0.25">
      <c r="G272" s="2">
        <v>45485</v>
      </c>
      <c r="H272">
        <v>84</v>
      </c>
      <c r="I272" t="s">
        <v>21</v>
      </c>
      <c r="J272" t="s">
        <v>37</v>
      </c>
      <c r="K272">
        <f>_xlfn.XLOOKUP(fSales[[#This Row],[ProductID]],dProduct[ProductID],dProduct[CratePrice])*fSales[[#This Row],[Units]]</f>
        <v>1890</v>
      </c>
      <c r="L272">
        <f>fSales[[#This Row],[Total sales]]-_xlfn.XLOOKUP(fSales[[#This Row],[ProductID]],dProduct[ProductID],dProduct[CrateCost])*fSales[[#This Row],[Units]]</f>
        <v>831.59999999999991</v>
      </c>
      <c r="M272">
        <f>(_xlfn.XLOOKUP(fSales[[#This Row],[ProductID]],dProduct[ProductID],dProduct[CratePrice])-_xlfn.XLOOKUP(fSales[[#This Row],[ProductID]],dProduct[ProductID],dProduct[CrateCost]))/_xlfn.XLOOKUP(fSales[[#This Row],[ProductID]],dProduct[ProductID],dProduct[CratePrice])</f>
        <v>0.43999999999999995</v>
      </c>
      <c r="N272" t="str">
        <f>_xlfn.XLOOKUP(fSales[[#This Row],[SalesRepID]],dPSalesRep[SalesRepID],dPSalesRep[SalesRep])</f>
        <v>Chantel Mims</v>
      </c>
      <c r="O272" t="str">
        <f>_xlfn.XLOOKUP(fSales[[#This Row],[SalesRepID]],dPSalesRep[SalesRepID],dPSalesRep[Region])</f>
        <v>NW</v>
      </c>
      <c r="P272" t="str">
        <f>_xlfn.XLOOKUP(fSales[[#This Row],[ProductID]],dProduct[ProductID],dProduct[Product])</f>
        <v>Kiwi</v>
      </c>
      <c r="Q272">
        <f>_xlfn.XLOOKUP(fSales[[#This Row],[ProductID]],dProduct[ProductID],dProduct[CratePrice])-_xlfn.XLOOKUP(fSales[[#This Row],[ProductID]],dProduct[ProductID],dProduct[CrateCost])</f>
        <v>9.8999999999999986</v>
      </c>
      <c r="R272">
        <f>_xlfn.XLOOKUP(fSales[[#This Row],[ProductID]],dProduct[ProductID],dProduct[CratePrice])</f>
        <v>22.5</v>
      </c>
      <c r="S272">
        <f>_xlfn.XLOOKUP(fSales[[#This Row],[ProductID]],dProduct[ProductID],dProduct[CrateCost])</f>
        <v>12.600000000000001</v>
      </c>
    </row>
    <row r="273" spans="7:19" x14ac:dyDescent="0.25">
      <c r="G273" s="2">
        <v>45485</v>
      </c>
      <c r="H273">
        <v>216</v>
      </c>
      <c r="I273" t="s">
        <v>28</v>
      </c>
      <c r="J273" t="s">
        <v>37</v>
      </c>
      <c r="K273">
        <f>_xlfn.XLOOKUP(fSales[[#This Row],[ProductID]],dProduct[ProductID],dProduct[CratePrice])*fSales[[#This Row],[Units]]</f>
        <v>9439.2000000000007</v>
      </c>
      <c r="L273">
        <f>fSales[[#This Row],[Total sales]]-_xlfn.XLOOKUP(fSales[[#This Row],[ProductID]],dProduct[ProductID],dProduct[CrateCost])*fSales[[#This Row],[Units]]</f>
        <v>3964.4640000000009</v>
      </c>
      <c r="M273">
        <f>(_xlfn.XLOOKUP(fSales[[#This Row],[ProductID]],dProduct[ProductID],dProduct[CratePrice])-_xlfn.XLOOKUP(fSales[[#This Row],[ProductID]],dProduct[ProductID],dProduct[CrateCost]))/_xlfn.XLOOKUP(fSales[[#This Row],[ProductID]],dProduct[ProductID],dProduct[CratePrice])</f>
        <v>0.42000000000000004</v>
      </c>
      <c r="N273" t="str">
        <f>_xlfn.XLOOKUP(fSales[[#This Row],[SalesRepID]],dPSalesRep[SalesRepID],dPSalesRep[SalesRep])</f>
        <v>Chantel Mims</v>
      </c>
      <c r="O273" t="str">
        <f>_xlfn.XLOOKUP(fSales[[#This Row],[SalesRepID]],dPSalesRep[SalesRepID],dPSalesRep[Region])</f>
        <v>NW</v>
      </c>
      <c r="P273" t="str">
        <f>_xlfn.XLOOKUP(fSales[[#This Row],[ProductID]],dProduct[ProductID],dProduct[Product])</f>
        <v>Cherry</v>
      </c>
      <c r="Q273">
        <f>_xlfn.XLOOKUP(fSales[[#This Row],[ProductID]],dProduct[ProductID],dProduct[CratePrice])-_xlfn.XLOOKUP(fSales[[#This Row],[ProductID]],dProduct[ProductID],dProduct[CrateCost])</f>
        <v>18.354000000000003</v>
      </c>
      <c r="R273">
        <f>_xlfn.XLOOKUP(fSales[[#This Row],[ProductID]],dProduct[ProductID],dProduct[CratePrice])</f>
        <v>43.7</v>
      </c>
      <c r="S273">
        <f>_xlfn.XLOOKUP(fSales[[#This Row],[ProductID]],dProduct[ProductID],dProduct[CrateCost])</f>
        <v>25.346</v>
      </c>
    </row>
    <row r="274" spans="7:19" x14ac:dyDescent="0.25">
      <c r="G274" s="2">
        <v>45486</v>
      </c>
      <c r="H274">
        <v>300</v>
      </c>
      <c r="I274" t="s">
        <v>28</v>
      </c>
      <c r="J274" t="s">
        <v>32</v>
      </c>
      <c r="K274">
        <f>_xlfn.XLOOKUP(fSales[[#This Row],[ProductID]],dProduct[ProductID],dProduct[CratePrice])*fSales[[#This Row],[Units]]</f>
        <v>13110</v>
      </c>
      <c r="L274">
        <f>fSales[[#This Row],[Total sales]]-_xlfn.XLOOKUP(fSales[[#This Row],[ProductID]],dProduct[ProductID],dProduct[CrateCost])*fSales[[#This Row],[Units]]</f>
        <v>5506.2</v>
      </c>
      <c r="M274">
        <f>(_xlfn.XLOOKUP(fSales[[#This Row],[ProductID]],dProduct[ProductID],dProduct[CratePrice])-_xlfn.XLOOKUP(fSales[[#This Row],[ProductID]],dProduct[ProductID],dProduct[CrateCost]))/_xlfn.XLOOKUP(fSales[[#This Row],[ProductID]],dProduct[ProductID],dProduct[CratePrice])</f>
        <v>0.42000000000000004</v>
      </c>
      <c r="N274" t="str">
        <f>_xlfn.XLOOKUP(fSales[[#This Row],[SalesRepID]],dPSalesRep[SalesRepID],dPSalesRep[SalesRep])</f>
        <v>Shihara Fazzaa</v>
      </c>
      <c r="O274" t="str">
        <f>_xlfn.XLOOKUP(fSales[[#This Row],[SalesRepID]],dPSalesRep[SalesRepID],dPSalesRep[Region])</f>
        <v>East</v>
      </c>
      <c r="P274" t="str">
        <f>_xlfn.XLOOKUP(fSales[[#This Row],[ProductID]],dProduct[ProductID],dProduct[Product])</f>
        <v>Cherry</v>
      </c>
      <c r="Q274">
        <f>_xlfn.XLOOKUP(fSales[[#This Row],[ProductID]],dProduct[ProductID],dProduct[CratePrice])-_xlfn.XLOOKUP(fSales[[#This Row],[ProductID]],dProduct[ProductID],dProduct[CrateCost])</f>
        <v>18.354000000000003</v>
      </c>
      <c r="R274">
        <f>_xlfn.XLOOKUP(fSales[[#This Row],[ProductID]],dProduct[ProductID],dProduct[CratePrice])</f>
        <v>43.7</v>
      </c>
      <c r="S274">
        <f>_xlfn.XLOOKUP(fSales[[#This Row],[ProductID]],dProduct[ProductID],dProduct[CrateCost])</f>
        <v>25.346</v>
      </c>
    </row>
    <row r="275" spans="7:19" x14ac:dyDescent="0.25">
      <c r="G275" s="2">
        <v>45487</v>
      </c>
      <c r="H275">
        <v>288</v>
      </c>
      <c r="I275" t="s">
        <v>21</v>
      </c>
      <c r="J275" t="s">
        <v>32</v>
      </c>
      <c r="K275">
        <f>_xlfn.XLOOKUP(fSales[[#This Row],[ProductID]],dProduct[ProductID],dProduct[CratePrice])*fSales[[#This Row],[Units]]</f>
        <v>6480</v>
      </c>
      <c r="L275">
        <f>fSales[[#This Row],[Total sales]]-_xlfn.XLOOKUP(fSales[[#This Row],[ProductID]],dProduct[ProductID],dProduct[CrateCost])*fSales[[#This Row],[Units]]</f>
        <v>2851.2</v>
      </c>
      <c r="M275">
        <f>(_xlfn.XLOOKUP(fSales[[#This Row],[ProductID]],dProduct[ProductID],dProduct[CratePrice])-_xlfn.XLOOKUP(fSales[[#This Row],[ProductID]],dProduct[ProductID],dProduct[CrateCost]))/_xlfn.XLOOKUP(fSales[[#This Row],[ProductID]],dProduct[ProductID],dProduct[CratePrice])</f>
        <v>0.43999999999999995</v>
      </c>
      <c r="N275" t="str">
        <f>_xlfn.XLOOKUP(fSales[[#This Row],[SalesRepID]],dPSalesRep[SalesRepID],dPSalesRep[SalesRep])</f>
        <v>Shihara Fazzaa</v>
      </c>
      <c r="O275" t="str">
        <f>_xlfn.XLOOKUP(fSales[[#This Row],[SalesRepID]],dPSalesRep[SalesRepID],dPSalesRep[Region])</f>
        <v>East</v>
      </c>
      <c r="P275" t="str">
        <f>_xlfn.XLOOKUP(fSales[[#This Row],[ProductID]],dProduct[ProductID],dProduct[Product])</f>
        <v>Kiwi</v>
      </c>
      <c r="Q275">
        <f>_xlfn.XLOOKUP(fSales[[#This Row],[ProductID]],dProduct[ProductID],dProduct[CratePrice])-_xlfn.XLOOKUP(fSales[[#This Row],[ProductID]],dProduct[ProductID],dProduct[CrateCost])</f>
        <v>9.8999999999999986</v>
      </c>
      <c r="R275">
        <f>_xlfn.XLOOKUP(fSales[[#This Row],[ProductID]],dProduct[ProductID],dProduct[CratePrice])</f>
        <v>22.5</v>
      </c>
      <c r="S275">
        <f>_xlfn.XLOOKUP(fSales[[#This Row],[ProductID]],dProduct[ProductID],dProduct[CrateCost])</f>
        <v>12.600000000000001</v>
      </c>
    </row>
    <row r="276" spans="7:19" x14ac:dyDescent="0.25">
      <c r="G276" s="2">
        <v>45488</v>
      </c>
      <c r="H276">
        <v>288</v>
      </c>
      <c r="I276" t="s">
        <v>19</v>
      </c>
      <c r="J276" t="s">
        <v>22</v>
      </c>
      <c r="K276">
        <f>_xlfn.XLOOKUP(fSales[[#This Row],[ProductID]],dProduct[ProductID],dProduct[CratePrice])*fSales[[#This Row],[Units]]</f>
        <v>10080</v>
      </c>
      <c r="L276">
        <f>fSales[[#This Row],[Total sales]]-_xlfn.XLOOKUP(fSales[[#This Row],[ProductID]],dProduct[ProductID],dProduct[CrateCost])*fSales[[#This Row],[Units]]</f>
        <v>5644.8</v>
      </c>
      <c r="M276">
        <f>(_xlfn.XLOOKUP(fSales[[#This Row],[ProductID]],dProduct[ProductID],dProduct[CratePrice])-_xlfn.XLOOKUP(fSales[[#This Row],[ProductID]],dProduct[ProductID],dProduct[CrateCost]))/_xlfn.XLOOKUP(fSales[[#This Row],[ProductID]],dProduct[ProductID],dProduct[CratePrice])</f>
        <v>0.56000000000000005</v>
      </c>
      <c r="N276" t="str">
        <f>_xlfn.XLOOKUP(fSales[[#This Row],[SalesRepID]],dPSalesRep[SalesRepID],dPSalesRep[SalesRep])</f>
        <v>Timmy Kips</v>
      </c>
      <c r="O276" t="str">
        <f>_xlfn.XLOOKUP(fSales[[#This Row],[SalesRepID]],dPSalesRep[SalesRepID],dPSalesRep[Region])</f>
        <v>East</v>
      </c>
      <c r="P276" t="str">
        <f>_xlfn.XLOOKUP(fSales[[#This Row],[ProductID]],dProduct[ProductID],dProduct[Product])</f>
        <v>Apple</v>
      </c>
      <c r="Q276">
        <f>_xlfn.XLOOKUP(fSales[[#This Row],[ProductID]],dProduct[ProductID],dProduct[CratePrice])-_xlfn.XLOOKUP(fSales[[#This Row],[ProductID]],dProduct[ProductID],dProduct[CrateCost])</f>
        <v>19.600000000000001</v>
      </c>
      <c r="R276">
        <f>_xlfn.XLOOKUP(fSales[[#This Row],[ProductID]],dProduct[ProductID],dProduct[CratePrice])</f>
        <v>35</v>
      </c>
      <c r="S276">
        <f>_xlfn.XLOOKUP(fSales[[#This Row],[ProductID]],dProduct[ProductID],dProduct[CrateCost])</f>
        <v>15.4</v>
      </c>
    </row>
    <row r="277" spans="7:19" x14ac:dyDescent="0.25">
      <c r="G277" s="2">
        <v>45488</v>
      </c>
      <c r="H277">
        <v>180</v>
      </c>
      <c r="I277" t="s">
        <v>26</v>
      </c>
      <c r="J277" t="s">
        <v>52</v>
      </c>
      <c r="K277">
        <f>_xlfn.XLOOKUP(fSales[[#This Row],[ProductID]],dProduct[ProductID],dProduct[CratePrice])*fSales[[#This Row],[Units]]</f>
        <v>5355</v>
      </c>
      <c r="L277">
        <f>fSales[[#This Row],[Total sales]]-_xlfn.XLOOKUP(fSales[[#This Row],[ProductID]],dProduct[ProductID],dProduct[CrateCost])*fSales[[#This Row],[Units]]</f>
        <v>2249.1000000000004</v>
      </c>
      <c r="M277">
        <f>(_xlfn.XLOOKUP(fSales[[#This Row],[ProductID]],dProduct[ProductID],dProduct[CratePrice])-_xlfn.XLOOKUP(fSales[[#This Row],[ProductID]],dProduct[ProductID],dProduct[CrateCost]))/_xlfn.XLOOKUP(fSales[[#This Row],[ProductID]],dProduct[ProductID],dProduct[CratePrice])</f>
        <v>0.42000000000000004</v>
      </c>
      <c r="N277" t="str">
        <f>_xlfn.XLOOKUP(fSales[[#This Row],[SalesRepID]],dPSalesRep[SalesRepID],dPSalesRep[SalesRep])</f>
        <v>Smitty Rad</v>
      </c>
      <c r="O277" t="str">
        <f>_xlfn.XLOOKUP(fSales[[#This Row],[SalesRepID]],dPSalesRep[SalesRepID],dPSalesRep[Region])</f>
        <v>MidWest</v>
      </c>
      <c r="P277" t="str">
        <f>_xlfn.XLOOKUP(fSales[[#This Row],[ProductID]],dProduct[ProductID],dProduct[Product])</f>
        <v>Orange</v>
      </c>
      <c r="Q277">
        <f>_xlfn.XLOOKUP(fSales[[#This Row],[ProductID]],dProduct[ProductID],dProduct[CratePrice])-_xlfn.XLOOKUP(fSales[[#This Row],[ProductID]],dProduct[ProductID],dProduct[CrateCost])</f>
        <v>12.495000000000001</v>
      </c>
      <c r="R277">
        <f>_xlfn.XLOOKUP(fSales[[#This Row],[ProductID]],dProduct[ProductID],dProduct[CratePrice])</f>
        <v>29.75</v>
      </c>
      <c r="S277">
        <f>_xlfn.XLOOKUP(fSales[[#This Row],[ProductID]],dProduct[ProductID],dProduct[CrateCost])</f>
        <v>17.254999999999999</v>
      </c>
    </row>
    <row r="278" spans="7:19" x14ac:dyDescent="0.25">
      <c r="G278" s="2">
        <v>45489</v>
      </c>
      <c r="H278">
        <v>132</v>
      </c>
      <c r="I278" t="s">
        <v>28</v>
      </c>
      <c r="J278" t="s">
        <v>22</v>
      </c>
      <c r="K278">
        <f>_xlfn.XLOOKUP(fSales[[#This Row],[ProductID]],dProduct[ProductID],dProduct[CratePrice])*fSales[[#This Row],[Units]]</f>
        <v>5768.4000000000005</v>
      </c>
      <c r="L278">
        <f>fSales[[#This Row],[Total sales]]-_xlfn.XLOOKUP(fSales[[#This Row],[ProductID]],dProduct[ProductID],dProduct[CrateCost])*fSales[[#This Row],[Units]]</f>
        <v>2422.7280000000005</v>
      </c>
      <c r="M278">
        <f>(_xlfn.XLOOKUP(fSales[[#This Row],[ProductID]],dProduct[ProductID],dProduct[CratePrice])-_xlfn.XLOOKUP(fSales[[#This Row],[ProductID]],dProduct[ProductID],dProduct[CrateCost]))/_xlfn.XLOOKUP(fSales[[#This Row],[ProductID]],dProduct[ProductID],dProduct[CratePrice])</f>
        <v>0.42000000000000004</v>
      </c>
      <c r="N278" t="str">
        <f>_xlfn.XLOOKUP(fSales[[#This Row],[SalesRepID]],dPSalesRep[SalesRepID],dPSalesRep[SalesRep])</f>
        <v>Timmy Kips</v>
      </c>
      <c r="O278" t="str">
        <f>_xlfn.XLOOKUP(fSales[[#This Row],[SalesRepID]],dPSalesRep[SalesRepID],dPSalesRep[Region])</f>
        <v>East</v>
      </c>
      <c r="P278" t="str">
        <f>_xlfn.XLOOKUP(fSales[[#This Row],[ProductID]],dProduct[ProductID],dProduct[Product])</f>
        <v>Cherry</v>
      </c>
      <c r="Q278">
        <f>_xlfn.XLOOKUP(fSales[[#This Row],[ProductID]],dProduct[ProductID],dProduct[CratePrice])-_xlfn.XLOOKUP(fSales[[#This Row],[ProductID]],dProduct[ProductID],dProduct[CrateCost])</f>
        <v>18.354000000000003</v>
      </c>
      <c r="R278">
        <f>_xlfn.XLOOKUP(fSales[[#This Row],[ProductID]],dProduct[ProductID],dProduct[CratePrice])</f>
        <v>43.7</v>
      </c>
      <c r="S278">
        <f>_xlfn.XLOOKUP(fSales[[#This Row],[ProductID]],dProduct[ProductID],dProduct[CrateCost])</f>
        <v>25.346</v>
      </c>
    </row>
    <row r="279" spans="7:19" x14ac:dyDescent="0.25">
      <c r="G279" s="2">
        <v>45490</v>
      </c>
      <c r="H279">
        <v>48</v>
      </c>
      <c r="I279" t="s">
        <v>34</v>
      </c>
      <c r="J279" t="s">
        <v>22</v>
      </c>
      <c r="K279">
        <f>_xlfn.XLOOKUP(fSales[[#This Row],[ProductID]],dProduct[ProductID],dProduct[CratePrice])*fSales[[#This Row],[Units]]</f>
        <v>840</v>
      </c>
      <c r="L279">
        <f>fSales[[#This Row],[Total sales]]-_xlfn.XLOOKUP(fSales[[#This Row],[ProductID]],dProduct[ProductID],dProduct[CrateCost])*fSales[[#This Row],[Units]]</f>
        <v>277.19999999999993</v>
      </c>
      <c r="M279">
        <f>(_xlfn.XLOOKUP(fSales[[#This Row],[ProductID]],dProduct[ProductID],dProduct[CratePrice])-_xlfn.XLOOKUP(fSales[[#This Row],[ProductID]],dProduct[ProductID],dProduct[CrateCost]))/_xlfn.XLOOKUP(fSales[[#This Row],[ProductID]],dProduct[ProductID],dProduct[CratePrice])</f>
        <v>0.3299999999999999</v>
      </c>
      <c r="N279" t="str">
        <f>_xlfn.XLOOKUP(fSales[[#This Row],[SalesRepID]],dPSalesRep[SalesRepID],dPSalesRep[SalesRep])</f>
        <v>Timmy Kips</v>
      </c>
      <c r="O279" t="str">
        <f>_xlfn.XLOOKUP(fSales[[#This Row],[SalesRepID]],dPSalesRep[SalesRepID],dPSalesRep[Region])</f>
        <v>East</v>
      </c>
      <c r="P279" t="str">
        <f>_xlfn.XLOOKUP(fSales[[#This Row],[ProductID]],dProduct[ProductID],dProduct[Product])</f>
        <v>Banana</v>
      </c>
      <c r="Q279">
        <f>_xlfn.XLOOKUP(fSales[[#This Row],[ProductID]],dProduct[ProductID],dProduct[CratePrice])-_xlfn.XLOOKUP(fSales[[#This Row],[ProductID]],dProduct[ProductID],dProduct[CrateCost])</f>
        <v>5.7749999999999986</v>
      </c>
      <c r="R279">
        <f>_xlfn.XLOOKUP(fSales[[#This Row],[ProductID]],dProduct[ProductID],dProduct[CratePrice])</f>
        <v>17.5</v>
      </c>
      <c r="S279">
        <f>_xlfn.XLOOKUP(fSales[[#This Row],[ProductID]],dProduct[ProductID],dProduct[CrateCost])</f>
        <v>11.725000000000001</v>
      </c>
    </row>
    <row r="280" spans="7:19" x14ac:dyDescent="0.25">
      <c r="G280" s="2">
        <v>45490</v>
      </c>
      <c r="H280">
        <v>96</v>
      </c>
      <c r="I280" t="s">
        <v>19</v>
      </c>
      <c r="J280" t="s">
        <v>32</v>
      </c>
      <c r="K280">
        <f>_xlfn.XLOOKUP(fSales[[#This Row],[ProductID]],dProduct[ProductID],dProduct[CratePrice])*fSales[[#This Row],[Units]]</f>
        <v>3360</v>
      </c>
      <c r="L280">
        <f>fSales[[#This Row],[Total sales]]-_xlfn.XLOOKUP(fSales[[#This Row],[ProductID]],dProduct[ProductID],dProduct[CrateCost])*fSales[[#This Row],[Units]]</f>
        <v>1881.6</v>
      </c>
      <c r="M280">
        <f>(_xlfn.XLOOKUP(fSales[[#This Row],[ProductID]],dProduct[ProductID],dProduct[CratePrice])-_xlfn.XLOOKUP(fSales[[#This Row],[ProductID]],dProduct[ProductID],dProduct[CrateCost]))/_xlfn.XLOOKUP(fSales[[#This Row],[ProductID]],dProduct[ProductID],dProduct[CratePrice])</f>
        <v>0.56000000000000005</v>
      </c>
      <c r="N280" t="str">
        <f>_xlfn.XLOOKUP(fSales[[#This Row],[SalesRepID]],dPSalesRep[SalesRepID],dPSalesRep[SalesRep])</f>
        <v>Shihara Fazzaa</v>
      </c>
      <c r="O280" t="str">
        <f>_xlfn.XLOOKUP(fSales[[#This Row],[SalesRepID]],dPSalesRep[SalesRepID],dPSalesRep[Region])</f>
        <v>East</v>
      </c>
      <c r="P280" t="str">
        <f>_xlfn.XLOOKUP(fSales[[#This Row],[ProductID]],dProduct[ProductID],dProduct[Product])</f>
        <v>Apple</v>
      </c>
      <c r="Q280">
        <f>_xlfn.XLOOKUP(fSales[[#This Row],[ProductID]],dProduct[ProductID],dProduct[CratePrice])-_xlfn.XLOOKUP(fSales[[#This Row],[ProductID]],dProduct[ProductID],dProduct[CrateCost])</f>
        <v>19.600000000000001</v>
      </c>
      <c r="R280">
        <f>_xlfn.XLOOKUP(fSales[[#This Row],[ProductID]],dProduct[ProductID],dProduct[CratePrice])</f>
        <v>35</v>
      </c>
      <c r="S280">
        <f>_xlfn.XLOOKUP(fSales[[#This Row],[ProductID]],dProduct[ProductID],dProduct[CrateCost])</f>
        <v>15.4</v>
      </c>
    </row>
    <row r="281" spans="7:19" x14ac:dyDescent="0.25">
      <c r="G281" s="2">
        <v>45491</v>
      </c>
      <c r="H281">
        <v>24</v>
      </c>
      <c r="I281" t="s">
        <v>28</v>
      </c>
      <c r="J281" t="s">
        <v>37</v>
      </c>
      <c r="K281">
        <f>_xlfn.XLOOKUP(fSales[[#This Row],[ProductID]],dProduct[ProductID],dProduct[CratePrice])*fSales[[#This Row],[Units]]</f>
        <v>1048.8000000000002</v>
      </c>
      <c r="L281">
        <f>fSales[[#This Row],[Total sales]]-_xlfn.XLOOKUP(fSales[[#This Row],[ProductID]],dProduct[ProductID],dProduct[CrateCost])*fSales[[#This Row],[Units]]</f>
        <v>440.49600000000021</v>
      </c>
      <c r="M281">
        <f>(_xlfn.XLOOKUP(fSales[[#This Row],[ProductID]],dProduct[ProductID],dProduct[CratePrice])-_xlfn.XLOOKUP(fSales[[#This Row],[ProductID]],dProduct[ProductID],dProduct[CrateCost]))/_xlfn.XLOOKUP(fSales[[#This Row],[ProductID]],dProduct[ProductID],dProduct[CratePrice])</f>
        <v>0.42000000000000004</v>
      </c>
      <c r="N281" t="str">
        <f>_xlfn.XLOOKUP(fSales[[#This Row],[SalesRepID]],dPSalesRep[SalesRepID],dPSalesRep[SalesRep])</f>
        <v>Chantel Mims</v>
      </c>
      <c r="O281" t="str">
        <f>_xlfn.XLOOKUP(fSales[[#This Row],[SalesRepID]],dPSalesRep[SalesRepID],dPSalesRep[Region])</f>
        <v>NW</v>
      </c>
      <c r="P281" t="str">
        <f>_xlfn.XLOOKUP(fSales[[#This Row],[ProductID]],dProduct[ProductID],dProduct[Product])</f>
        <v>Cherry</v>
      </c>
      <c r="Q281">
        <f>_xlfn.XLOOKUP(fSales[[#This Row],[ProductID]],dProduct[ProductID],dProduct[CratePrice])-_xlfn.XLOOKUP(fSales[[#This Row],[ProductID]],dProduct[ProductID],dProduct[CrateCost])</f>
        <v>18.354000000000003</v>
      </c>
      <c r="R281">
        <f>_xlfn.XLOOKUP(fSales[[#This Row],[ProductID]],dProduct[ProductID],dProduct[CratePrice])</f>
        <v>43.7</v>
      </c>
      <c r="S281">
        <f>_xlfn.XLOOKUP(fSales[[#This Row],[ProductID]],dProduct[ProductID],dProduct[CrateCost])</f>
        <v>25.346</v>
      </c>
    </row>
    <row r="282" spans="7:19" x14ac:dyDescent="0.25">
      <c r="G282" s="2">
        <v>45492</v>
      </c>
      <c r="H282">
        <v>288</v>
      </c>
      <c r="I282" t="s">
        <v>21</v>
      </c>
      <c r="J282" t="s">
        <v>22</v>
      </c>
      <c r="K282">
        <f>_xlfn.XLOOKUP(fSales[[#This Row],[ProductID]],dProduct[ProductID],dProduct[CratePrice])*fSales[[#This Row],[Units]]</f>
        <v>6480</v>
      </c>
      <c r="L282">
        <f>fSales[[#This Row],[Total sales]]-_xlfn.XLOOKUP(fSales[[#This Row],[ProductID]],dProduct[ProductID],dProduct[CrateCost])*fSales[[#This Row],[Units]]</f>
        <v>2851.2</v>
      </c>
      <c r="M282">
        <f>(_xlfn.XLOOKUP(fSales[[#This Row],[ProductID]],dProduct[ProductID],dProduct[CratePrice])-_xlfn.XLOOKUP(fSales[[#This Row],[ProductID]],dProduct[ProductID],dProduct[CrateCost]))/_xlfn.XLOOKUP(fSales[[#This Row],[ProductID]],dProduct[ProductID],dProduct[CratePrice])</f>
        <v>0.43999999999999995</v>
      </c>
      <c r="N282" t="str">
        <f>_xlfn.XLOOKUP(fSales[[#This Row],[SalesRepID]],dPSalesRep[SalesRepID],dPSalesRep[SalesRep])</f>
        <v>Timmy Kips</v>
      </c>
      <c r="O282" t="str">
        <f>_xlfn.XLOOKUP(fSales[[#This Row],[SalesRepID]],dPSalesRep[SalesRepID],dPSalesRep[Region])</f>
        <v>East</v>
      </c>
      <c r="P282" t="str">
        <f>_xlfn.XLOOKUP(fSales[[#This Row],[ProductID]],dProduct[ProductID],dProduct[Product])</f>
        <v>Kiwi</v>
      </c>
      <c r="Q282">
        <f>_xlfn.XLOOKUP(fSales[[#This Row],[ProductID]],dProduct[ProductID],dProduct[CratePrice])-_xlfn.XLOOKUP(fSales[[#This Row],[ProductID]],dProduct[ProductID],dProduct[CrateCost])</f>
        <v>9.8999999999999986</v>
      </c>
      <c r="R282">
        <f>_xlfn.XLOOKUP(fSales[[#This Row],[ProductID]],dProduct[ProductID],dProduct[CratePrice])</f>
        <v>22.5</v>
      </c>
      <c r="S282">
        <f>_xlfn.XLOOKUP(fSales[[#This Row],[ProductID]],dProduct[ProductID],dProduct[CrateCost])</f>
        <v>12.600000000000001</v>
      </c>
    </row>
    <row r="283" spans="7:19" x14ac:dyDescent="0.25">
      <c r="G283" s="2">
        <v>45493</v>
      </c>
      <c r="H283">
        <v>36</v>
      </c>
      <c r="I283" t="s">
        <v>34</v>
      </c>
      <c r="J283" t="s">
        <v>37</v>
      </c>
      <c r="K283">
        <f>_xlfn.XLOOKUP(fSales[[#This Row],[ProductID]],dProduct[ProductID],dProduct[CratePrice])*fSales[[#This Row],[Units]]</f>
        <v>630</v>
      </c>
      <c r="L283">
        <f>fSales[[#This Row],[Total sales]]-_xlfn.XLOOKUP(fSales[[#This Row],[ProductID]],dProduct[ProductID],dProduct[CrateCost])*fSales[[#This Row],[Units]]</f>
        <v>207.89999999999998</v>
      </c>
      <c r="M283">
        <f>(_xlfn.XLOOKUP(fSales[[#This Row],[ProductID]],dProduct[ProductID],dProduct[CratePrice])-_xlfn.XLOOKUP(fSales[[#This Row],[ProductID]],dProduct[ProductID],dProduct[CrateCost]))/_xlfn.XLOOKUP(fSales[[#This Row],[ProductID]],dProduct[ProductID],dProduct[CratePrice])</f>
        <v>0.3299999999999999</v>
      </c>
      <c r="N283" t="str">
        <f>_xlfn.XLOOKUP(fSales[[#This Row],[SalesRepID]],dPSalesRep[SalesRepID],dPSalesRep[SalesRep])</f>
        <v>Chantel Mims</v>
      </c>
      <c r="O283" t="str">
        <f>_xlfn.XLOOKUP(fSales[[#This Row],[SalesRepID]],dPSalesRep[SalesRepID],dPSalesRep[Region])</f>
        <v>NW</v>
      </c>
      <c r="P283" t="str">
        <f>_xlfn.XLOOKUP(fSales[[#This Row],[ProductID]],dProduct[ProductID],dProduct[Product])</f>
        <v>Banana</v>
      </c>
      <c r="Q283">
        <f>_xlfn.XLOOKUP(fSales[[#This Row],[ProductID]],dProduct[ProductID],dProduct[CratePrice])-_xlfn.XLOOKUP(fSales[[#This Row],[ProductID]],dProduct[ProductID],dProduct[CrateCost])</f>
        <v>5.7749999999999986</v>
      </c>
      <c r="R283">
        <f>_xlfn.XLOOKUP(fSales[[#This Row],[ProductID]],dProduct[ProductID],dProduct[CratePrice])</f>
        <v>17.5</v>
      </c>
      <c r="S283">
        <f>_xlfn.XLOOKUP(fSales[[#This Row],[ProductID]],dProduct[ProductID],dProduct[CrateCost])</f>
        <v>11.725000000000001</v>
      </c>
    </row>
    <row r="284" spans="7:19" x14ac:dyDescent="0.25">
      <c r="G284" s="2">
        <v>45493</v>
      </c>
      <c r="H284">
        <v>144</v>
      </c>
      <c r="I284" t="s">
        <v>28</v>
      </c>
      <c r="J284" t="s">
        <v>22</v>
      </c>
      <c r="K284">
        <f>_xlfn.XLOOKUP(fSales[[#This Row],[ProductID]],dProduct[ProductID],dProduct[CratePrice])*fSales[[#This Row],[Units]]</f>
        <v>6292.8</v>
      </c>
      <c r="L284">
        <f>fSales[[#This Row],[Total sales]]-_xlfn.XLOOKUP(fSales[[#This Row],[ProductID]],dProduct[ProductID],dProduct[CrateCost])*fSales[[#This Row],[Units]]</f>
        <v>2642.9760000000001</v>
      </c>
      <c r="M284">
        <f>(_xlfn.XLOOKUP(fSales[[#This Row],[ProductID]],dProduct[ProductID],dProduct[CratePrice])-_xlfn.XLOOKUP(fSales[[#This Row],[ProductID]],dProduct[ProductID],dProduct[CrateCost]))/_xlfn.XLOOKUP(fSales[[#This Row],[ProductID]],dProduct[ProductID],dProduct[CratePrice])</f>
        <v>0.42000000000000004</v>
      </c>
      <c r="N284" t="str">
        <f>_xlfn.XLOOKUP(fSales[[#This Row],[SalesRepID]],dPSalesRep[SalesRepID],dPSalesRep[SalesRep])</f>
        <v>Timmy Kips</v>
      </c>
      <c r="O284" t="str">
        <f>_xlfn.XLOOKUP(fSales[[#This Row],[SalesRepID]],dPSalesRep[SalesRepID],dPSalesRep[Region])</f>
        <v>East</v>
      </c>
      <c r="P284" t="str">
        <f>_xlfn.XLOOKUP(fSales[[#This Row],[ProductID]],dProduct[ProductID],dProduct[Product])</f>
        <v>Cherry</v>
      </c>
      <c r="Q284">
        <f>_xlfn.XLOOKUP(fSales[[#This Row],[ProductID]],dProduct[ProductID],dProduct[CratePrice])-_xlfn.XLOOKUP(fSales[[#This Row],[ProductID]],dProduct[ProductID],dProduct[CrateCost])</f>
        <v>18.354000000000003</v>
      </c>
      <c r="R284">
        <f>_xlfn.XLOOKUP(fSales[[#This Row],[ProductID]],dProduct[ProductID],dProduct[CratePrice])</f>
        <v>43.7</v>
      </c>
      <c r="S284">
        <f>_xlfn.XLOOKUP(fSales[[#This Row],[ProductID]],dProduct[ProductID],dProduct[CrateCost])</f>
        <v>25.346</v>
      </c>
    </row>
    <row r="285" spans="7:19" x14ac:dyDescent="0.25">
      <c r="G285" s="2">
        <v>45494</v>
      </c>
      <c r="H285">
        <v>216</v>
      </c>
      <c r="I285" t="s">
        <v>26</v>
      </c>
      <c r="J285" t="s">
        <v>37</v>
      </c>
      <c r="K285">
        <f>_xlfn.XLOOKUP(fSales[[#This Row],[ProductID]],dProduct[ProductID],dProduct[CratePrice])*fSales[[#This Row],[Units]]</f>
        <v>6426</v>
      </c>
      <c r="L285">
        <f>fSales[[#This Row],[Total sales]]-_xlfn.XLOOKUP(fSales[[#This Row],[ProductID]],dProduct[ProductID],dProduct[CrateCost])*fSales[[#This Row],[Units]]</f>
        <v>2698.92</v>
      </c>
      <c r="M285">
        <f>(_xlfn.XLOOKUP(fSales[[#This Row],[ProductID]],dProduct[ProductID],dProduct[CratePrice])-_xlfn.XLOOKUP(fSales[[#This Row],[ProductID]],dProduct[ProductID],dProduct[CrateCost]))/_xlfn.XLOOKUP(fSales[[#This Row],[ProductID]],dProduct[ProductID],dProduct[CratePrice])</f>
        <v>0.42000000000000004</v>
      </c>
      <c r="N285" t="str">
        <f>_xlfn.XLOOKUP(fSales[[#This Row],[SalesRepID]],dPSalesRep[SalesRepID],dPSalesRep[SalesRep])</f>
        <v>Chantel Mims</v>
      </c>
      <c r="O285" t="str">
        <f>_xlfn.XLOOKUP(fSales[[#This Row],[SalesRepID]],dPSalesRep[SalesRepID],dPSalesRep[Region])</f>
        <v>NW</v>
      </c>
      <c r="P285" t="str">
        <f>_xlfn.XLOOKUP(fSales[[#This Row],[ProductID]],dProduct[ProductID],dProduct[Product])</f>
        <v>Orange</v>
      </c>
      <c r="Q285">
        <f>_xlfn.XLOOKUP(fSales[[#This Row],[ProductID]],dProduct[ProductID],dProduct[CratePrice])-_xlfn.XLOOKUP(fSales[[#This Row],[ProductID]],dProduct[ProductID],dProduct[CrateCost])</f>
        <v>12.495000000000001</v>
      </c>
      <c r="R285">
        <f>_xlfn.XLOOKUP(fSales[[#This Row],[ProductID]],dProduct[ProductID],dProduct[CratePrice])</f>
        <v>29.75</v>
      </c>
      <c r="S285">
        <f>_xlfn.XLOOKUP(fSales[[#This Row],[ProductID]],dProduct[ProductID],dProduct[CrateCost])</f>
        <v>17.254999999999999</v>
      </c>
    </row>
    <row r="286" spans="7:19" x14ac:dyDescent="0.25">
      <c r="G286" s="2">
        <v>45495</v>
      </c>
      <c r="H286">
        <v>96</v>
      </c>
      <c r="I286" t="s">
        <v>34</v>
      </c>
      <c r="J286" t="s">
        <v>29</v>
      </c>
      <c r="K286">
        <f>_xlfn.XLOOKUP(fSales[[#This Row],[ProductID]],dProduct[ProductID],dProduct[CratePrice])*fSales[[#This Row],[Units]]</f>
        <v>1680</v>
      </c>
      <c r="L286">
        <f>fSales[[#This Row],[Total sales]]-_xlfn.XLOOKUP(fSales[[#This Row],[ProductID]],dProduct[ProductID],dProduct[CrateCost])*fSales[[#This Row],[Units]]</f>
        <v>554.39999999999986</v>
      </c>
      <c r="M286">
        <f>(_xlfn.XLOOKUP(fSales[[#This Row],[ProductID]],dProduct[ProductID],dProduct[CratePrice])-_xlfn.XLOOKUP(fSales[[#This Row],[ProductID]],dProduct[ProductID],dProduct[CrateCost]))/_xlfn.XLOOKUP(fSales[[#This Row],[ProductID]],dProduct[ProductID],dProduct[CratePrice])</f>
        <v>0.3299999999999999</v>
      </c>
      <c r="N286" t="str">
        <f>_xlfn.XLOOKUP(fSales[[#This Row],[SalesRepID]],dPSalesRep[SalesRepID],dPSalesRep[SalesRep])</f>
        <v>Sioux Best</v>
      </c>
      <c r="O286" t="str">
        <f>_xlfn.XLOOKUP(fSales[[#This Row],[SalesRepID]],dPSalesRep[SalesRepID],dPSalesRep[Region])</f>
        <v>West</v>
      </c>
      <c r="P286" t="str">
        <f>_xlfn.XLOOKUP(fSales[[#This Row],[ProductID]],dProduct[ProductID],dProduct[Product])</f>
        <v>Banana</v>
      </c>
      <c r="Q286">
        <f>_xlfn.XLOOKUP(fSales[[#This Row],[ProductID]],dProduct[ProductID],dProduct[CratePrice])-_xlfn.XLOOKUP(fSales[[#This Row],[ProductID]],dProduct[ProductID],dProduct[CrateCost])</f>
        <v>5.7749999999999986</v>
      </c>
      <c r="R286">
        <f>_xlfn.XLOOKUP(fSales[[#This Row],[ProductID]],dProduct[ProductID],dProduct[CratePrice])</f>
        <v>17.5</v>
      </c>
      <c r="S286">
        <f>_xlfn.XLOOKUP(fSales[[#This Row],[ProductID]],dProduct[ProductID],dProduct[CrateCost])</f>
        <v>11.725000000000001</v>
      </c>
    </row>
    <row r="287" spans="7:19" x14ac:dyDescent="0.25">
      <c r="G287" s="2">
        <v>45496</v>
      </c>
      <c r="H287">
        <v>180</v>
      </c>
      <c r="I287" t="s">
        <v>28</v>
      </c>
      <c r="J287" t="s">
        <v>37</v>
      </c>
      <c r="K287">
        <f>_xlfn.XLOOKUP(fSales[[#This Row],[ProductID]],dProduct[ProductID],dProduct[CratePrice])*fSales[[#This Row],[Units]]</f>
        <v>7866.0000000000009</v>
      </c>
      <c r="L287">
        <f>fSales[[#This Row],[Total sales]]-_xlfn.XLOOKUP(fSales[[#This Row],[ProductID]],dProduct[ProductID],dProduct[CrateCost])*fSales[[#This Row],[Units]]</f>
        <v>3303.7200000000012</v>
      </c>
      <c r="M287">
        <f>(_xlfn.XLOOKUP(fSales[[#This Row],[ProductID]],dProduct[ProductID],dProduct[CratePrice])-_xlfn.XLOOKUP(fSales[[#This Row],[ProductID]],dProduct[ProductID],dProduct[CrateCost]))/_xlfn.XLOOKUP(fSales[[#This Row],[ProductID]],dProduct[ProductID],dProduct[CratePrice])</f>
        <v>0.42000000000000004</v>
      </c>
      <c r="N287" t="str">
        <f>_xlfn.XLOOKUP(fSales[[#This Row],[SalesRepID]],dPSalesRep[SalesRepID],dPSalesRep[SalesRep])</f>
        <v>Chantel Mims</v>
      </c>
      <c r="O287" t="str">
        <f>_xlfn.XLOOKUP(fSales[[#This Row],[SalesRepID]],dPSalesRep[SalesRepID],dPSalesRep[Region])</f>
        <v>NW</v>
      </c>
      <c r="P287" t="str">
        <f>_xlfn.XLOOKUP(fSales[[#This Row],[ProductID]],dProduct[ProductID],dProduct[Product])</f>
        <v>Cherry</v>
      </c>
      <c r="Q287">
        <f>_xlfn.XLOOKUP(fSales[[#This Row],[ProductID]],dProduct[ProductID],dProduct[CratePrice])-_xlfn.XLOOKUP(fSales[[#This Row],[ProductID]],dProduct[ProductID],dProduct[CrateCost])</f>
        <v>18.354000000000003</v>
      </c>
      <c r="R287">
        <f>_xlfn.XLOOKUP(fSales[[#This Row],[ProductID]],dProduct[ProductID],dProduct[CratePrice])</f>
        <v>43.7</v>
      </c>
      <c r="S287">
        <f>_xlfn.XLOOKUP(fSales[[#This Row],[ProductID]],dProduct[ProductID],dProduct[CrateCost])</f>
        <v>25.346</v>
      </c>
    </row>
    <row r="288" spans="7:19" x14ac:dyDescent="0.25">
      <c r="G288" s="2">
        <v>45496</v>
      </c>
      <c r="H288">
        <v>60</v>
      </c>
      <c r="I288" t="s">
        <v>19</v>
      </c>
      <c r="J288" t="s">
        <v>32</v>
      </c>
      <c r="K288">
        <f>_xlfn.XLOOKUP(fSales[[#This Row],[ProductID]],dProduct[ProductID],dProduct[CratePrice])*fSales[[#This Row],[Units]]</f>
        <v>2100</v>
      </c>
      <c r="L288">
        <f>fSales[[#This Row],[Total sales]]-_xlfn.XLOOKUP(fSales[[#This Row],[ProductID]],dProduct[ProductID],dProduct[CrateCost])*fSales[[#This Row],[Units]]</f>
        <v>1176</v>
      </c>
      <c r="M288">
        <f>(_xlfn.XLOOKUP(fSales[[#This Row],[ProductID]],dProduct[ProductID],dProduct[CratePrice])-_xlfn.XLOOKUP(fSales[[#This Row],[ProductID]],dProduct[ProductID],dProduct[CrateCost]))/_xlfn.XLOOKUP(fSales[[#This Row],[ProductID]],dProduct[ProductID],dProduct[CratePrice])</f>
        <v>0.56000000000000005</v>
      </c>
      <c r="N288" t="str">
        <f>_xlfn.XLOOKUP(fSales[[#This Row],[SalesRepID]],dPSalesRep[SalesRepID],dPSalesRep[SalesRep])</f>
        <v>Shihara Fazzaa</v>
      </c>
      <c r="O288" t="str">
        <f>_xlfn.XLOOKUP(fSales[[#This Row],[SalesRepID]],dPSalesRep[SalesRepID],dPSalesRep[Region])</f>
        <v>East</v>
      </c>
      <c r="P288" t="str">
        <f>_xlfn.XLOOKUP(fSales[[#This Row],[ProductID]],dProduct[ProductID],dProduct[Product])</f>
        <v>Apple</v>
      </c>
      <c r="Q288">
        <f>_xlfn.XLOOKUP(fSales[[#This Row],[ProductID]],dProduct[ProductID],dProduct[CratePrice])-_xlfn.XLOOKUP(fSales[[#This Row],[ProductID]],dProduct[ProductID],dProduct[CrateCost])</f>
        <v>19.600000000000001</v>
      </c>
      <c r="R288">
        <f>_xlfn.XLOOKUP(fSales[[#This Row],[ProductID]],dProduct[ProductID],dProduct[CratePrice])</f>
        <v>35</v>
      </c>
      <c r="S288">
        <f>_xlfn.XLOOKUP(fSales[[#This Row],[ProductID]],dProduct[ProductID],dProduct[CrateCost])</f>
        <v>15.4</v>
      </c>
    </row>
    <row r="289" spans="7:19" x14ac:dyDescent="0.25">
      <c r="G289" s="2">
        <v>45496</v>
      </c>
      <c r="H289">
        <v>252</v>
      </c>
      <c r="I289" t="s">
        <v>26</v>
      </c>
      <c r="J289" t="s">
        <v>32</v>
      </c>
      <c r="K289">
        <f>_xlfn.XLOOKUP(fSales[[#This Row],[ProductID]],dProduct[ProductID],dProduct[CratePrice])*fSales[[#This Row],[Units]]</f>
        <v>7497</v>
      </c>
      <c r="L289">
        <f>fSales[[#This Row],[Total sales]]-_xlfn.XLOOKUP(fSales[[#This Row],[ProductID]],dProduct[ProductID],dProduct[CrateCost])*fSales[[#This Row],[Units]]</f>
        <v>3148.7400000000007</v>
      </c>
      <c r="M289">
        <f>(_xlfn.XLOOKUP(fSales[[#This Row],[ProductID]],dProduct[ProductID],dProduct[CratePrice])-_xlfn.XLOOKUP(fSales[[#This Row],[ProductID]],dProduct[ProductID],dProduct[CrateCost]))/_xlfn.XLOOKUP(fSales[[#This Row],[ProductID]],dProduct[ProductID],dProduct[CratePrice])</f>
        <v>0.42000000000000004</v>
      </c>
      <c r="N289" t="str">
        <f>_xlfn.XLOOKUP(fSales[[#This Row],[SalesRepID]],dPSalesRep[SalesRepID],dPSalesRep[SalesRep])</f>
        <v>Shihara Fazzaa</v>
      </c>
      <c r="O289" t="str">
        <f>_xlfn.XLOOKUP(fSales[[#This Row],[SalesRepID]],dPSalesRep[SalesRepID],dPSalesRep[Region])</f>
        <v>East</v>
      </c>
      <c r="P289" t="str">
        <f>_xlfn.XLOOKUP(fSales[[#This Row],[ProductID]],dProduct[ProductID],dProduct[Product])</f>
        <v>Orange</v>
      </c>
      <c r="Q289">
        <f>_xlfn.XLOOKUP(fSales[[#This Row],[ProductID]],dProduct[ProductID],dProduct[CratePrice])-_xlfn.XLOOKUP(fSales[[#This Row],[ProductID]],dProduct[ProductID],dProduct[CrateCost])</f>
        <v>12.495000000000001</v>
      </c>
      <c r="R289">
        <f>_xlfn.XLOOKUP(fSales[[#This Row],[ProductID]],dProduct[ProductID],dProduct[CratePrice])</f>
        <v>29.75</v>
      </c>
      <c r="S289">
        <f>_xlfn.XLOOKUP(fSales[[#This Row],[ProductID]],dProduct[ProductID],dProduct[CrateCost])</f>
        <v>17.254999999999999</v>
      </c>
    </row>
    <row r="290" spans="7:19" x14ac:dyDescent="0.25">
      <c r="G290" s="2">
        <v>45496</v>
      </c>
      <c r="H290">
        <v>300</v>
      </c>
      <c r="I290" t="s">
        <v>21</v>
      </c>
      <c r="J290" t="s">
        <v>32</v>
      </c>
      <c r="K290">
        <f>_xlfn.XLOOKUP(fSales[[#This Row],[ProductID]],dProduct[ProductID],dProduct[CratePrice])*fSales[[#This Row],[Units]]</f>
        <v>6750</v>
      </c>
      <c r="L290">
        <f>fSales[[#This Row],[Total sales]]-_xlfn.XLOOKUP(fSales[[#This Row],[ProductID]],dProduct[ProductID],dProduct[CrateCost])*fSales[[#This Row],[Units]]</f>
        <v>2969.9999999999995</v>
      </c>
      <c r="M290">
        <f>(_xlfn.XLOOKUP(fSales[[#This Row],[ProductID]],dProduct[ProductID],dProduct[CratePrice])-_xlfn.XLOOKUP(fSales[[#This Row],[ProductID]],dProduct[ProductID],dProduct[CrateCost]))/_xlfn.XLOOKUP(fSales[[#This Row],[ProductID]],dProduct[ProductID],dProduct[CratePrice])</f>
        <v>0.43999999999999995</v>
      </c>
      <c r="N290" t="str">
        <f>_xlfn.XLOOKUP(fSales[[#This Row],[SalesRepID]],dPSalesRep[SalesRepID],dPSalesRep[SalesRep])</f>
        <v>Shihara Fazzaa</v>
      </c>
      <c r="O290" t="str">
        <f>_xlfn.XLOOKUP(fSales[[#This Row],[SalesRepID]],dPSalesRep[SalesRepID],dPSalesRep[Region])</f>
        <v>East</v>
      </c>
      <c r="P290" t="str">
        <f>_xlfn.XLOOKUP(fSales[[#This Row],[ProductID]],dProduct[ProductID],dProduct[Product])</f>
        <v>Kiwi</v>
      </c>
      <c r="Q290">
        <f>_xlfn.XLOOKUP(fSales[[#This Row],[ProductID]],dProduct[ProductID],dProduct[CratePrice])-_xlfn.XLOOKUP(fSales[[#This Row],[ProductID]],dProduct[ProductID],dProduct[CrateCost])</f>
        <v>9.8999999999999986</v>
      </c>
      <c r="R290">
        <f>_xlfn.XLOOKUP(fSales[[#This Row],[ProductID]],dProduct[ProductID],dProduct[CratePrice])</f>
        <v>22.5</v>
      </c>
      <c r="S290">
        <f>_xlfn.XLOOKUP(fSales[[#This Row],[ProductID]],dProduct[ProductID],dProduct[CrateCost])</f>
        <v>12.600000000000001</v>
      </c>
    </row>
    <row r="291" spans="7:19" x14ac:dyDescent="0.25">
      <c r="G291" s="2">
        <v>45497</v>
      </c>
      <c r="H291">
        <v>72</v>
      </c>
      <c r="I291" t="s">
        <v>28</v>
      </c>
      <c r="J291" t="s">
        <v>52</v>
      </c>
      <c r="K291">
        <f>_xlfn.XLOOKUP(fSales[[#This Row],[ProductID]],dProduct[ProductID],dProduct[CratePrice])*fSales[[#This Row],[Units]]</f>
        <v>3146.4</v>
      </c>
      <c r="L291">
        <f>fSales[[#This Row],[Total sales]]-_xlfn.XLOOKUP(fSales[[#This Row],[ProductID]],dProduct[ProductID],dProduct[CrateCost])*fSales[[#This Row],[Units]]</f>
        <v>1321.4880000000001</v>
      </c>
      <c r="M291">
        <f>(_xlfn.XLOOKUP(fSales[[#This Row],[ProductID]],dProduct[ProductID],dProduct[CratePrice])-_xlfn.XLOOKUP(fSales[[#This Row],[ProductID]],dProduct[ProductID],dProduct[CrateCost]))/_xlfn.XLOOKUP(fSales[[#This Row],[ProductID]],dProduct[ProductID],dProduct[CratePrice])</f>
        <v>0.42000000000000004</v>
      </c>
      <c r="N291" t="str">
        <f>_xlfn.XLOOKUP(fSales[[#This Row],[SalesRepID]],dPSalesRep[SalesRepID],dPSalesRep[SalesRep])</f>
        <v>Smitty Rad</v>
      </c>
      <c r="O291" t="str">
        <f>_xlfn.XLOOKUP(fSales[[#This Row],[SalesRepID]],dPSalesRep[SalesRepID],dPSalesRep[Region])</f>
        <v>MidWest</v>
      </c>
      <c r="P291" t="str">
        <f>_xlfn.XLOOKUP(fSales[[#This Row],[ProductID]],dProduct[ProductID],dProduct[Product])</f>
        <v>Cherry</v>
      </c>
      <c r="Q291">
        <f>_xlfn.XLOOKUP(fSales[[#This Row],[ProductID]],dProduct[ProductID],dProduct[CratePrice])-_xlfn.XLOOKUP(fSales[[#This Row],[ProductID]],dProduct[ProductID],dProduct[CrateCost])</f>
        <v>18.354000000000003</v>
      </c>
      <c r="R291">
        <f>_xlfn.XLOOKUP(fSales[[#This Row],[ProductID]],dProduct[ProductID],dProduct[CratePrice])</f>
        <v>43.7</v>
      </c>
      <c r="S291">
        <f>_xlfn.XLOOKUP(fSales[[#This Row],[ProductID]],dProduct[ProductID],dProduct[CrateCost])</f>
        <v>25.346</v>
      </c>
    </row>
    <row r="292" spans="7:19" x14ac:dyDescent="0.25">
      <c r="G292" s="2">
        <v>45498</v>
      </c>
      <c r="H292">
        <v>276</v>
      </c>
      <c r="I292" t="s">
        <v>26</v>
      </c>
      <c r="J292" t="s">
        <v>22</v>
      </c>
      <c r="K292">
        <f>_xlfn.XLOOKUP(fSales[[#This Row],[ProductID]],dProduct[ProductID],dProduct[CratePrice])*fSales[[#This Row],[Units]]</f>
        <v>8211</v>
      </c>
      <c r="L292">
        <f>fSales[[#This Row],[Total sales]]-_xlfn.XLOOKUP(fSales[[#This Row],[ProductID]],dProduct[ProductID],dProduct[CrateCost])*fSales[[#This Row],[Units]]</f>
        <v>3448.62</v>
      </c>
      <c r="M292">
        <f>(_xlfn.XLOOKUP(fSales[[#This Row],[ProductID]],dProduct[ProductID],dProduct[CratePrice])-_xlfn.XLOOKUP(fSales[[#This Row],[ProductID]],dProduct[ProductID],dProduct[CrateCost]))/_xlfn.XLOOKUP(fSales[[#This Row],[ProductID]],dProduct[ProductID],dProduct[CratePrice])</f>
        <v>0.42000000000000004</v>
      </c>
      <c r="N292" t="str">
        <f>_xlfn.XLOOKUP(fSales[[#This Row],[SalesRepID]],dPSalesRep[SalesRepID],dPSalesRep[SalesRep])</f>
        <v>Timmy Kips</v>
      </c>
      <c r="O292" t="str">
        <f>_xlfn.XLOOKUP(fSales[[#This Row],[SalesRepID]],dPSalesRep[SalesRepID],dPSalesRep[Region])</f>
        <v>East</v>
      </c>
      <c r="P292" t="str">
        <f>_xlfn.XLOOKUP(fSales[[#This Row],[ProductID]],dProduct[ProductID],dProduct[Product])</f>
        <v>Orange</v>
      </c>
      <c r="Q292">
        <f>_xlfn.XLOOKUP(fSales[[#This Row],[ProductID]],dProduct[ProductID],dProduct[CratePrice])-_xlfn.XLOOKUP(fSales[[#This Row],[ProductID]],dProduct[ProductID],dProduct[CrateCost])</f>
        <v>12.495000000000001</v>
      </c>
      <c r="R292">
        <f>_xlfn.XLOOKUP(fSales[[#This Row],[ProductID]],dProduct[ProductID],dProduct[CratePrice])</f>
        <v>29.75</v>
      </c>
      <c r="S292">
        <f>_xlfn.XLOOKUP(fSales[[#This Row],[ProductID]],dProduct[ProductID],dProduct[CrateCost])</f>
        <v>17.254999999999999</v>
      </c>
    </row>
    <row r="293" spans="7:19" x14ac:dyDescent="0.25">
      <c r="G293" s="2">
        <v>45498</v>
      </c>
      <c r="H293">
        <v>204</v>
      </c>
      <c r="I293" t="s">
        <v>28</v>
      </c>
      <c r="J293" t="s">
        <v>22</v>
      </c>
      <c r="K293">
        <f>_xlfn.XLOOKUP(fSales[[#This Row],[ProductID]],dProduct[ProductID],dProduct[CratePrice])*fSales[[#This Row],[Units]]</f>
        <v>8914.8000000000011</v>
      </c>
      <c r="L293">
        <f>fSales[[#This Row],[Total sales]]-_xlfn.XLOOKUP(fSales[[#This Row],[ProductID]],dProduct[ProductID],dProduct[CrateCost])*fSales[[#This Row],[Units]]</f>
        <v>3744.2160000000013</v>
      </c>
      <c r="M293">
        <f>(_xlfn.XLOOKUP(fSales[[#This Row],[ProductID]],dProduct[ProductID],dProduct[CratePrice])-_xlfn.XLOOKUP(fSales[[#This Row],[ProductID]],dProduct[ProductID],dProduct[CrateCost]))/_xlfn.XLOOKUP(fSales[[#This Row],[ProductID]],dProduct[ProductID],dProduct[CratePrice])</f>
        <v>0.42000000000000004</v>
      </c>
      <c r="N293" t="str">
        <f>_xlfn.XLOOKUP(fSales[[#This Row],[SalesRepID]],dPSalesRep[SalesRepID],dPSalesRep[SalesRep])</f>
        <v>Timmy Kips</v>
      </c>
      <c r="O293" t="str">
        <f>_xlfn.XLOOKUP(fSales[[#This Row],[SalesRepID]],dPSalesRep[SalesRepID],dPSalesRep[Region])</f>
        <v>East</v>
      </c>
      <c r="P293" t="str">
        <f>_xlfn.XLOOKUP(fSales[[#This Row],[ProductID]],dProduct[ProductID],dProduct[Product])</f>
        <v>Cherry</v>
      </c>
      <c r="Q293">
        <f>_xlfn.XLOOKUP(fSales[[#This Row],[ProductID]],dProduct[ProductID],dProduct[CratePrice])-_xlfn.XLOOKUP(fSales[[#This Row],[ProductID]],dProduct[ProductID],dProduct[CrateCost])</f>
        <v>18.354000000000003</v>
      </c>
      <c r="R293">
        <f>_xlfn.XLOOKUP(fSales[[#This Row],[ProductID]],dProduct[ProductID],dProduct[CratePrice])</f>
        <v>43.7</v>
      </c>
      <c r="S293">
        <f>_xlfn.XLOOKUP(fSales[[#This Row],[ProductID]],dProduct[ProductID],dProduct[CrateCost])</f>
        <v>25.346</v>
      </c>
    </row>
    <row r="294" spans="7:19" x14ac:dyDescent="0.25">
      <c r="G294" s="2">
        <v>45498</v>
      </c>
      <c r="H294">
        <v>240</v>
      </c>
      <c r="I294" t="s">
        <v>19</v>
      </c>
      <c r="J294" t="s">
        <v>37</v>
      </c>
      <c r="K294">
        <f>_xlfn.XLOOKUP(fSales[[#This Row],[ProductID]],dProduct[ProductID],dProduct[CratePrice])*fSales[[#This Row],[Units]]</f>
        <v>8400</v>
      </c>
      <c r="L294">
        <f>fSales[[#This Row],[Total sales]]-_xlfn.XLOOKUP(fSales[[#This Row],[ProductID]],dProduct[ProductID],dProduct[CrateCost])*fSales[[#This Row],[Units]]</f>
        <v>4704</v>
      </c>
      <c r="M294">
        <f>(_xlfn.XLOOKUP(fSales[[#This Row],[ProductID]],dProduct[ProductID],dProduct[CratePrice])-_xlfn.XLOOKUP(fSales[[#This Row],[ProductID]],dProduct[ProductID],dProduct[CrateCost]))/_xlfn.XLOOKUP(fSales[[#This Row],[ProductID]],dProduct[ProductID],dProduct[CratePrice])</f>
        <v>0.56000000000000005</v>
      </c>
      <c r="N294" t="str">
        <f>_xlfn.XLOOKUP(fSales[[#This Row],[SalesRepID]],dPSalesRep[SalesRepID],dPSalesRep[SalesRep])</f>
        <v>Chantel Mims</v>
      </c>
      <c r="O294" t="str">
        <f>_xlfn.XLOOKUP(fSales[[#This Row],[SalesRepID]],dPSalesRep[SalesRepID],dPSalesRep[Region])</f>
        <v>NW</v>
      </c>
      <c r="P294" t="str">
        <f>_xlfn.XLOOKUP(fSales[[#This Row],[ProductID]],dProduct[ProductID],dProduct[Product])</f>
        <v>Apple</v>
      </c>
      <c r="Q294">
        <f>_xlfn.XLOOKUP(fSales[[#This Row],[ProductID]],dProduct[ProductID],dProduct[CratePrice])-_xlfn.XLOOKUP(fSales[[#This Row],[ProductID]],dProduct[ProductID],dProduct[CrateCost])</f>
        <v>19.600000000000001</v>
      </c>
      <c r="R294">
        <f>_xlfn.XLOOKUP(fSales[[#This Row],[ProductID]],dProduct[ProductID],dProduct[CratePrice])</f>
        <v>35</v>
      </c>
      <c r="S294">
        <f>_xlfn.XLOOKUP(fSales[[#This Row],[ProductID]],dProduct[ProductID],dProduct[CrateCost])</f>
        <v>15.4</v>
      </c>
    </row>
    <row r="295" spans="7:19" x14ac:dyDescent="0.25">
      <c r="G295" s="2">
        <v>45500</v>
      </c>
      <c r="H295">
        <v>168</v>
      </c>
      <c r="I295" t="s">
        <v>19</v>
      </c>
      <c r="J295" t="s">
        <v>32</v>
      </c>
      <c r="K295">
        <f>_xlfn.XLOOKUP(fSales[[#This Row],[ProductID]],dProduct[ProductID],dProduct[CratePrice])*fSales[[#This Row],[Units]]</f>
        <v>5880</v>
      </c>
      <c r="L295">
        <f>fSales[[#This Row],[Total sales]]-_xlfn.XLOOKUP(fSales[[#This Row],[ProductID]],dProduct[ProductID],dProduct[CrateCost])*fSales[[#This Row],[Units]]</f>
        <v>3292.7999999999997</v>
      </c>
      <c r="M295">
        <f>(_xlfn.XLOOKUP(fSales[[#This Row],[ProductID]],dProduct[ProductID],dProduct[CratePrice])-_xlfn.XLOOKUP(fSales[[#This Row],[ProductID]],dProduct[ProductID],dProduct[CrateCost]))/_xlfn.XLOOKUP(fSales[[#This Row],[ProductID]],dProduct[ProductID],dProduct[CratePrice])</f>
        <v>0.56000000000000005</v>
      </c>
      <c r="N295" t="str">
        <f>_xlfn.XLOOKUP(fSales[[#This Row],[SalesRepID]],dPSalesRep[SalesRepID],dPSalesRep[SalesRep])</f>
        <v>Shihara Fazzaa</v>
      </c>
      <c r="O295" t="str">
        <f>_xlfn.XLOOKUP(fSales[[#This Row],[SalesRepID]],dPSalesRep[SalesRepID],dPSalesRep[Region])</f>
        <v>East</v>
      </c>
      <c r="P295" t="str">
        <f>_xlfn.XLOOKUP(fSales[[#This Row],[ProductID]],dProduct[ProductID],dProduct[Product])</f>
        <v>Apple</v>
      </c>
      <c r="Q295">
        <f>_xlfn.XLOOKUP(fSales[[#This Row],[ProductID]],dProduct[ProductID],dProduct[CratePrice])-_xlfn.XLOOKUP(fSales[[#This Row],[ProductID]],dProduct[ProductID],dProduct[CrateCost])</f>
        <v>19.600000000000001</v>
      </c>
      <c r="R295">
        <f>_xlfn.XLOOKUP(fSales[[#This Row],[ProductID]],dProduct[ProductID],dProduct[CratePrice])</f>
        <v>35</v>
      </c>
      <c r="S295">
        <f>_xlfn.XLOOKUP(fSales[[#This Row],[ProductID]],dProduct[ProductID],dProduct[CrateCost])</f>
        <v>15.4</v>
      </c>
    </row>
    <row r="296" spans="7:19" x14ac:dyDescent="0.25">
      <c r="G296" s="2">
        <v>45501</v>
      </c>
      <c r="H296">
        <v>252</v>
      </c>
      <c r="I296" t="s">
        <v>21</v>
      </c>
      <c r="J296" t="s">
        <v>29</v>
      </c>
      <c r="K296">
        <f>_xlfn.XLOOKUP(fSales[[#This Row],[ProductID]],dProduct[ProductID],dProduct[CratePrice])*fSales[[#This Row],[Units]]</f>
        <v>5670</v>
      </c>
      <c r="L296">
        <f>fSales[[#This Row],[Total sales]]-_xlfn.XLOOKUP(fSales[[#This Row],[ProductID]],dProduct[ProductID],dProduct[CrateCost])*fSales[[#This Row],[Units]]</f>
        <v>2494.7999999999997</v>
      </c>
      <c r="M296">
        <f>(_xlfn.XLOOKUP(fSales[[#This Row],[ProductID]],dProduct[ProductID],dProduct[CratePrice])-_xlfn.XLOOKUP(fSales[[#This Row],[ProductID]],dProduct[ProductID],dProduct[CrateCost]))/_xlfn.XLOOKUP(fSales[[#This Row],[ProductID]],dProduct[ProductID],dProduct[CratePrice])</f>
        <v>0.43999999999999995</v>
      </c>
      <c r="N296" t="str">
        <f>_xlfn.XLOOKUP(fSales[[#This Row],[SalesRepID]],dPSalesRep[SalesRepID],dPSalesRep[SalesRep])</f>
        <v>Sioux Best</v>
      </c>
      <c r="O296" t="str">
        <f>_xlfn.XLOOKUP(fSales[[#This Row],[SalesRepID]],dPSalesRep[SalesRepID],dPSalesRep[Region])</f>
        <v>West</v>
      </c>
      <c r="P296" t="str">
        <f>_xlfn.XLOOKUP(fSales[[#This Row],[ProductID]],dProduct[ProductID],dProduct[Product])</f>
        <v>Kiwi</v>
      </c>
      <c r="Q296">
        <f>_xlfn.XLOOKUP(fSales[[#This Row],[ProductID]],dProduct[ProductID],dProduct[CratePrice])-_xlfn.XLOOKUP(fSales[[#This Row],[ProductID]],dProduct[ProductID],dProduct[CrateCost])</f>
        <v>9.8999999999999986</v>
      </c>
      <c r="R296">
        <f>_xlfn.XLOOKUP(fSales[[#This Row],[ProductID]],dProduct[ProductID],dProduct[CratePrice])</f>
        <v>22.5</v>
      </c>
      <c r="S296">
        <f>_xlfn.XLOOKUP(fSales[[#This Row],[ProductID]],dProduct[ProductID],dProduct[CrateCost])</f>
        <v>12.600000000000001</v>
      </c>
    </row>
    <row r="297" spans="7:19" x14ac:dyDescent="0.25">
      <c r="G297" s="2">
        <v>45503</v>
      </c>
      <c r="H297">
        <v>192</v>
      </c>
      <c r="I297" t="s">
        <v>19</v>
      </c>
      <c r="J297" t="s">
        <v>22</v>
      </c>
      <c r="K297">
        <f>_xlfn.XLOOKUP(fSales[[#This Row],[ProductID]],dProduct[ProductID],dProduct[CratePrice])*fSales[[#This Row],[Units]]</f>
        <v>6720</v>
      </c>
      <c r="L297">
        <f>fSales[[#This Row],[Total sales]]-_xlfn.XLOOKUP(fSales[[#This Row],[ProductID]],dProduct[ProductID],dProduct[CrateCost])*fSales[[#This Row],[Units]]</f>
        <v>3763.2</v>
      </c>
      <c r="M297">
        <f>(_xlfn.XLOOKUP(fSales[[#This Row],[ProductID]],dProduct[ProductID],dProduct[CratePrice])-_xlfn.XLOOKUP(fSales[[#This Row],[ProductID]],dProduct[ProductID],dProduct[CrateCost]))/_xlfn.XLOOKUP(fSales[[#This Row],[ProductID]],dProduct[ProductID],dProduct[CratePrice])</f>
        <v>0.56000000000000005</v>
      </c>
      <c r="N297" t="str">
        <f>_xlfn.XLOOKUP(fSales[[#This Row],[SalesRepID]],dPSalesRep[SalesRepID],dPSalesRep[SalesRep])</f>
        <v>Timmy Kips</v>
      </c>
      <c r="O297" t="str">
        <f>_xlfn.XLOOKUP(fSales[[#This Row],[SalesRepID]],dPSalesRep[SalesRepID],dPSalesRep[Region])</f>
        <v>East</v>
      </c>
      <c r="P297" t="str">
        <f>_xlfn.XLOOKUP(fSales[[#This Row],[ProductID]],dProduct[ProductID],dProduct[Product])</f>
        <v>Apple</v>
      </c>
      <c r="Q297">
        <f>_xlfn.XLOOKUP(fSales[[#This Row],[ProductID]],dProduct[ProductID],dProduct[CratePrice])-_xlfn.XLOOKUP(fSales[[#This Row],[ProductID]],dProduct[ProductID],dProduct[CrateCost])</f>
        <v>19.600000000000001</v>
      </c>
      <c r="R297">
        <f>_xlfn.XLOOKUP(fSales[[#This Row],[ProductID]],dProduct[ProductID],dProduct[CratePrice])</f>
        <v>35</v>
      </c>
      <c r="S297">
        <f>_xlfn.XLOOKUP(fSales[[#This Row],[ProductID]],dProduct[ProductID],dProduct[CrateCost])</f>
        <v>15.4</v>
      </c>
    </row>
    <row r="298" spans="7:19" x14ac:dyDescent="0.25">
      <c r="G298" s="2">
        <v>45504</v>
      </c>
      <c r="H298">
        <v>72</v>
      </c>
      <c r="I298" t="s">
        <v>26</v>
      </c>
      <c r="J298" t="s">
        <v>37</v>
      </c>
      <c r="K298">
        <f>_xlfn.XLOOKUP(fSales[[#This Row],[ProductID]],dProduct[ProductID],dProduct[CratePrice])*fSales[[#This Row],[Units]]</f>
        <v>2142</v>
      </c>
      <c r="L298">
        <f>fSales[[#This Row],[Total sales]]-_xlfn.XLOOKUP(fSales[[#This Row],[ProductID]],dProduct[ProductID],dProduct[CrateCost])*fSales[[#This Row],[Units]]</f>
        <v>899.6400000000001</v>
      </c>
      <c r="M298">
        <f>(_xlfn.XLOOKUP(fSales[[#This Row],[ProductID]],dProduct[ProductID],dProduct[CratePrice])-_xlfn.XLOOKUP(fSales[[#This Row],[ProductID]],dProduct[ProductID],dProduct[CrateCost]))/_xlfn.XLOOKUP(fSales[[#This Row],[ProductID]],dProduct[ProductID],dProduct[CratePrice])</f>
        <v>0.42000000000000004</v>
      </c>
      <c r="N298" t="str">
        <f>_xlfn.XLOOKUP(fSales[[#This Row],[SalesRepID]],dPSalesRep[SalesRepID],dPSalesRep[SalesRep])</f>
        <v>Chantel Mims</v>
      </c>
      <c r="O298" t="str">
        <f>_xlfn.XLOOKUP(fSales[[#This Row],[SalesRepID]],dPSalesRep[SalesRepID],dPSalesRep[Region])</f>
        <v>NW</v>
      </c>
      <c r="P298" t="str">
        <f>_xlfn.XLOOKUP(fSales[[#This Row],[ProductID]],dProduct[ProductID],dProduct[Product])</f>
        <v>Orange</v>
      </c>
      <c r="Q298">
        <f>_xlfn.XLOOKUP(fSales[[#This Row],[ProductID]],dProduct[ProductID],dProduct[CratePrice])-_xlfn.XLOOKUP(fSales[[#This Row],[ProductID]],dProduct[ProductID],dProduct[CrateCost])</f>
        <v>12.495000000000001</v>
      </c>
      <c r="R298">
        <f>_xlfn.XLOOKUP(fSales[[#This Row],[ProductID]],dProduct[ProductID],dProduct[CratePrice])</f>
        <v>29.75</v>
      </c>
      <c r="S298">
        <f>_xlfn.XLOOKUP(fSales[[#This Row],[ProductID]],dProduct[ProductID],dProduct[CrateCost])</f>
        <v>17.254999999999999</v>
      </c>
    </row>
    <row r="299" spans="7:19" x14ac:dyDescent="0.25">
      <c r="G299" s="2">
        <v>45504</v>
      </c>
      <c r="H299">
        <v>288</v>
      </c>
      <c r="I299" t="s">
        <v>28</v>
      </c>
      <c r="J299" t="s">
        <v>37</v>
      </c>
      <c r="K299">
        <f>_xlfn.XLOOKUP(fSales[[#This Row],[ProductID]],dProduct[ProductID],dProduct[CratePrice])*fSales[[#This Row],[Units]]</f>
        <v>12585.6</v>
      </c>
      <c r="L299">
        <f>fSales[[#This Row],[Total sales]]-_xlfn.XLOOKUP(fSales[[#This Row],[ProductID]],dProduct[ProductID],dProduct[CrateCost])*fSales[[#This Row],[Units]]</f>
        <v>5285.9520000000002</v>
      </c>
      <c r="M299">
        <f>(_xlfn.XLOOKUP(fSales[[#This Row],[ProductID]],dProduct[ProductID],dProduct[CratePrice])-_xlfn.XLOOKUP(fSales[[#This Row],[ProductID]],dProduct[ProductID],dProduct[CrateCost]))/_xlfn.XLOOKUP(fSales[[#This Row],[ProductID]],dProduct[ProductID],dProduct[CratePrice])</f>
        <v>0.42000000000000004</v>
      </c>
      <c r="N299" t="str">
        <f>_xlfn.XLOOKUP(fSales[[#This Row],[SalesRepID]],dPSalesRep[SalesRepID],dPSalesRep[SalesRep])</f>
        <v>Chantel Mims</v>
      </c>
      <c r="O299" t="str">
        <f>_xlfn.XLOOKUP(fSales[[#This Row],[SalesRepID]],dPSalesRep[SalesRepID],dPSalesRep[Region])</f>
        <v>NW</v>
      </c>
      <c r="P299" t="str">
        <f>_xlfn.XLOOKUP(fSales[[#This Row],[ProductID]],dProduct[ProductID],dProduct[Product])</f>
        <v>Cherry</v>
      </c>
      <c r="Q299">
        <f>_xlfn.XLOOKUP(fSales[[#This Row],[ProductID]],dProduct[ProductID],dProduct[CratePrice])-_xlfn.XLOOKUP(fSales[[#This Row],[ProductID]],dProduct[ProductID],dProduct[CrateCost])</f>
        <v>18.354000000000003</v>
      </c>
      <c r="R299">
        <f>_xlfn.XLOOKUP(fSales[[#This Row],[ProductID]],dProduct[ProductID],dProduct[CratePrice])</f>
        <v>43.7</v>
      </c>
      <c r="S299">
        <f>_xlfn.XLOOKUP(fSales[[#This Row],[ProductID]],dProduct[ProductID],dProduct[CrateCost])</f>
        <v>25.346</v>
      </c>
    </row>
    <row r="300" spans="7:19" x14ac:dyDescent="0.25">
      <c r="G300" s="2">
        <v>45504</v>
      </c>
      <c r="H300">
        <v>24</v>
      </c>
      <c r="I300" t="s">
        <v>19</v>
      </c>
      <c r="J300" t="s">
        <v>29</v>
      </c>
      <c r="K300">
        <f>_xlfn.XLOOKUP(fSales[[#This Row],[ProductID]],dProduct[ProductID],dProduct[CratePrice])*fSales[[#This Row],[Units]]</f>
        <v>840</v>
      </c>
      <c r="L300">
        <f>fSales[[#This Row],[Total sales]]-_xlfn.XLOOKUP(fSales[[#This Row],[ProductID]],dProduct[ProductID],dProduct[CrateCost])*fSales[[#This Row],[Units]]</f>
        <v>470.4</v>
      </c>
      <c r="M300">
        <f>(_xlfn.XLOOKUP(fSales[[#This Row],[ProductID]],dProduct[ProductID],dProduct[CratePrice])-_xlfn.XLOOKUP(fSales[[#This Row],[ProductID]],dProduct[ProductID],dProduct[CrateCost]))/_xlfn.XLOOKUP(fSales[[#This Row],[ProductID]],dProduct[ProductID],dProduct[CratePrice])</f>
        <v>0.56000000000000005</v>
      </c>
      <c r="N300" t="str">
        <f>_xlfn.XLOOKUP(fSales[[#This Row],[SalesRepID]],dPSalesRep[SalesRepID],dPSalesRep[SalesRep])</f>
        <v>Sioux Best</v>
      </c>
      <c r="O300" t="str">
        <f>_xlfn.XLOOKUP(fSales[[#This Row],[SalesRepID]],dPSalesRep[SalesRepID],dPSalesRep[Region])</f>
        <v>West</v>
      </c>
      <c r="P300" t="str">
        <f>_xlfn.XLOOKUP(fSales[[#This Row],[ProductID]],dProduct[ProductID],dProduct[Product])</f>
        <v>Apple</v>
      </c>
      <c r="Q300">
        <f>_xlfn.XLOOKUP(fSales[[#This Row],[ProductID]],dProduct[ProductID],dProduct[CratePrice])-_xlfn.XLOOKUP(fSales[[#This Row],[ProductID]],dProduct[ProductID],dProduct[CrateCost])</f>
        <v>19.600000000000001</v>
      </c>
      <c r="R300">
        <f>_xlfn.XLOOKUP(fSales[[#This Row],[ProductID]],dProduct[ProductID],dProduct[CratePrice])</f>
        <v>35</v>
      </c>
      <c r="S300">
        <f>_xlfn.XLOOKUP(fSales[[#This Row],[ProductID]],dProduct[ProductID],dProduct[CrateCost])</f>
        <v>15.4</v>
      </c>
    </row>
    <row r="301" spans="7:19" x14ac:dyDescent="0.25">
      <c r="G301" s="2">
        <v>45505</v>
      </c>
      <c r="H301">
        <v>156</v>
      </c>
      <c r="I301" t="s">
        <v>26</v>
      </c>
      <c r="J301" t="s">
        <v>32</v>
      </c>
      <c r="K301">
        <f>_xlfn.XLOOKUP(fSales[[#This Row],[ProductID]],dProduct[ProductID],dProduct[CratePrice])*fSales[[#This Row],[Units]]</f>
        <v>4641</v>
      </c>
      <c r="L301">
        <f>fSales[[#This Row],[Total sales]]-_xlfn.XLOOKUP(fSales[[#This Row],[ProductID]],dProduct[ProductID],dProduct[CrateCost])*fSales[[#This Row],[Units]]</f>
        <v>1949.2200000000003</v>
      </c>
      <c r="M301">
        <f>(_xlfn.XLOOKUP(fSales[[#This Row],[ProductID]],dProduct[ProductID],dProduct[CratePrice])-_xlfn.XLOOKUP(fSales[[#This Row],[ProductID]],dProduct[ProductID],dProduct[CrateCost]))/_xlfn.XLOOKUP(fSales[[#This Row],[ProductID]],dProduct[ProductID],dProduct[CratePrice])</f>
        <v>0.42000000000000004</v>
      </c>
      <c r="N301" t="str">
        <f>_xlfn.XLOOKUP(fSales[[#This Row],[SalesRepID]],dPSalesRep[SalesRepID],dPSalesRep[SalesRep])</f>
        <v>Shihara Fazzaa</v>
      </c>
      <c r="O301" t="str">
        <f>_xlfn.XLOOKUP(fSales[[#This Row],[SalesRepID]],dPSalesRep[SalesRepID],dPSalesRep[Region])</f>
        <v>East</v>
      </c>
      <c r="P301" t="str">
        <f>_xlfn.XLOOKUP(fSales[[#This Row],[ProductID]],dProduct[ProductID],dProduct[Product])</f>
        <v>Orange</v>
      </c>
      <c r="Q301">
        <f>_xlfn.XLOOKUP(fSales[[#This Row],[ProductID]],dProduct[ProductID],dProduct[CratePrice])-_xlfn.XLOOKUP(fSales[[#This Row],[ProductID]],dProduct[ProductID],dProduct[CrateCost])</f>
        <v>12.495000000000001</v>
      </c>
      <c r="R301">
        <f>_xlfn.XLOOKUP(fSales[[#This Row],[ProductID]],dProduct[ProductID],dProduct[CratePrice])</f>
        <v>29.75</v>
      </c>
      <c r="S301">
        <f>_xlfn.XLOOKUP(fSales[[#This Row],[ProductID]],dProduct[ProductID],dProduct[CrateCost])</f>
        <v>17.254999999999999</v>
      </c>
    </row>
    <row r="302" spans="7:19" x14ac:dyDescent="0.25">
      <c r="G302" s="2">
        <v>45505</v>
      </c>
      <c r="H302">
        <v>264</v>
      </c>
      <c r="I302" t="s">
        <v>19</v>
      </c>
      <c r="J302" t="s">
        <v>32</v>
      </c>
      <c r="K302">
        <f>_xlfn.XLOOKUP(fSales[[#This Row],[ProductID]],dProduct[ProductID],dProduct[CratePrice])*fSales[[#This Row],[Units]]</f>
        <v>9240</v>
      </c>
      <c r="L302">
        <f>fSales[[#This Row],[Total sales]]-_xlfn.XLOOKUP(fSales[[#This Row],[ProductID]],dProduct[ProductID],dProduct[CrateCost])*fSales[[#This Row],[Units]]</f>
        <v>5174.3999999999996</v>
      </c>
      <c r="M302">
        <f>(_xlfn.XLOOKUP(fSales[[#This Row],[ProductID]],dProduct[ProductID],dProduct[CratePrice])-_xlfn.XLOOKUP(fSales[[#This Row],[ProductID]],dProduct[ProductID],dProduct[CrateCost]))/_xlfn.XLOOKUP(fSales[[#This Row],[ProductID]],dProduct[ProductID],dProduct[CratePrice])</f>
        <v>0.56000000000000005</v>
      </c>
      <c r="N302" t="str">
        <f>_xlfn.XLOOKUP(fSales[[#This Row],[SalesRepID]],dPSalesRep[SalesRepID],dPSalesRep[SalesRep])</f>
        <v>Shihara Fazzaa</v>
      </c>
      <c r="O302" t="str">
        <f>_xlfn.XLOOKUP(fSales[[#This Row],[SalesRepID]],dPSalesRep[SalesRepID],dPSalesRep[Region])</f>
        <v>East</v>
      </c>
      <c r="P302" t="str">
        <f>_xlfn.XLOOKUP(fSales[[#This Row],[ProductID]],dProduct[ProductID],dProduct[Product])</f>
        <v>Apple</v>
      </c>
      <c r="Q302">
        <f>_xlfn.XLOOKUP(fSales[[#This Row],[ProductID]],dProduct[ProductID],dProduct[CratePrice])-_xlfn.XLOOKUP(fSales[[#This Row],[ProductID]],dProduct[ProductID],dProduct[CrateCost])</f>
        <v>19.600000000000001</v>
      </c>
      <c r="R302">
        <f>_xlfn.XLOOKUP(fSales[[#This Row],[ProductID]],dProduct[ProductID],dProduct[CratePrice])</f>
        <v>35</v>
      </c>
      <c r="S302">
        <f>_xlfn.XLOOKUP(fSales[[#This Row],[ProductID]],dProduct[ProductID],dProduct[CrateCost])</f>
        <v>15.4</v>
      </c>
    </row>
    <row r="303" spans="7:19" x14ac:dyDescent="0.25">
      <c r="G303" s="2">
        <v>45506</v>
      </c>
      <c r="H303">
        <v>216</v>
      </c>
      <c r="I303" t="s">
        <v>19</v>
      </c>
      <c r="J303" t="s">
        <v>29</v>
      </c>
      <c r="K303">
        <f>_xlfn.XLOOKUP(fSales[[#This Row],[ProductID]],dProduct[ProductID],dProduct[CratePrice])*fSales[[#This Row],[Units]]</f>
        <v>7560</v>
      </c>
      <c r="L303">
        <f>fSales[[#This Row],[Total sales]]-_xlfn.XLOOKUP(fSales[[#This Row],[ProductID]],dProduct[ProductID],dProduct[CrateCost])*fSales[[#This Row],[Units]]</f>
        <v>4233.6000000000004</v>
      </c>
      <c r="M303">
        <f>(_xlfn.XLOOKUP(fSales[[#This Row],[ProductID]],dProduct[ProductID],dProduct[CratePrice])-_xlfn.XLOOKUP(fSales[[#This Row],[ProductID]],dProduct[ProductID],dProduct[CrateCost]))/_xlfn.XLOOKUP(fSales[[#This Row],[ProductID]],dProduct[ProductID],dProduct[CratePrice])</f>
        <v>0.56000000000000005</v>
      </c>
      <c r="N303" t="str">
        <f>_xlfn.XLOOKUP(fSales[[#This Row],[SalesRepID]],dPSalesRep[SalesRepID],dPSalesRep[SalesRep])</f>
        <v>Sioux Best</v>
      </c>
      <c r="O303" t="str">
        <f>_xlfn.XLOOKUP(fSales[[#This Row],[SalesRepID]],dPSalesRep[SalesRepID],dPSalesRep[Region])</f>
        <v>West</v>
      </c>
      <c r="P303" t="str">
        <f>_xlfn.XLOOKUP(fSales[[#This Row],[ProductID]],dProduct[ProductID],dProduct[Product])</f>
        <v>Apple</v>
      </c>
      <c r="Q303">
        <f>_xlfn.XLOOKUP(fSales[[#This Row],[ProductID]],dProduct[ProductID],dProduct[CratePrice])-_xlfn.XLOOKUP(fSales[[#This Row],[ProductID]],dProduct[ProductID],dProduct[CrateCost])</f>
        <v>19.600000000000001</v>
      </c>
      <c r="R303">
        <f>_xlfn.XLOOKUP(fSales[[#This Row],[ProductID]],dProduct[ProductID],dProduct[CratePrice])</f>
        <v>35</v>
      </c>
      <c r="S303">
        <f>_xlfn.XLOOKUP(fSales[[#This Row],[ProductID]],dProduct[ProductID],dProduct[CrateCost])</f>
        <v>15.4</v>
      </c>
    </row>
    <row r="304" spans="7:19" x14ac:dyDescent="0.25">
      <c r="G304" s="2">
        <v>45506</v>
      </c>
      <c r="H304">
        <v>204</v>
      </c>
      <c r="I304" t="s">
        <v>34</v>
      </c>
      <c r="J304" t="s">
        <v>32</v>
      </c>
      <c r="K304">
        <f>_xlfn.XLOOKUP(fSales[[#This Row],[ProductID]],dProduct[ProductID],dProduct[CratePrice])*fSales[[#This Row],[Units]]</f>
        <v>3570</v>
      </c>
      <c r="L304">
        <f>fSales[[#This Row],[Total sales]]-_xlfn.XLOOKUP(fSales[[#This Row],[ProductID]],dProduct[ProductID],dProduct[CrateCost])*fSales[[#This Row],[Units]]</f>
        <v>1178.0999999999999</v>
      </c>
      <c r="M304">
        <f>(_xlfn.XLOOKUP(fSales[[#This Row],[ProductID]],dProduct[ProductID],dProduct[CratePrice])-_xlfn.XLOOKUP(fSales[[#This Row],[ProductID]],dProduct[ProductID],dProduct[CrateCost]))/_xlfn.XLOOKUP(fSales[[#This Row],[ProductID]],dProduct[ProductID],dProduct[CratePrice])</f>
        <v>0.3299999999999999</v>
      </c>
      <c r="N304" t="str">
        <f>_xlfn.XLOOKUP(fSales[[#This Row],[SalesRepID]],dPSalesRep[SalesRepID],dPSalesRep[SalesRep])</f>
        <v>Shihara Fazzaa</v>
      </c>
      <c r="O304" t="str">
        <f>_xlfn.XLOOKUP(fSales[[#This Row],[SalesRepID]],dPSalesRep[SalesRepID],dPSalesRep[Region])</f>
        <v>East</v>
      </c>
      <c r="P304" t="str">
        <f>_xlfn.XLOOKUP(fSales[[#This Row],[ProductID]],dProduct[ProductID],dProduct[Product])</f>
        <v>Banana</v>
      </c>
      <c r="Q304">
        <f>_xlfn.XLOOKUP(fSales[[#This Row],[ProductID]],dProduct[ProductID],dProduct[CratePrice])-_xlfn.XLOOKUP(fSales[[#This Row],[ProductID]],dProduct[ProductID],dProduct[CrateCost])</f>
        <v>5.7749999999999986</v>
      </c>
      <c r="R304">
        <f>_xlfn.XLOOKUP(fSales[[#This Row],[ProductID]],dProduct[ProductID],dProduct[CratePrice])</f>
        <v>17.5</v>
      </c>
      <c r="S304">
        <f>_xlfn.XLOOKUP(fSales[[#This Row],[ProductID]],dProduct[ProductID],dProduct[CrateCost])</f>
        <v>11.725000000000001</v>
      </c>
    </row>
    <row r="305" spans="7:19" x14ac:dyDescent="0.25">
      <c r="G305" s="2">
        <v>45507</v>
      </c>
      <c r="H305">
        <v>132</v>
      </c>
      <c r="I305" t="s">
        <v>28</v>
      </c>
      <c r="J305" t="s">
        <v>52</v>
      </c>
      <c r="K305">
        <f>_xlfn.XLOOKUP(fSales[[#This Row],[ProductID]],dProduct[ProductID],dProduct[CratePrice])*fSales[[#This Row],[Units]]</f>
        <v>5768.4000000000005</v>
      </c>
      <c r="L305">
        <f>fSales[[#This Row],[Total sales]]-_xlfn.XLOOKUP(fSales[[#This Row],[ProductID]],dProduct[ProductID],dProduct[CrateCost])*fSales[[#This Row],[Units]]</f>
        <v>2422.7280000000005</v>
      </c>
      <c r="M305">
        <f>(_xlfn.XLOOKUP(fSales[[#This Row],[ProductID]],dProduct[ProductID],dProduct[CratePrice])-_xlfn.XLOOKUP(fSales[[#This Row],[ProductID]],dProduct[ProductID],dProduct[CrateCost]))/_xlfn.XLOOKUP(fSales[[#This Row],[ProductID]],dProduct[ProductID],dProduct[CratePrice])</f>
        <v>0.42000000000000004</v>
      </c>
      <c r="N305" t="str">
        <f>_xlfn.XLOOKUP(fSales[[#This Row],[SalesRepID]],dPSalesRep[SalesRepID],dPSalesRep[SalesRep])</f>
        <v>Smitty Rad</v>
      </c>
      <c r="O305" t="str">
        <f>_xlfn.XLOOKUP(fSales[[#This Row],[SalesRepID]],dPSalesRep[SalesRepID],dPSalesRep[Region])</f>
        <v>MidWest</v>
      </c>
      <c r="P305" t="str">
        <f>_xlfn.XLOOKUP(fSales[[#This Row],[ProductID]],dProduct[ProductID],dProduct[Product])</f>
        <v>Cherry</v>
      </c>
      <c r="Q305">
        <f>_xlfn.XLOOKUP(fSales[[#This Row],[ProductID]],dProduct[ProductID],dProduct[CratePrice])-_xlfn.XLOOKUP(fSales[[#This Row],[ProductID]],dProduct[ProductID],dProduct[CrateCost])</f>
        <v>18.354000000000003</v>
      </c>
      <c r="R305">
        <f>_xlfn.XLOOKUP(fSales[[#This Row],[ProductID]],dProduct[ProductID],dProduct[CratePrice])</f>
        <v>43.7</v>
      </c>
      <c r="S305">
        <f>_xlfn.XLOOKUP(fSales[[#This Row],[ProductID]],dProduct[ProductID],dProduct[CrateCost])</f>
        <v>25.346</v>
      </c>
    </row>
    <row r="306" spans="7:19" x14ac:dyDescent="0.25">
      <c r="G306" s="2">
        <v>45507</v>
      </c>
      <c r="H306">
        <v>96</v>
      </c>
      <c r="I306" t="s">
        <v>28</v>
      </c>
      <c r="J306" t="s">
        <v>32</v>
      </c>
      <c r="K306">
        <f>_xlfn.XLOOKUP(fSales[[#This Row],[ProductID]],dProduct[ProductID],dProduct[CratePrice])*fSales[[#This Row],[Units]]</f>
        <v>4195.2000000000007</v>
      </c>
      <c r="L306">
        <f>fSales[[#This Row],[Total sales]]-_xlfn.XLOOKUP(fSales[[#This Row],[ProductID]],dProduct[ProductID],dProduct[CrateCost])*fSales[[#This Row],[Units]]</f>
        <v>1761.9840000000008</v>
      </c>
      <c r="M306">
        <f>(_xlfn.XLOOKUP(fSales[[#This Row],[ProductID]],dProduct[ProductID],dProduct[CratePrice])-_xlfn.XLOOKUP(fSales[[#This Row],[ProductID]],dProduct[ProductID],dProduct[CrateCost]))/_xlfn.XLOOKUP(fSales[[#This Row],[ProductID]],dProduct[ProductID],dProduct[CratePrice])</f>
        <v>0.42000000000000004</v>
      </c>
      <c r="N306" t="str">
        <f>_xlfn.XLOOKUP(fSales[[#This Row],[SalesRepID]],dPSalesRep[SalesRepID],dPSalesRep[SalesRep])</f>
        <v>Shihara Fazzaa</v>
      </c>
      <c r="O306" t="str">
        <f>_xlfn.XLOOKUP(fSales[[#This Row],[SalesRepID]],dPSalesRep[SalesRepID],dPSalesRep[Region])</f>
        <v>East</v>
      </c>
      <c r="P306" t="str">
        <f>_xlfn.XLOOKUP(fSales[[#This Row],[ProductID]],dProduct[ProductID],dProduct[Product])</f>
        <v>Cherry</v>
      </c>
      <c r="Q306">
        <f>_xlfn.XLOOKUP(fSales[[#This Row],[ProductID]],dProduct[ProductID],dProduct[CratePrice])-_xlfn.XLOOKUP(fSales[[#This Row],[ProductID]],dProduct[ProductID],dProduct[CrateCost])</f>
        <v>18.354000000000003</v>
      </c>
      <c r="R306">
        <f>_xlfn.XLOOKUP(fSales[[#This Row],[ProductID]],dProduct[ProductID],dProduct[CratePrice])</f>
        <v>43.7</v>
      </c>
      <c r="S306">
        <f>_xlfn.XLOOKUP(fSales[[#This Row],[ProductID]],dProduct[ProductID],dProduct[CrateCost])</f>
        <v>25.346</v>
      </c>
    </row>
    <row r="307" spans="7:19" x14ac:dyDescent="0.25">
      <c r="G307" s="2">
        <v>45507</v>
      </c>
      <c r="H307">
        <v>108</v>
      </c>
      <c r="I307" t="s">
        <v>34</v>
      </c>
      <c r="J307" t="s">
        <v>32</v>
      </c>
      <c r="K307">
        <f>_xlfn.XLOOKUP(fSales[[#This Row],[ProductID]],dProduct[ProductID],dProduct[CratePrice])*fSales[[#This Row],[Units]]</f>
        <v>1890</v>
      </c>
      <c r="L307">
        <f>fSales[[#This Row],[Total sales]]-_xlfn.XLOOKUP(fSales[[#This Row],[ProductID]],dProduct[ProductID],dProduct[CrateCost])*fSales[[#This Row],[Units]]</f>
        <v>623.69999999999982</v>
      </c>
      <c r="M307">
        <f>(_xlfn.XLOOKUP(fSales[[#This Row],[ProductID]],dProduct[ProductID],dProduct[CratePrice])-_xlfn.XLOOKUP(fSales[[#This Row],[ProductID]],dProduct[ProductID],dProduct[CrateCost]))/_xlfn.XLOOKUP(fSales[[#This Row],[ProductID]],dProduct[ProductID],dProduct[CratePrice])</f>
        <v>0.3299999999999999</v>
      </c>
      <c r="N307" t="str">
        <f>_xlfn.XLOOKUP(fSales[[#This Row],[SalesRepID]],dPSalesRep[SalesRepID],dPSalesRep[SalesRep])</f>
        <v>Shihara Fazzaa</v>
      </c>
      <c r="O307" t="str">
        <f>_xlfn.XLOOKUP(fSales[[#This Row],[SalesRepID]],dPSalesRep[SalesRepID],dPSalesRep[Region])</f>
        <v>East</v>
      </c>
      <c r="P307" t="str">
        <f>_xlfn.XLOOKUP(fSales[[#This Row],[ProductID]],dProduct[ProductID],dProduct[Product])</f>
        <v>Banana</v>
      </c>
      <c r="Q307">
        <f>_xlfn.XLOOKUP(fSales[[#This Row],[ProductID]],dProduct[ProductID],dProduct[CratePrice])-_xlfn.XLOOKUP(fSales[[#This Row],[ProductID]],dProduct[ProductID],dProduct[CrateCost])</f>
        <v>5.7749999999999986</v>
      </c>
      <c r="R307">
        <f>_xlfn.XLOOKUP(fSales[[#This Row],[ProductID]],dProduct[ProductID],dProduct[CratePrice])</f>
        <v>17.5</v>
      </c>
      <c r="S307">
        <f>_xlfn.XLOOKUP(fSales[[#This Row],[ProductID]],dProduct[ProductID],dProduct[CrateCost])</f>
        <v>11.725000000000001</v>
      </c>
    </row>
    <row r="308" spans="7:19" x14ac:dyDescent="0.25">
      <c r="G308" s="2">
        <v>45510</v>
      </c>
      <c r="H308">
        <v>300</v>
      </c>
      <c r="I308" t="s">
        <v>21</v>
      </c>
      <c r="J308" t="s">
        <v>32</v>
      </c>
      <c r="K308">
        <f>_xlfn.XLOOKUP(fSales[[#This Row],[ProductID]],dProduct[ProductID],dProduct[CratePrice])*fSales[[#This Row],[Units]]</f>
        <v>6750</v>
      </c>
      <c r="L308">
        <f>fSales[[#This Row],[Total sales]]-_xlfn.XLOOKUP(fSales[[#This Row],[ProductID]],dProduct[ProductID],dProduct[CrateCost])*fSales[[#This Row],[Units]]</f>
        <v>2969.9999999999995</v>
      </c>
      <c r="M308">
        <f>(_xlfn.XLOOKUP(fSales[[#This Row],[ProductID]],dProduct[ProductID],dProduct[CratePrice])-_xlfn.XLOOKUP(fSales[[#This Row],[ProductID]],dProduct[ProductID],dProduct[CrateCost]))/_xlfn.XLOOKUP(fSales[[#This Row],[ProductID]],dProduct[ProductID],dProduct[CratePrice])</f>
        <v>0.43999999999999995</v>
      </c>
      <c r="N308" t="str">
        <f>_xlfn.XLOOKUP(fSales[[#This Row],[SalesRepID]],dPSalesRep[SalesRepID],dPSalesRep[SalesRep])</f>
        <v>Shihara Fazzaa</v>
      </c>
      <c r="O308" t="str">
        <f>_xlfn.XLOOKUP(fSales[[#This Row],[SalesRepID]],dPSalesRep[SalesRepID],dPSalesRep[Region])</f>
        <v>East</v>
      </c>
      <c r="P308" t="str">
        <f>_xlfn.XLOOKUP(fSales[[#This Row],[ProductID]],dProduct[ProductID],dProduct[Product])</f>
        <v>Kiwi</v>
      </c>
      <c r="Q308">
        <f>_xlfn.XLOOKUP(fSales[[#This Row],[ProductID]],dProduct[ProductID],dProduct[CratePrice])-_xlfn.XLOOKUP(fSales[[#This Row],[ProductID]],dProduct[ProductID],dProduct[CrateCost])</f>
        <v>9.8999999999999986</v>
      </c>
      <c r="R308">
        <f>_xlfn.XLOOKUP(fSales[[#This Row],[ProductID]],dProduct[ProductID],dProduct[CratePrice])</f>
        <v>22.5</v>
      </c>
      <c r="S308">
        <f>_xlfn.XLOOKUP(fSales[[#This Row],[ProductID]],dProduct[ProductID],dProduct[CrateCost])</f>
        <v>12.600000000000001</v>
      </c>
    </row>
    <row r="309" spans="7:19" x14ac:dyDescent="0.25">
      <c r="G309" s="2">
        <v>45510</v>
      </c>
      <c r="H309">
        <v>204</v>
      </c>
      <c r="I309" t="s">
        <v>26</v>
      </c>
      <c r="J309" t="s">
        <v>52</v>
      </c>
      <c r="K309">
        <f>_xlfn.XLOOKUP(fSales[[#This Row],[ProductID]],dProduct[ProductID],dProduct[CratePrice])*fSales[[#This Row],[Units]]</f>
        <v>6069</v>
      </c>
      <c r="L309">
        <f>fSales[[#This Row],[Total sales]]-_xlfn.XLOOKUP(fSales[[#This Row],[ProductID]],dProduct[ProductID],dProduct[CrateCost])*fSales[[#This Row],[Units]]</f>
        <v>2548.98</v>
      </c>
      <c r="M309">
        <f>(_xlfn.XLOOKUP(fSales[[#This Row],[ProductID]],dProduct[ProductID],dProduct[CratePrice])-_xlfn.XLOOKUP(fSales[[#This Row],[ProductID]],dProduct[ProductID],dProduct[CrateCost]))/_xlfn.XLOOKUP(fSales[[#This Row],[ProductID]],dProduct[ProductID],dProduct[CratePrice])</f>
        <v>0.42000000000000004</v>
      </c>
      <c r="N309" t="str">
        <f>_xlfn.XLOOKUP(fSales[[#This Row],[SalesRepID]],dPSalesRep[SalesRepID],dPSalesRep[SalesRep])</f>
        <v>Smitty Rad</v>
      </c>
      <c r="O309" t="str">
        <f>_xlfn.XLOOKUP(fSales[[#This Row],[SalesRepID]],dPSalesRep[SalesRepID],dPSalesRep[Region])</f>
        <v>MidWest</v>
      </c>
      <c r="P309" t="str">
        <f>_xlfn.XLOOKUP(fSales[[#This Row],[ProductID]],dProduct[ProductID],dProduct[Product])</f>
        <v>Orange</v>
      </c>
      <c r="Q309">
        <f>_xlfn.XLOOKUP(fSales[[#This Row],[ProductID]],dProduct[ProductID],dProduct[CratePrice])-_xlfn.XLOOKUP(fSales[[#This Row],[ProductID]],dProduct[ProductID],dProduct[CrateCost])</f>
        <v>12.495000000000001</v>
      </c>
      <c r="R309">
        <f>_xlfn.XLOOKUP(fSales[[#This Row],[ProductID]],dProduct[ProductID],dProduct[CratePrice])</f>
        <v>29.75</v>
      </c>
      <c r="S309">
        <f>_xlfn.XLOOKUP(fSales[[#This Row],[ProductID]],dProduct[ProductID],dProduct[CrateCost])</f>
        <v>17.254999999999999</v>
      </c>
    </row>
    <row r="310" spans="7:19" x14ac:dyDescent="0.25">
      <c r="G310" s="2">
        <v>45510</v>
      </c>
      <c r="H310">
        <v>24</v>
      </c>
      <c r="I310" t="s">
        <v>21</v>
      </c>
      <c r="J310" t="s">
        <v>29</v>
      </c>
      <c r="K310">
        <f>_xlfn.XLOOKUP(fSales[[#This Row],[ProductID]],dProduct[ProductID],dProduct[CratePrice])*fSales[[#This Row],[Units]]</f>
        <v>540</v>
      </c>
      <c r="L310">
        <f>fSales[[#This Row],[Total sales]]-_xlfn.XLOOKUP(fSales[[#This Row],[ProductID]],dProduct[ProductID],dProduct[CrateCost])*fSales[[#This Row],[Units]]</f>
        <v>237.59999999999997</v>
      </c>
      <c r="M310">
        <f>(_xlfn.XLOOKUP(fSales[[#This Row],[ProductID]],dProduct[ProductID],dProduct[CratePrice])-_xlfn.XLOOKUP(fSales[[#This Row],[ProductID]],dProduct[ProductID],dProduct[CrateCost]))/_xlfn.XLOOKUP(fSales[[#This Row],[ProductID]],dProduct[ProductID],dProduct[CratePrice])</f>
        <v>0.43999999999999995</v>
      </c>
      <c r="N310" t="str">
        <f>_xlfn.XLOOKUP(fSales[[#This Row],[SalesRepID]],dPSalesRep[SalesRepID],dPSalesRep[SalesRep])</f>
        <v>Sioux Best</v>
      </c>
      <c r="O310" t="str">
        <f>_xlfn.XLOOKUP(fSales[[#This Row],[SalesRepID]],dPSalesRep[SalesRepID],dPSalesRep[Region])</f>
        <v>West</v>
      </c>
      <c r="P310" t="str">
        <f>_xlfn.XLOOKUP(fSales[[#This Row],[ProductID]],dProduct[ProductID],dProduct[Product])</f>
        <v>Kiwi</v>
      </c>
      <c r="Q310">
        <f>_xlfn.XLOOKUP(fSales[[#This Row],[ProductID]],dProduct[ProductID],dProduct[CratePrice])-_xlfn.XLOOKUP(fSales[[#This Row],[ProductID]],dProduct[ProductID],dProduct[CrateCost])</f>
        <v>9.8999999999999986</v>
      </c>
      <c r="R310">
        <f>_xlfn.XLOOKUP(fSales[[#This Row],[ProductID]],dProduct[ProductID],dProduct[CratePrice])</f>
        <v>22.5</v>
      </c>
      <c r="S310">
        <f>_xlfn.XLOOKUP(fSales[[#This Row],[ProductID]],dProduct[ProductID],dProduct[CrateCost])</f>
        <v>12.600000000000001</v>
      </c>
    </row>
    <row r="311" spans="7:19" x14ac:dyDescent="0.25">
      <c r="G311" s="2">
        <v>45511</v>
      </c>
      <c r="H311">
        <v>156</v>
      </c>
      <c r="I311" t="s">
        <v>28</v>
      </c>
      <c r="J311" t="s">
        <v>22</v>
      </c>
      <c r="K311">
        <f>_xlfn.XLOOKUP(fSales[[#This Row],[ProductID]],dProduct[ProductID],dProduct[CratePrice])*fSales[[#This Row],[Units]]</f>
        <v>6817.2000000000007</v>
      </c>
      <c r="L311">
        <f>fSales[[#This Row],[Total sales]]-_xlfn.XLOOKUP(fSales[[#This Row],[ProductID]],dProduct[ProductID],dProduct[CrateCost])*fSales[[#This Row],[Units]]</f>
        <v>2863.2240000000006</v>
      </c>
      <c r="M311">
        <f>(_xlfn.XLOOKUP(fSales[[#This Row],[ProductID]],dProduct[ProductID],dProduct[CratePrice])-_xlfn.XLOOKUP(fSales[[#This Row],[ProductID]],dProduct[ProductID],dProduct[CrateCost]))/_xlfn.XLOOKUP(fSales[[#This Row],[ProductID]],dProduct[ProductID],dProduct[CratePrice])</f>
        <v>0.42000000000000004</v>
      </c>
      <c r="N311" t="str">
        <f>_xlfn.XLOOKUP(fSales[[#This Row],[SalesRepID]],dPSalesRep[SalesRepID],dPSalesRep[SalesRep])</f>
        <v>Timmy Kips</v>
      </c>
      <c r="O311" t="str">
        <f>_xlfn.XLOOKUP(fSales[[#This Row],[SalesRepID]],dPSalesRep[SalesRepID],dPSalesRep[Region])</f>
        <v>East</v>
      </c>
      <c r="P311" t="str">
        <f>_xlfn.XLOOKUP(fSales[[#This Row],[ProductID]],dProduct[ProductID],dProduct[Product])</f>
        <v>Cherry</v>
      </c>
      <c r="Q311">
        <f>_xlfn.XLOOKUP(fSales[[#This Row],[ProductID]],dProduct[ProductID],dProduct[CratePrice])-_xlfn.XLOOKUP(fSales[[#This Row],[ProductID]],dProduct[ProductID],dProduct[CrateCost])</f>
        <v>18.354000000000003</v>
      </c>
      <c r="R311">
        <f>_xlfn.XLOOKUP(fSales[[#This Row],[ProductID]],dProduct[ProductID],dProduct[CratePrice])</f>
        <v>43.7</v>
      </c>
      <c r="S311">
        <f>_xlfn.XLOOKUP(fSales[[#This Row],[ProductID]],dProduct[ProductID],dProduct[CrateCost])</f>
        <v>25.346</v>
      </c>
    </row>
    <row r="312" spans="7:19" x14ac:dyDescent="0.25">
      <c r="G312" s="2">
        <v>45511</v>
      </c>
      <c r="H312">
        <v>144</v>
      </c>
      <c r="I312" t="s">
        <v>34</v>
      </c>
      <c r="J312" t="s">
        <v>29</v>
      </c>
      <c r="K312">
        <f>_xlfn.XLOOKUP(fSales[[#This Row],[ProductID]],dProduct[ProductID],dProduct[CratePrice])*fSales[[#This Row],[Units]]</f>
        <v>2520</v>
      </c>
      <c r="L312">
        <f>fSales[[#This Row],[Total sales]]-_xlfn.XLOOKUP(fSales[[#This Row],[ProductID]],dProduct[ProductID],dProduct[CrateCost])*fSales[[#This Row],[Units]]</f>
        <v>831.59999999999991</v>
      </c>
      <c r="M312">
        <f>(_xlfn.XLOOKUP(fSales[[#This Row],[ProductID]],dProduct[ProductID],dProduct[CratePrice])-_xlfn.XLOOKUP(fSales[[#This Row],[ProductID]],dProduct[ProductID],dProduct[CrateCost]))/_xlfn.XLOOKUP(fSales[[#This Row],[ProductID]],dProduct[ProductID],dProduct[CratePrice])</f>
        <v>0.3299999999999999</v>
      </c>
      <c r="N312" t="str">
        <f>_xlfn.XLOOKUP(fSales[[#This Row],[SalesRepID]],dPSalesRep[SalesRepID],dPSalesRep[SalesRep])</f>
        <v>Sioux Best</v>
      </c>
      <c r="O312" t="str">
        <f>_xlfn.XLOOKUP(fSales[[#This Row],[SalesRepID]],dPSalesRep[SalesRepID],dPSalesRep[Region])</f>
        <v>West</v>
      </c>
      <c r="P312" t="str">
        <f>_xlfn.XLOOKUP(fSales[[#This Row],[ProductID]],dProduct[ProductID],dProduct[Product])</f>
        <v>Banana</v>
      </c>
      <c r="Q312">
        <f>_xlfn.XLOOKUP(fSales[[#This Row],[ProductID]],dProduct[ProductID],dProduct[CratePrice])-_xlfn.XLOOKUP(fSales[[#This Row],[ProductID]],dProduct[ProductID],dProduct[CrateCost])</f>
        <v>5.7749999999999986</v>
      </c>
      <c r="R312">
        <f>_xlfn.XLOOKUP(fSales[[#This Row],[ProductID]],dProduct[ProductID],dProduct[CratePrice])</f>
        <v>17.5</v>
      </c>
      <c r="S312">
        <f>_xlfn.XLOOKUP(fSales[[#This Row],[ProductID]],dProduct[ProductID],dProduct[CrateCost])</f>
        <v>11.725000000000001</v>
      </c>
    </row>
    <row r="313" spans="7:19" x14ac:dyDescent="0.25">
      <c r="G313" s="2">
        <v>45511</v>
      </c>
      <c r="H313">
        <v>144</v>
      </c>
      <c r="I313" t="s">
        <v>28</v>
      </c>
      <c r="J313" t="s">
        <v>22</v>
      </c>
      <c r="K313">
        <f>_xlfn.XLOOKUP(fSales[[#This Row],[ProductID]],dProduct[ProductID],dProduct[CratePrice])*fSales[[#This Row],[Units]]</f>
        <v>6292.8</v>
      </c>
      <c r="L313">
        <f>fSales[[#This Row],[Total sales]]-_xlfn.XLOOKUP(fSales[[#This Row],[ProductID]],dProduct[ProductID],dProduct[CrateCost])*fSales[[#This Row],[Units]]</f>
        <v>2642.9760000000001</v>
      </c>
      <c r="M313">
        <f>(_xlfn.XLOOKUP(fSales[[#This Row],[ProductID]],dProduct[ProductID],dProduct[CratePrice])-_xlfn.XLOOKUP(fSales[[#This Row],[ProductID]],dProduct[ProductID],dProduct[CrateCost]))/_xlfn.XLOOKUP(fSales[[#This Row],[ProductID]],dProduct[ProductID],dProduct[CratePrice])</f>
        <v>0.42000000000000004</v>
      </c>
      <c r="N313" t="str">
        <f>_xlfn.XLOOKUP(fSales[[#This Row],[SalesRepID]],dPSalesRep[SalesRepID],dPSalesRep[SalesRep])</f>
        <v>Timmy Kips</v>
      </c>
      <c r="O313" t="str">
        <f>_xlfn.XLOOKUP(fSales[[#This Row],[SalesRepID]],dPSalesRep[SalesRepID],dPSalesRep[Region])</f>
        <v>East</v>
      </c>
      <c r="P313" t="str">
        <f>_xlfn.XLOOKUP(fSales[[#This Row],[ProductID]],dProduct[ProductID],dProduct[Product])</f>
        <v>Cherry</v>
      </c>
      <c r="Q313">
        <f>_xlfn.XLOOKUP(fSales[[#This Row],[ProductID]],dProduct[ProductID],dProduct[CratePrice])-_xlfn.XLOOKUP(fSales[[#This Row],[ProductID]],dProduct[ProductID],dProduct[CrateCost])</f>
        <v>18.354000000000003</v>
      </c>
      <c r="R313">
        <f>_xlfn.XLOOKUP(fSales[[#This Row],[ProductID]],dProduct[ProductID],dProduct[CratePrice])</f>
        <v>43.7</v>
      </c>
      <c r="S313">
        <f>_xlfn.XLOOKUP(fSales[[#This Row],[ProductID]],dProduct[ProductID],dProduct[CrateCost])</f>
        <v>25.346</v>
      </c>
    </row>
    <row r="314" spans="7:19" x14ac:dyDescent="0.25">
      <c r="G314" s="2">
        <v>45512</v>
      </c>
      <c r="H314">
        <v>84</v>
      </c>
      <c r="I314" t="s">
        <v>34</v>
      </c>
      <c r="J314" t="s">
        <v>22</v>
      </c>
      <c r="K314">
        <f>_xlfn.XLOOKUP(fSales[[#This Row],[ProductID]],dProduct[ProductID],dProduct[CratePrice])*fSales[[#This Row],[Units]]</f>
        <v>1470</v>
      </c>
      <c r="L314">
        <f>fSales[[#This Row],[Total sales]]-_xlfn.XLOOKUP(fSales[[#This Row],[ProductID]],dProduct[ProductID],dProduct[CrateCost])*fSales[[#This Row],[Units]]</f>
        <v>485.09999999999991</v>
      </c>
      <c r="M314">
        <f>(_xlfn.XLOOKUP(fSales[[#This Row],[ProductID]],dProduct[ProductID],dProduct[CratePrice])-_xlfn.XLOOKUP(fSales[[#This Row],[ProductID]],dProduct[ProductID],dProduct[CrateCost]))/_xlfn.XLOOKUP(fSales[[#This Row],[ProductID]],dProduct[ProductID],dProduct[CratePrice])</f>
        <v>0.3299999999999999</v>
      </c>
      <c r="N314" t="str">
        <f>_xlfn.XLOOKUP(fSales[[#This Row],[SalesRepID]],dPSalesRep[SalesRepID],dPSalesRep[SalesRep])</f>
        <v>Timmy Kips</v>
      </c>
      <c r="O314" t="str">
        <f>_xlfn.XLOOKUP(fSales[[#This Row],[SalesRepID]],dPSalesRep[SalesRepID],dPSalesRep[Region])</f>
        <v>East</v>
      </c>
      <c r="P314" t="str">
        <f>_xlfn.XLOOKUP(fSales[[#This Row],[ProductID]],dProduct[ProductID],dProduct[Product])</f>
        <v>Banana</v>
      </c>
      <c r="Q314">
        <f>_xlfn.XLOOKUP(fSales[[#This Row],[ProductID]],dProduct[ProductID],dProduct[CratePrice])-_xlfn.XLOOKUP(fSales[[#This Row],[ProductID]],dProduct[ProductID],dProduct[CrateCost])</f>
        <v>5.7749999999999986</v>
      </c>
      <c r="R314">
        <f>_xlfn.XLOOKUP(fSales[[#This Row],[ProductID]],dProduct[ProductID],dProduct[CratePrice])</f>
        <v>17.5</v>
      </c>
      <c r="S314">
        <f>_xlfn.XLOOKUP(fSales[[#This Row],[ProductID]],dProduct[ProductID],dProduct[CrateCost])</f>
        <v>11.725000000000001</v>
      </c>
    </row>
    <row r="315" spans="7:19" x14ac:dyDescent="0.25">
      <c r="G315" s="2">
        <v>45513</v>
      </c>
      <c r="H315">
        <v>168</v>
      </c>
      <c r="I315" t="s">
        <v>21</v>
      </c>
      <c r="J315" t="s">
        <v>37</v>
      </c>
      <c r="K315">
        <f>_xlfn.XLOOKUP(fSales[[#This Row],[ProductID]],dProduct[ProductID],dProduct[CratePrice])*fSales[[#This Row],[Units]]</f>
        <v>3780</v>
      </c>
      <c r="L315">
        <f>fSales[[#This Row],[Total sales]]-_xlfn.XLOOKUP(fSales[[#This Row],[ProductID]],dProduct[ProductID],dProduct[CrateCost])*fSales[[#This Row],[Units]]</f>
        <v>1663.1999999999998</v>
      </c>
      <c r="M315">
        <f>(_xlfn.XLOOKUP(fSales[[#This Row],[ProductID]],dProduct[ProductID],dProduct[CratePrice])-_xlfn.XLOOKUP(fSales[[#This Row],[ProductID]],dProduct[ProductID],dProduct[CrateCost]))/_xlfn.XLOOKUP(fSales[[#This Row],[ProductID]],dProduct[ProductID],dProduct[CratePrice])</f>
        <v>0.43999999999999995</v>
      </c>
      <c r="N315" t="str">
        <f>_xlfn.XLOOKUP(fSales[[#This Row],[SalesRepID]],dPSalesRep[SalesRepID],dPSalesRep[SalesRep])</f>
        <v>Chantel Mims</v>
      </c>
      <c r="O315" t="str">
        <f>_xlfn.XLOOKUP(fSales[[#This Row],[SalesRepID]],dPSalesRep[SalesRepID],dPSalesRep[Region])</f>
        <v>NW</v>
      </c>
      <c r="P315" t="str">
        <f>_xlfn.XLOOKUP(fSales[[#This Row],[ProductID]],dProduct[ProductID],dProduct[Product])</f>
        <v>Kiwi</v>
      </c>
      <c r="Q315">
        <f>_xlfn.XLOOKUP(fSales[[#This Row],[ProductID]],dProduct[ProductID],dProduct[CratePrice])-_xlfn.XLOOKUP(fSales[[#This Row],[ProductID]],dProduct[ProductID],dProduct[CrateCost])</f>
        <v>9.8999999999999986</v>
      </c>
      <c r="R315">
        <f>_xlfn.XLOOKUP(fSales[[#This Row],[ProductID]],dProduct[ProductID],dProduct[CratePrice])</f>
        <v>22.5</v>
      </c>
      <c r="S315">
        <f>_xlfn.XLOOKUP(fSales[[#This Row],[ProductID]],dProduct[ProductID],dProduct[CrateCost])</f>
        <v>12.600000000000001</v>
      </c>
    </row>
    <row r="316" spans="7:19" x14ac:dyDescent="0.25">
      <c r="G316" s="2">
        <v>45513</v>
      </c>
      <c r="H316">
        <v>156</v>
      </c>
      <c r="I316" t="s">
        <v>21</v>
      </c>
      <c r="J316" t="s">
        <v>29</v>
      </c>
      <c r="K316">
        <f>_xlfn.XLOOKUP(fSales[[#This Row],[ProductID]],dProduct[ProductID],dProduct[CratePrice])*fSales[[#This Row],[Units]]</f>
        <v>3510</v>
      </c>
      <c r="L316">
        <f>fSales[[#This Row],[Total sales]]-_xlfn.XLOOKUP(fSales[[#This Row],[ProductID]],dProduct[ProductID],dProduct[CrateCost])*fSales[[#This Row],[Units]]</f>
        <v>1544.3999999999999</v>
      </c>
      <c r="M316">
        <f>(_xlfn.XLOOKUP(fSales[[#This Row],[ProductID]],dProduct[ProductID],dProduct[CratePrice])-_xlfn.XLOOKUP(fSales[[#This Row],[ProductID]],dProduct[ProductID],dProduct[CrateCost]))/_xlfn.XLOOKUP(fSales[[#This Row],[ProductID]],dProduct[ProductID],dProduct[CratePrice])</f>
        <v>0.43999999999999995</v>
      </c>
      <c r="N316" t="str">
        <f>_xlfn.XLOOKUP(fSales[[#This Row],[SalesRepID]],dPSalesRep[SalesRepID],dPSalesRep[SalesRep])</f>
        <v>Sioux Best</v>
      </c>
      <c r="O316" t="str">
        <f>_xlfn.XLOOKUP(fSales[[#This Row],[SalesRepID]],dPSalesRep[SalesRepID],dPSalesRep[Region])</f>
        <v>West</v>
      </c>
      <c r="P316" t="str">
        <f>_xlfn.XLOOKUP(fSales[[#This Row],[ProductID]],dProduct[ProductID],dProduct[Product])</f>
        <v>Kiwi</v>
      </c>
      <c r="Q316">
        <f>_xlfn.XLOOKUP(fSales[[#This Row],[ProductID]],dProduct[ProductID],dProduct[CratePrice])-_xlfn.XLOOKUP(fSales[[#This Row],[ProductID]],dProduct[ProductID],dProduct[CrateCost])</f>
        <v>9.8999999999999986</v>
      </c>
      <c r="R316">
        <f>_xlfn.XLOOKUP(fSales[[#This Row],[ProductID]],dProduct[ProductID],dProduct[CratePrice])</f>
        <v>22.5</v>
      </c>
      <c r="S316">
        <f>_xlfn.XLOOKUP(fSales[[#This Row],[ProductID]],dProduct[ProductID],dProduct[CrateCost])</f>
        <v>12.600000000000001</v>
      </c>
    </row>
    <row r="317" spans="7:19" x14ac:dyDescent="0.25">
      <c r="G317" s="2">
        <v>45513</v>
      </c>
      <c r="H317">
        <v>300</v>
      </c>
      <c r="I317" t="s">
        <v>21</v>
      </c>
      <c r="J317" t="s">
        <v>52</v>
      </c>
      <c r="K317">
        <f>_xlfn.XLOOKUP(fSales[[#This Row],[ProductID]],dProduct[ProductID],dProduct[CratePrice])*fSales[[#This Row],[Units]]</f>
        <v>6750</v>
      </c>
      <c r="L317">
        <f>fSales[[#This Row],[Total sales]]-_xlfn.XLOOKUP(fSales[[#This Row],[ProductID]],dProduct[ProductID],dProduct[CrateCost])*fSales[[#This Row],[Units]]</f>
        <v>2969.9999999999995</v>
      </c>
      <c r="M317">
        <f>(_xlfn.XLOOKUP(fSales[[#This Row],[ProductID]],dProduct[ProductID],dProduct[CratePrice])-_xlfn.XLOOKUP(fSales[[#This Row],[ProductID]],dProduct[ProductID],dProduct[CrateCost]))/_xlfn.XLOOKUP(fSales[[#This Row],[ProductID]],dProduct[ProductID],dProduct[CratePrice])</f>
        <v>0.43999999999999995</v>
      </c>
      <c r="N317" t="str">
        <f>_xlfn.XLOOKUP(fSales[[#This Row],[SalesRepID]],dPSalesRep[SalesRepID],dPSalesRep[SalesRep])</f>
        <v>Smitty Rad</v>
      </c>
      <c r="O317" t="str">
        <f>_xlfn.XLOOKUP(fSales[[#This Row],[SalesRepID]],dPSalesRep[SalesRepID],dPSalesRep[Region])</f>
        <v>MidWest</v>
      </c>
      <c r="P317" t="str">
        <f>_xlfn.XLOOKUP(fSales[[#This Row],[ProductID]],dProduct[ProductID],dProduct[Product])</f>
        <v>Kiwi</v>
      </c>
      <c r="Q317">
        <f>_xlfn.XLOOKUP(fSales[[#This Row],[ProductID]],dProduct[ProductID],dProduct[CratePrice])-_xlfn.XLOOKUP(fSales[[#This Row],[ProductID]],dProduct[ProductID],dProduct[CrateCost])</f>
        <v>9.8999999999999986</v>
      </c>
      <c r="R317">
        <f>_xlfn.XLOOKUP(fSales[[#This Row],[ProductID]],dProduct[ProductID],dProduct[CratePrice])</f>
        <v>22.5</v>
      </c>
      <c r="S317">
        <f>_xlfn.XLOOKUP(fSales[[#This Row],[ProductID]],dProduct[ProductID],dProduct[CrateCost])</f>
        <v>12.600000000000001</v>
      </c>
    </row>
    <row r="318" spans="7:19" x14ac:dyDescent="0.25">
      <c r="G318" s="2">
        <v>45514</v>
      </c>
      <c r="H318">
        <v>156</v>
      </c>
      <c r="I318" t="s">
        <v>28</v>
      </c>
      <c r="J318" t="s">
        <v>52</v>
      </c>
      <c r="K318">
        <f>_xlfn.XLOOKUP(fSales[[#This Row],[ProductID]],dProduct[ProductID],dProduct[CratePrice])*fSales[[#This Row],[Units]]</f>
        <v>6817.2000000000007</v>
      </c>
      <c r="L318">
        <f>fSales[[#This Row],[Total sales]]-_xlfn.XLOOKUP(fSales[[#This Row],[ProductID]],dProduct[ProductID],dProduct[CrateCost])*fSales[[#This Row],[Units]]</f>
        <v>2863.2240000000006</v>
      </c>
      <c r="M318">
        <f>(_xlfn.XLOOKUP(fSales[[#This Row],[ProductID]],dProduct[ProductID],dProduct[CratePrice])-_xlfn.XLOOKUP(fSales[[#This Row],[ProductID]],dProduct[ProductID],dProduct[CrateCost]))/_xlfn.XLOOKUP(fSales[[#This Row],[ProductID]],dProduct[ProductID],dProduct[CratePrice])</f>
        <v>0.42000000000000004</v>
      </c>
      <c r="N318" t="str">
        <f>_xlfn.XLOOKUP(fSales[[#This Row],[SalesRepID]],dPSalesRep[SalesRepID],dPSalesRep[SalesRep])</f>
        <v>Smitty Rad</v>
      </c>
      <c r="O318" t="str">
        <f>_xlfn.XLOOKUP(fSales[[#This Row],[SalesRepID]],dPSalesRep[SalesRepID],dPSalesRep[Region])</f>
        <v>MidWest</v>
      </c>
      <c r="P318" t="str">
        <f>_xlfn.XLOOKUP(fSales[[#This Row],[ProductID]],dProduct[ProductID],dProduct[Product])</f>
        <v>Cherry</v>
      </c>
      <c r="Q318">
        <f>_xlfn.XLOOKUP(fSales[[#This Row],[ProductID]],dProduct[ProductID],dProduct[CratePrice])-_xlfn.XLOOKUP(fSales[[#This Row],[ProductID]],dProduct[ProductID],dProduct[CrateCost])</f>
        <v>18.354000000000003</v>
      </c>
      <c r="R318">
        <f>_xlfn.XLOOKUP(fSales[[#This Row],[ProductID]],dProduct[ProductID],dProduct[CratePrice])</f>
        <v>43.7</v>
      </c>
      <c r="S318">
        <f>_xlfn.XLOOKUP(fSales[[#This Row],[ProductID]],dProduct[ProductID],dProduct[CrateCost])</f>
        <v>25.346</v>
      </c>
    </row>
    <row r="319" spans="7:19" x14ac:dyDescent="0.25">
      <c r="G319" s="2">
        <v>45515</v>
      </c>
      <c r="H319">
        <v>228</v>
      </c>
      <c r="I319" t="s">
        <v>21</v>
      </c>
      <c r="J319" t="s">
        <v>37</v>
      </c>
      <c r="K319">
        <f>_xlfn.XLOOKUP(fSales[[#This Row],[ProductID]],dProduct[ProductID],dProduct[CratePrice])*fSales[[#This Row],[Units]]</f>
        <v>5130</v>
      </c>
      <c r="L319">
        <f>fSales[[#This Row],[Total sales]]-_xlfn.XLOOKUP(fSales[[#This Row],[ProductID]],dProduct[ProductID],dProduct[CrateCost])*fSales[[#This Row],[Units]]</f>
        <v>2257.1999999999998</v>
      </c>
      <c r="M319">
        <f>(_xlfn.XLOOKUP(fSales[[#This Row],[ProductID]],dProduct[ProductID],dProduct[CratePrice])-_xlfn.XLOOKUP(fSales[[#This Row],[ProductID]],dProduct[ProductID],dProduct[CrateCost]))/_xlfn.XLOOKUP(fSales[[#This Row],[ProductID]],dProduct[ProductID],dProduct[CratePrice])</f>
        <v>0.43999999999999995</v>
      </c>
      <c r="N319" t="str">
        <f>_xlfn.XLOOKUP(fSales[[#This Row],[SalesRepID]],dPSalesRep[SalesRepID],dPSalesRep[SalesRep])</f>
        <v>Chantel Mims</v>
      </c>
      <c r="O319" t="str">
        <f>_xlfn.XLOOKUP(fSales[[#This Row],[SalesRepID]],dPSalesRep[SalesRepID],dPSalesRep[Region])</f>
        <v>NW</v>
      </c>
      <c r="P319" t="str">
        <f>_xlfn.XLOOKUP(fSales[[#This Row],[ProductID]],dProduct[ProductID],dProduct[Product])</f>
        <v>Kiwi</v>
      </c>
      <c r="Q319">
        <f>_xlfn.XLOOKUP(fSales[[#This Row],[ProductID]],dProduct[ProductID],dProduct[CratePrice])-_xlfn.XLOOKUP(fSales[[#This Row],[ProductID]],dProduct[ProductID],dProduct[CrateCost])</f>
        <v>9.8999999999999986</v>
      </c>
      <c r="R319">
        <f>_xlfn.XLOOKUP(fSales[[#This Row],[ProductID]],dProduct[ProductID],dProduct[CratePrice])</f>
        <v>22.5</v>
      </c>
      <c r="S319">
        <f>_xlfn.XLOOKUP(fSales[[#This Row],[ProductID]],dProduct[ProductID],dProduct[CrateCost])</f>
        <v>12.600000000000001</v>
      </c>
    </row>
    <row r="320" spans="7:19" x14ac:dyDescent="0.25">
      <c r="G320" s="2">
        <v>45515</v>
      </c>
      <c r="H320">
        <v>264</v>
      </c>
      <c r="I320" t="s">
        <v>28</v>
      </c>
      <c r="J320" t="s">
        <v>52</v>
      </c>
      <c r="K320">
        <f>_xlfn.XLOOKUP(fSales[[#This Row],[ProductID]],dProduct[ProductID],dProduct[CratePrice])*fSales[[#This Row],[Units]]</f>
        <v>11536.800000000001</v>
      </c>
      <c r="L320">
        <f>fSales[[#This Row],[Total sales]]-_xlfn.XLOOKUP(fSales[[#This Row],[ProductID]],dProduct[ProductID],dProduct[CrateCost])*fSales[[#This Row],[Units]]</f>
        <v>4845.456000000001</v>
      </c>
      <c r="M320">
        <f>(_xlfn.XLOOKUP(fSales[[#This Row],[ProductID]],dProduct[ProductID],dProduct[CratePrice])-_xlfn.XLOOKUP(fSales[[#This Row],[ProductID]],dProduct[ProductID],dProduct[CrateCost]))/_xlfn.XLOOKUP(fSales[[#This Row],[ProductID]],dProduct[ProductID],dProduct[CratePrice])</f>
        <v>0.42000000000000004</v>
      </c>
      <c r="N320" t="str">
        <f>_xlfn.XLOOKUP(fSales[[#This Row],[SalesRepID]],dPSalesRep[SalesRepID],dPSalesRep[SalesRep])</f>
        <v>Smitty Rad</v>
      </c>
      <c r="O320" t="str">
        <f>_xlfn.XLOOKUP(fSales[[#This Row],[SalesRepID]],dPSalesRep[SalesRepID],dPSalesRep[Region])</f>
        <v>MidWest</v>
      </c>
      <c r="P320" t="str">
        <f>_xlfn.XLOOKUP(fSales[[#This Row],[ProductID]],dProduct[ProductID],dProduct[Product])</f>
        <v>Cherry</v>
      </c>
      <c r="Q320">
        <f>_xlfn.XLOOKUP(fSales[[#This Row],[ProductID]],dProduct[ProductID],dProduct[CratePrice])-_xlfn.XLOOKUP(fSales[[#This Row],[ProductID]],dProduct[ProductID],dProduct[CrateCost])</f>
        <v>18.354000000000003</v>
      </c>
      <c r="R320">
        <f>_xlfn.XLOOKUP(fSales[[#This Row],[ProductID]],dProduct[ProductID],dProduct[CratePrice])</f>
        <v>43.7</v>
      </c>
      <c r="S320">
        <f>_xlfn.XLOOKUP(fSales[[#This Row],[ProductID]],dProduct[ProductID],dProduct[CrateCost])</f>
        <v>25.346</v>
      </c>
    </row>
    <row r="321" spans="7:19" x14ac:dyDescent="0.25">
      <c r="G321" s="2">
        <v>45516</v>
      </c>
      <c r="H321">
        <v>240</v>
      </c>
      <c r="I321" t="s">
        <v>34</v>
      </c>
      <c r="J321" t="s">
        <v>37</v>
      </c>
      <c r="K321">
        <f>_xlfn.XLOOKUP(fSales[[#This Row],[ProductID]],dProduct[ProductID],dProduct[CratePrice])*fSales[[#This Row],[Units]]</f>
        <v>4200</v>
      </c>
      <c r="L321">
        <f>fSales[[#This Row],[Total sales]]-_xlfn.XLOOKUP(fSales[[#This Row],[ProductID]],dProduct[ProductID],dProduct[CrateCost])*fSales[[#This Row],[Units]]</f>
        <v>1385.9999999999995</v>
      </c>
      <c r="M321">
        <f>(_xlfn.XLOOKUP(fSales[[#This Row],[ProductID]],dProduct[ProductID],dProduct[CratePrice])-_xlfn.XLOOKUP(fSales[[#This Row],[ProductID]],dProduct[ProductID],dProduct[CrateCost]))/_xlfn.XLOOKUP(fSales[[#This Row],[ProductID]],dProduct[ProductID],dProduct[CratePrice])</f>
        <v>0.3299999999999999</v>
      </c>
      <c r="N321" t="str">
        <f>_xlfn.XLOOKUP(fSales[[#This Row],[SalesRepID]],dPSalesRep[SalesRepID],dPSalesRep[SalesRep])</f>
        <v>Chantel Mims</v>
      </c>
      <c r="O321" t="str">
        <f>_xlfn.XLOOKUP(fSales[[#This Row],[SalesRepID]],dPSalesRep[SalesRepID],dPSalesRep[Region])</f>
        <v>NW</v>
      </c>
      <c r="P321" t="str">
        <f>_xlfn.XLOOKUP(fSales[[#This Row],[ProductID]],dProduct[ProductID],dProduct[Product])</f>
        <v>Banana</v>
      </c>
      <c r="Q321">
        <f>_xlfn.XLOOKUP(fSales[[#This Row],[ProductID]],dProduct[ProductID],dProduct[CratePrice])-_xlfn.XLOOKUP(fSales[[#This Row],[ProductID]],dProduct[ProductID],dProduct[CrateCost])</f>
        <v>5.7749999999999986</v>
      </c>
      <c r="R321">
        <f>_xlfn.XLOOKUP(fSales[[#This Row],[ProductID]],dProduct[ProductID],dProduct[CratePrice])</f>
        <v>17.5</v>
      </c>
      <c r="S321">
        <f>_xlfn.XLOOKUP(fSales[[#This Row],[ProductID]],dProduct[ProductID],dProduct[CrateCost])</f>
        <v>11.725000000000001</v>
      </c>
    </row>
    <row r="322" spans="7:19" x14ac:dyDescent="0.25">
      <c r="G322" s="2">
        <v>45516</v>
      </c>
      <c r="H322">
        <v>24</v>
      </c>
      <c r="I322" t="s">
        <v>28</v>
      </c>
      <c r="J322" t="s">
        <v>52</v>
      </c>
      <c r="K322">
        <f>_xlfn.XLOOKUP(fSales[[#This Row],[ProductID]],dProduct[ProductID],dProduct[CratePrice])*fSales[[#This Row],[Units]]</f>
        <v>1048.8000000000002</v>
      </c>
      <c r="L322">
        <f>fSales[[#This Row],[Total sales]]-_xlfn.XLOOKUP(fSales[[#This Row],[ProductID]],dProduct[ProductID],dProduct[CrateCost])*fSales[[#This Row],[Units]]</f>
        <v>440.49600000000021</v>
      </c>
      <c r="M322">
        <f>(_xlfn.XLOOKUP(fSales[[#This Row],[ProductID]],dProduct[ProductID],dProduct[CratePrice])-_xlfn.XLOOKUP(fSales[[#This Row],[ProductID]],dProduct[ProductID],dProduct[CrateCost]))/_xlfn.XLOOKUP(fSales[[#This Row],[ProductID]],dProduct[ProductID],dProduct[CratePrice])</f>
        <v>0.42000000000000004</v>
      </c>
      <c r="N322" t="str">
        <f>_xlfn.XLOOKUP(fSales[[#This Row],[SalesRepID]],dPSalesRep[SalesRepID],dPSalesRep[SalesRep])</f>
        <v>Smitty Rad</v>
      </c>
      <c r="O322" t="str">
        <f>_xlfn.XLOOKUP(fSales[[#This Row],[SalesRepID]],dPSalesRep[SalesRepID],dPSalesRep[Region])</f>
        <v>MidWest</v>
      </c>
      <c r="P322" t="str">
        <f>_xlfn.XLOOKUP(fSales[[#This Row],[ProductID]],dProduct[ProductID],dProduct[Product])</f>
        <v>Cherry</v>
      </c>
      <c r="Q322">
        <f>_xlfn.XLOOKUP(fSales[[#This Row],[ProductID]],dProduct[ProductID],dProduct[CratePrice])-_xlfn.XLOOKUP(fSales[[#This Row],[ProductID]],dProduct[ProductID],dProduct[CrateCost])</f>
        <v>18.354000000000003</v>
      </c>
      <c r="R322">
        <f>_xlfn.XLOOKUP(fSales[[#This Row],[ProductID]],dProduct[ProductID],dProduct[CratePrice])</f>
        <v>43.7</v>
      </c>
      <c r="S322">
        <f>_xlfn.XLOOKUP(fSales[[#This Row],[ProductID]],dProduct[ProductID],dProduct[CrateCost])</f>
        <v>25.346</v>
      </c>
    </row>
    <row r="323" spans="7:19" x14ac:dyDescent="0.25">
      <c r="G323" s="2">
        <v>45516</v>
      </c>
      <c r="H323">
        <v>216</v>
      </c>
      <c r="I323" t="s">
        <v>26</v>
      </c>
      <c r="J323" t="s">
        <v>22</v>
      </c>
      <c r="K323">
        <f>_xlfn.XLOOKUP(fSales[[#This Row],[ProductID]],dProduct[ProductID],dProduct[CratePrice])*fSales[[#This Row],[Units]]</f>
        <v>6426</v>
      </c>
      <c r="L323">
        <f>fSales[[#This Row],[Total sales]]-_xlfn.XLOOKUP(fSales[[#This Row],[ProductID]],dProduct[ProductID],dProduct[CrateCost])*fSales[[#This Row],[Units]]</f>
        <v>2698.92</v>
      </c>
      <c r="M323">
        <f>(_xlfn.XLOOKUP(fSales[[#This Row],[ProductID]],dProduct[ProductID],dProduct[CratePrice])-_xlfn.XLOOKUP(fSales[[#This Row],[ProductID]],dProduct[ProductID],dProduct[CrateCost]))/_xlfn.XLOOKUP(fSales[[#This Row],[ProductID]],dProduct[ProductID],dProduct[CratePrice])</f>
        <v>0.42000000000000004</v>
      </c>
      <c r="N323" t="str">
        <f>_xlfn.XLOOKUP(fSales[[#This Row],[SalesRepID]],dPSalesRep[SalesRepID],dPSalesRep[SalesRep])</f>
        <v>Timmy Kips</v>
      </c>
      <c r="O323" t="str">
        <f>_xlfn.XLOOKUP(fSales[[#This Row],[SalesRepID]],dPSalesRep[SalesRepID],dPSalesRep[Region])</f>
        <v>East</v>
      </c>
      <c r="P323" t="str">
        <f>_xlfn.XLOOKUP(fSales[[#This Row],[ProductID]],dProduct[ProductID],dProduct[Product])</f>
        <v>Orange</v>
      </c>
      <c r="Q323">
        <f>_xlfn.XLOOKUP(fSales[[#This Row],[ProductID]],dProduct[ProductID],dProduct[CratePrice])-_xlfn.XLOOKUP(fSales[[#This Row],[ProductID]],dProduct[ProductID],dProduct[CrateCost])</f>
        <v>12.495000000000001</v>
      </c>
      <c r="R323">
        <f>_xlfn.XLOOKUP(fSales[[#This Row],[ProductID]],dProduct[ProductID],dProduct[CratePrice])</f>
        <v>29.75</v>
      </c>
      <c r="S323">
        <f>_xlfn.XLOOKUP(fSales[[#This Row],[ProductID]],dProduct[ProductID],dProduct[CrateCost])</f>
        <v>17.254999999999999</v>
      </c>
    </row>
    <row r="324" spans="7:19" x14ac:dyDescent="0.25">
      <c r="G324" s="2">
        <v>45517</v>
      </c>
      <c r="H324">
        <v>72</v>
      </c>
      <c r="I324" t="s">
        <v>21</v>
      </c>
      <c r="J324" t="s">
        <v>37</v>
      </c>
      <c r="K324">
        <f>_xlfn.XLOOKUP(fSales[[#This Row],[ProductID]],dProduct[ProductID],dProduct[CratePrice])*fSales[[#This Row],[Units]]</f>
        <v>1620</v>
      </c>
      <c r="L324">
        <f>fSales[[#This Row],[Total sales]]-_xlfn.XLOOKUP(fSales[[#This Row],[ProductID]],dProduct[ProductID],dProduct[CrateCost])*fSales[[#This Row],[Units]]</f>
        <v>712.8</v>
      </c>
      <c r="M324">
        <f>(_xlfn.XLOOKUP(fSales[[#This Row],[ProductID]],dProduct[ProductID],dProduct[CratePrice])-_xlfn.XLOOKUP(fSales[[#This Row],[ProductID]],dProduct[ProductID],dProduct[CrateCost]))/_xlfn.XLOOKUP(fSales[[#This Row],[ProductID]],dProduct[ProductID],dProduct[CratePrice])</f>
        <v>0.43999999999999995</v>
      </c>
      <c r="N324" t="str">
        <f>_xlfn.XLOOKUP(fSales[[#This Row],[SalesRepID]],dPSalesRep[SalesRepID],dPSalesRep[SalesRep])</f>
        <v>Chantel Mims</v>
      </c>
      <c r="O324" t="str">
        <f>_xlfn.XLOOKUP(fSales[[#This Row],[SalesRepID]],dPSalesRep[SalesRepID],dPSalesRep[Region])</f>
        <v>NW</v>
      </c>
      <c r="P324" t="str">
        <f>_xlfn.XLOOKUP(fSales[[#This Row],[ProductID]],dProduct[ProductID],dProduct[Product])</f>
        <v>Kiwi</v>
      </c>
      <c r="Q324">
        <f>_xlfn.XLOOKUP(fSales[[#This Row],[ProductID]],dProduct[ProductID],dProduct[CratePrice])-_xlfn.XLOOKUP(fSales[[#This Row],[ProductID]],dProduct[ProductID],dProduct[CrateCost])</f>
        <v>9.8999999999999986</v>
      </c>
      <c r="R324">
        <f>_xlfn.XLOOKUP(fSales[[#This Row],[ProductID]],dProduct[ProductID],dProduct[CratePrice])</f>
        <v>22.5</v>
      </c>
      <c r="S324">
        <f>_xlfn.XLOOKUP(fSales[[#This Row],[ProductID]],dProduct[ProductID],dProduct[CrateCost])</f>
        <v>12.600000000000001</v>
      </c>
    </row>
    <row r="325" spans="7:19" x14ac:dyDescent="0.25">
      <c r="G325" s="2">
        <v>45517</v>
      </c>
      <c r="H325">
        <v>72</v>
      </c>
      <c r="I325" t="s">
        <v>19</v>
      </c>
      <c r="J325" t="s">
        <v>22</v>
      </c>
      <c r="K325">
        <f>_xlfn.XLOOKUP(fSales[[#This Row],[ProductID]],dProduct[ProductID],dProduct[CratePrice])*fSales[[#This Row],[Units]]</f>
        <v>2520</v>
      </c>
      <c r="L325">
        <f>fSales[[#This Row],[Total sales]]-_xlfn.XLOOKUP(fSales[[#This Row],[ProductID]],dProduct[ProductID],dProduct[CrateCost])*fSales[[#This Row],[Units]]</f>
        <v>1411.2</v>
      </c>
      <c r="M325">
        <f>(_xlfn.XLOOKUP(fSales[[#This Row],[ProductID]],dProduct[ProductID],dProduct[CratePrice])-_xlfn.XLOOKUP(fSales[[#This Row],[ProductID]],dProduct[ProductID],dProduct[CrateCost]))/_xlfn.XLOOKUP(fSales[[#This Row],[ProductID]],dProduct[ProductID],dProduct[CratePrice])</f>
        <v>0.56000000000000005</v>
      </c>
      <c r="N325" t="str">
        <f>_xlfn.XLOOKUP(fSales[[#This Row],[SalesRepID]],dPSalesRep[SalesRepID],dPSalesRep[SalesRep])</f>
        <v>Timmy Kips</v>
      </c>
      <c r="O325" t="str">
        <f>_xlfn.XLOOKUP(fSales[[#This Row],[SalesRepID]],dPSalesRep[SalesRepID],dPSalesRep[Region])</f>
        <v>East</v>
      </c>
      <c r="P325" t="str">
        <f>_xlfn.XLOOKUP(fSales[[#This Row],[ProductID]],dProduct[ProductID],dProduct[Product])</f>
        <v>Apple</v>
      </c>
      <c r="Q325">
        <f>_xlfn.XLOOKUP(fSales[[#This Row],[ProductID]],dProduct[ProductID],dProduct[CratePrice])-_xlfn.XLOOKUP(fSales[[#This Row],[ProductID]],dProduct[ProductID],dProduct[CrateCost])</f>
        <v>19.600000000000001</v>
      </c>
      <c r="R325">
        <f>_xlfn.XLOOKUP(fSales[[#This Row],[ProductID]],dProduct[ProductID],dProduct[CratePrice])</f>
        <v>35</v>
      </c>
      <c r="S325">
        <f>_xlfn.XLOOKUP(fSales[[#This Row],[ProductID]],dProduct[ProductID],dProduct[CrateCost])</f>
        <v>15.4</v>
      </c>
    </row>
    <row r="326" spans="7:19" x14ac:dyDescent="0.25">
      <c r="G326" s="2">
        <v>45518</v>
      </c>
      <c r="H326">
        <v>120</v>
      </c>
      <c r="I326" t="s">
        <v>28</v>
      </c>
      <c r="J326" t="s">
        <v>37</v>
      </c>
      <c r="K326">
        <f>_xlfn.XLOOKUP(fSales[[#This Row],[ProductID]],dProduct[ProductID],dProduct[CratePrice])*fSales[[#This Row],[Units]]</f>
        <v>5244</v>
      </c>
      <c r="L326">
        <f>fSales[[#This Row],[Total sales]]-_xlfn.XLOOKUP(fSales[[#This Row],[ProductID]],dProduct[ProductID],dProduct[CrateCost])*fSales[[#This Row],[Units]]</f>
        <v>2202.48</v>
      </c>
      <c r="M326">
        <f>(_xlfn.XLOOKUP(fSales[[#This Row],[ProductID]],dProduct[ProductID],dProduct[CratePrice])-_xlfn.XLOOKUP(fSales[[#This Row],[ProductID]],dProduct[ProductID],dProduct[CrateCost]))/_xlfn.XLOOKUP(fSales[[#This Row],[ProductID]],dProduct[ProductID],dProduct[CratePrice])</f>
        <v>0.42000000000000004</v>
      </c>
      <c r="N326" t="str">
        <f>_xlfn.XLOOKUP(fSales[[#This Row],[SalesRepID]],dPSalesRep[SalesRepID],dPSalesRep[SalesRep])</f>
        <v>Chantel Mims</v>
      </c>
      <c r="O326" t="str">
        <f>_xlfn.XLOOKUP(fSales[[#This Row],[SalesRepID]],dPSalesRep[SalesRepID],dPSalesRep[Region])</f>
        <v>NW</v>
      </c>
      <c r="P326" t="str">
        <f>_xlfn.XLOOKUP(fSales[[#This Row],[ProductID]],dProduct[ProductID],dProduct[Product])</f>
        <v>Cherry</v>
      </c>
      <c r="Q326">
        <f>_xlfn.XLOOKUP(fSales[[#This Row],[ProductID]],dProduct[ProductID],dProduct[CratePrice])-_xlfn.XLOOKUP(fSales[[#This Row],[ProductID]],dProduct[ProductID],dProduct[CrateCost])</f>
        <v>18.354000000000003</v>
      </c>
      <c r="R326">
        <f>_xlfn.XLOOKUP(fSales[[#This Row],[ProductID]],dProduct[ProductID],dProduct[CratePrice])</f>
        <v>43.7</v>
      </c>
      <c r="S326">
        <f>_xlfn.XLOOKUP(fSales[[#This Row],[ProductID]],dProduct[ProductID],dProduct[CrateCost])</f>
        <v>25.346</v>
      </c>
    </row>
    <row r="327" spans="7:19" x14ac:dyDescent="0.25">
      <c r="G327" s="2">
        <v>45519</v>
      </c>
      <c r="H327">
        <v>72</v>
      </c>
      <c r="I327" t="s">
        <v>26</v>
      </c>
      <c r="J327" t="s">
        <v>22</v>
      </c>
      <c r="K327">
        <f>_xlfn.XLOOKUP(fSales[[#This Row],[ProductID]],dProduct[ProductID],dProduct[CratePrice])*fSales[[#This Row],[Units]]</f>
        <v>2142</v>
      </c>
      <c r="L327">
        <f>fSales[[#This Row],[Total sales]]-_xlfn.XLOOKUP(fSales[[#This Row],[ProductID]],dProduct[ProductID],dProduct[CrateCost])*fSales[[#This Row],[Units]]</f>
        <v>899.6400000000001</v>
      </c>
      <c r="M327">
        <f>(_xlfn.XLOOKUP(fSales[[#This Row],[ProductID]],dProduct[ProductID],dProduct[CratePrice])-_xlfn.XLOOKUP(fSales[[#This Row],[ProductID]],dProduct[ProductID],dProduct[CrateCost]))/_xlfn.XLOOKUP(fSales[[#This Row],[ProductID]],dProduct[ProductID],dProduct[CratePrice])</f>
        <v>0.42000000000000004</v>
      </c>
      <c r="N327" t="str">
        <f>_xlfn.XLOOKUP(fSales[[#This Row],[SalesRepID]],dPSalesRep[SalesRepID],dPSalesRep[SalesRep])</f>
        <v>Timmy Kips</v>
      </c>
      <c r="O327" t="str">
        <f>_xlfn.XLOOKUP(fSales[[#This Row],[SalesRepID]],dPSalesRep[SalesRepID],dPSalesRep[Region])</f>
        <v>East</v>
      </c>
      <c r="P327" t="str">
        <f>_xlfn.XLOOKUP(fSales[[#This Row],[ProductID]],dProduct[ProductID],dProduct[Product])</f>
        <v>Orange</v>
      </c>
      <c r="Q327">
        <f>_xlfn.XLOOKUP(fSales[[#This Row],[ProductID]],dProduct[ProductID],dProduct[CratePrice])-_xlfn.XLOOKUP(fSales[[#This Row],[ProductID]],dProduct[ProductID],dProduct[CrateCost])</f>
        <v>12.495000000000001</v>
      </c>
      <c r="R327">
        <f>_xlfn.XLOOKUP(fSales[[#This Row],[ProductID]],dProduct[ProductID],dProduct[CratePrice])</f>
        <v>29.75</v>
      </c>
      <c r="S327">
        <f>_xlfn.XLOOKUP(fSales[[#This Row],[ProductID]],dProduct[ProductID],dProduct[CrateCost])</f>
        <v>17.254999999999999</v>
      </c>
    </row>
    <row r="328" spans="7:19" x14ac:dyDescent="0.25">
      <c r="G328" s="2">
        <v>45523</v>
      </c>
      <c r="H328">
        <v>60</v>
      </c>
      <c r="I328" t="s">
        <v>26</v>
      </c>
      <c r="J328" t="s">
        <v>52</v>
      </c>
      <c r="K328">
        <f>_xlfn.XLOOKUP(fSales[[#This Row],[ProductID]],dProduct[ProductID],dProduct[CratePrice])*fSales[[#This Row],[Units]]</f>
        <v>1785</v>
      </c>
      <c r="L328">
        <f>fSales[[#This Row],[Total sales]]-_xlfn.XLOOKUP(fSales[[#This Row],[ProductID]],dProduct[ProductID],dProduct[CrateCost])*fSales[[#This Row],[Units]]</f>
        <v>749.7</v>
      </c>
      <c r="M328">
        <f>(_xlfn.XLOOKUP(fSales[[#This Row],[ProductID]],dProduct[ProductID],dProduct[CratePrice])-_xlfn.XLOOKUP(fSales[[#This Row],[ProductID]],dProduct[ProductID],dProduct[CrateCost]))/_xlfn.XLOOKUP(fSales[[#This Row],[ProductID]],dProduct[ProductID],dProduct[CratePrice])</f>
        <v>0.42000000000000004</v>
      </c>
      <c r="N328" t="str">
        <f>_xlfn.XLOOKUP(fSales[[#This Row],[SalesRepID]],dPSalesRep[SalesRepID],dPSalesRep[SalesRep])</f>
        <v>Smitty Rad</v>
      </c>
      <c r="O328" t="str">
        <f>_xlfn.XLOOKUP(fSales[[#This Row],[SalesRepID]],dPSalesRep[SalesRepID],dPSalesRep[Region])</f>
        <v>MidWest</v>
      </c>
      <c r="P328" t="str">
        <f>_xlfn.XLOOKUP(fSales[[#This Row],[ProductID]],dProduct[ProductID],dProduct[Product])</f>
        <v>Orange</v>
      </c>
      <c r="Q328">
        <f>_xlfn.XLOOKUP(fSales[[#This Row],[ProductID]],dProduct[ProductID],dProduct[CratePrice])-_xlfn.XLOOKUP(fSales[[#This Row],[ProductID]],dProduct[ProductID],dProduct[CrateCost])</f>
        <v>12.495000000000001</v>
      </c>
      <c r="R328">
        <f>_xlfn.XLOOKUP(fSales[[#This Row],[ProductID]],dProduct[ProductID],dProduct[CratePrice])</f>
        <v>29.75</v>
      </c>
      <c r="S328">
        <f>_xlfn.XLOOKUP(fSales[[#This Row],[ProductID]],dProduct[ProductID],dProduct[CrateCost])</f>
        <v>17.254999999999999</v>
      </c>
    </row>
    <row r="329" spans="7:19" x14ac:dyDescent="0.25">
      <c r="G329" s="2">
        <v>45524</v>
      </c>
      <c r="H329">
        <v>108</v>
      </c>
      <c r="I329" t="s">
        <v>19</v>
      </c>
      <c r="J329" t="s">
        <v>37</v>
      </c>
      <c r="K329">
        <f>_xlfn.XLOOKUP(fSales[[#This Row],[ProductID]],dProduct[ProductID],dProduct[CratePrice])*fSales[[#This Row],[Units]]</f>
        <v>3780</v>
      </c>
      <c r="L329">
        <f>fSales[[#This Row],[Total sales]]-_xlfn.XLOOKUP(fSales[[#This Row],[ProductID]],dProduct[ProductID],dProduct[CrateCost])*fSales[[#This Row],[Units]]</f>
        <v>2116.8000000000002</v>
      </c>
      <c r="M329">
        <f>(_xlfn.XLOOKUP(fSales[[#This Row],[ProductID]],dProduct[ProductID],dProduct[CratePrice])-_xlfn.XLOOKUP(fSales[[#This Row],[ProductID]],dProduct[ProductID],dProduct[CrateCost]))/_xlfn.XLOOKUP(fSales[[#This Row],[ProductID]],dProduct[ProductID],dProduct[CratePrice])</f>
        <v>0.56000000000000005</v>
      </c>
      <c r="N329" t="str">
        <f>_xlfn.XLOOKUP(fSales[[#This Row],[SalesRepID]],dPSalesRep[SalesRepID],dPSalesRep[SalesRep])</f>
        <v>Chantel Mims</v>
      </c>
      <c r="O329" t="str">
        <f>_xlfn.XLOOKUP(fSales[[#This Row],[SalesRepID]],dPSalesRep[SalesRepID],dPSalesRep[Region])</f>
        <v>NW</v>
      </c>
      <c r="P329" t="str">
        <f>_xlfn.XLOOKUP(fSales[[#This Row],[ProductID]],dProduct[ProductID],dProduct[Product])</f>
        <v>Apple</v>
      </c>
      <c r="Q329">
        <f>_xlfn.XLOOKUP(fSales[[#This Row],[ProductID]],dProduct[ProductID],dProduct[CratePrice])-_xlfn.XLOOKUP(fSales[[#This Row],[ProductID]],dProduct[ProductID],dProduct[CrateCost])</f>
        <v>19.600000000000001</v>
      </c>
      <c r="R329">
        <f>_xlfn.XLOOKUP(fSales[[#This Row],[ProductID]],dProduct[ProductID],dProduct[CratePrice])</f>
        <v>35</v>
      </c>
      <c r="S329">
        <f>_xlfn.XLOOKUP(fSales[[#This Row],[ProductID]],dProduct[ProductID],dProduct[CrateCost])</f>
        <v>15.4</v>
      </c>
    </row>
    <row r="330" spans="7:19" x14ac:dyDescent="0.25">
      <c r="G330" s="2">
        <v>45524</v>
      </c>
      <c r="H330">
        <v>60</v>
      </c>
      <c r="I330" t="s">
        <v>34</v>
      </c>
      <c r="J330" t="s">
        <v>29</v>
      </c>
      <c r="K330">
        <f>_xlfn.XLOOKUP(fSales[[#This Row],[ProductID]],dProduct[ProductID],dProduct[CratePrice])*fSales[[#This Row],[Units]]</f>
        <v>1050</v>
      </c>
      <c r="L330">
        <f>fSales[[#This Row],[Total sales]]-_xlfn.XLOOKUP(fSales[[#This Row],[ProductID]],dProduct[ProductID],dProduct[CrateCost])*fSales[[#This Row],[Units]]</f>
        <v>346.49999999999989</v>
      </c>
      <c r="M330">
        <f>(_xlfn.XLOOKUP(fSales[[#This Row],[ProductID]],dProduct[ProductID],dProduct[CratePrice])-_xlfn.XLOOKUP(fSales[[#This Row],[ProductID]],dProduct[ProductID],dProduct[CrateCost]))/_xlfn.XLOOKUP(fSales[[#This Row],[ProductID]],dProduct[ProductID],dProduct[CratePrice])</f>
        <v>0.3299999999999999</v>
      </c>
      <c r="N330" t="str">
        <f>_xlfn.XLOOKUP(fSales[[#This Row],[SalesRepID]],dPSalesRep[SalesRepID],dPSalesRep[SalesRep])</f>
        <v>Sioux Best</v>
      </c>
      <c r="O330" t="str">
        <f>_xlfn.XLOOKUP(fSales[[#This Row],[SalesRepID]],dPSalesRep[SalesRepID],dPSalesRep[Region])</f>
        <v>West</v>
      </c>
      <c r="P330" t="str">
        <f>_xlfn.XLOOKUP(fSales[[#This Row],[ProductID]],dProduct[ProductID],dProduct[Product])</f>
        <v>Banana</v>
      </c>
      <c r="Q330">
        <f>_xlfn.XLOOKUP(fSales[[#This Row],[ProductID]],dProduct[ProductID],dProduct[CratePrice])-_xlfn.XLOOKUP(fSales[[#This Row],[ProductID]],dProduct[ProductID],dProduct[CrateCost])</f>
        <v>5.7749999999999986</v>
      </c>
      <c r="R330">
        <f>_xlfn.XLOOKUP(fSales[[#This Row],[ProductID]],dProduct[ProductID],dProduct[CratePrice])</f>
        <v>17.5</v>
      </c>
      <c r="S330">
        <f>_xlfn.XLOOKUP(fSales[[#This Row],[ProductID]],dProduct[ProductID],dProduct[CrateCost])</f>
        <v>11.725000000000001</v>
      </c>
    </row>
    <row r="331" spans="7:19" x14ac:dyDescent="0.25">
      <c r="G331" s="2">
        <v>45526</v>
      </c>
      <c r="H331">
        <v>228</v>
      </c>
      <c r="I331" t="s">
        <v>26</v>
      </c>
      <c r="J331" t="s">
        <v>37</v>
      </c>
      <c r="K331">
        <f>_xlfn.XLOOKUP(fSales[[#This Row],[ProductID]],dProduct[ProductID],dProduct[CratePrice])*fSales[[#This Row],[Units]]</f>
        <v>6783</v>
      </c>
      <c r="L331">
        <f>fSales[[#This Row],[Total sales]]-_xlfn.XLOOKUP(fSales[[#This Row],[ProductID]],dProduct[ProductID],dProduct[CrateCost])*fSales[[#This Row],[Units]]</f>
        <v>2848.86</v>
      </c>
      <c r="M331">
        <f>(_xlfn.XLOOKUP(fSales[[#This Row],[ProductID]],dProduct[ProductID],dProduct[CratePrice])-_xlfn.XLOOKUP(fSales[[#This Row],[ProductID]],dProduct[ProductID],dProduct[CrateCost]))/_xlfn.XLOOKUP(fSales[[#This Row],[ProductID]],dProduct[ProductID],dProduct[CratePrice])</f>
        <v>0.42000000000000004</v>
      </c>
      <c r="N331" t="str">
        <f>_xlfn.XLOOKUP(fSales[[#This Row],[SalesRepID]],dPSalesRep[SalesRepID],dPSalesRep[SalesRep])</f>
        <v>Chantel Mims</v>
      </c>
      <c r="O331" t="str">
        <f>_xlfn.XLOOKUP(fSales[[#This Row],[SalesRepID]],dPSalesRep[SalesRepID],dPSalesRep[Region])</f>
        <v>NW</v>
      </c>
      <c r="P331" t="str">
        <f>_xlfn.XLOOKUP(fSales[[#This Row],[ProductID]],dProduct[ProductID],dProduct[Product])</f>
        <v>Orange</v>
      </c>
      <c r="Q331">
        <f>_xlfn.XLOOKUP(fSales[[#This Row],[ProductID]],dProduct[ProductID],dProduct[CratePrice])-_xlfn.XLOOKUP(fSales[[#This Row],[ProductID]],dProduct[ProductID],dProduct[CrateCost])</f>
        <v>12.495000000000001</v>
      </c>
      <c r="R331">
        <f>_xlfn.XLOOKUP(fSales[[#This Row],[ProductID]],dProduct[ProductID],dProduct[CratePrice])</f>
        <v>29.75</v>
      </c>
      <c r="S331">
        <f>_xlfn.XLOOKUP(fSales[[#This Row],[ProductID]],dProduct[ProductID],dProduct[CrateCost])</f>
        <v>17.254999999999999</v>
      </c>
    </row>
    <row r="332" spans="7:19" x14ac:dyDescent="0.25">
      <c r="G332" s="2">
        <v>45527</v>
      </c>
      <c r="H332">
        <v>36</v>
      </c>
      <c r="I332" t="s">
        <v>34</v>
      </c>
      <c r="J332" t="s">
        <v>37</v>
      </c>
      <c r="K332">
        <f>_xlfn.XLOOKUP(fSales[[#This Row],[ProductID]],dProduct[ProductID],dProduct[CratePrice])*fSales[[#This Row],[Units]]</f>
        <v>630</v>
      </c>
      <c r="L332">
        <f>fSales[[#This Row],[Total sales]]-_xlfn.XLOOKUP(fSales[[#This Row],[ProductID]],dProduct[ProductID],dProduct[CrateCost])*fSales[[#This Row],[Units]]</f>
        <v>207.89999999999998</v>
      </c>
      <c r="M332">
        <f>(_xlfn.XLOOKUP(fSales[[#This Row],[ProductID]],dProduct[ProductID],dProduct[CratePrice])-_xlfn.XLOOKUP(fSales[[#This Row],[ProductID]],dProduct[ProductID],dProduct[CrateCost]))/_xlfn.XLOOKUP(fSales[[#This Row],[ProductID]],dProduct[ProductID],dProduct[CratePrice])</f>
        <v>0.3299999999999999</v>
      </c>
      <c r="N332" t="str">
        <f>_xlfn.XLOOKUP(fSales[[#This Row],[SalesRepID]],dPSalesRep[SalesRepID],dPSalesRep[SalesRep])</f>
        <v>Chantel Mims</v>
      </c>
      <c r="O332" t="str">
        <f>_xlfn.XLOOKUP(fSales[[#This Row],[SalesRepID]],dPSalesRep[SalesRepID],dPSalesRep[Region])</f>
        <v>NW</v>
      </c>
      <c r="P332" t="str">
        <f>_xlfn.XLOOKUP(fSales[[#This Row],[ProductID]],dProduct[ProductID],dProduct[Product])</f>
        <v>Banana</v>
      </c>
      <c r="Q332">
        <f>_xlfn.XLOOKUP(fSales[[#This Row],[ProductID]],dProduct[ProductID],dProduct[CratePrice])-_xlfn.XLOOKUP(fSales[[#This Row],[ProductID]],dProduct[ProductID],dProduct[CrateCost])</f>
        <v>5.7749999999999986</v>
      </c>
      <c r="R332">
        <f>_xlfn.XLOOKUP(fSales[[#This Row],[ProductID]],dProduct[ProductID],dProduct[CratePrice])</f>
        <v>17.5</v>
      </c>
      <c r="S332">
        <f>_xlfn.XLOOKUP(fSales[[#This Row],[ProductID]],dProduct[ProductID],dProduct[CrateCost])</f>
        <v>11.725000000000001</v>
      </c>
    </row>
    <row r="333" spans="7:19" x14ac:dyDescent="0.25">
      <c r="G333" s="2">
        <v>45527</v>
      </c>
      <c r="H333">
        <v>168</v>
      </c>
      <c r="I333" t="s">
        <v>28</v>
      </c>
      <c r="J333" t="s">
        <v>22</v>
      </c>
      <c r="K333">
        <f>_xlfn.XLOOKUP(fSales[[#This Row],[ProductID]],dProduct[ProductID],dProduct[CratePrice])*fSales[[#This Row],[Units]]</f>
        <v>7341.6</v>
      </c>
      <c r="L333">
        <f>fSales[[#This Row],[Total sales]]-_xlfn.XLOOKUP(fSales[[#This Row],[ProductID]],dProduct[ProductID],dProduct[CrateCost])*fSales[[#This Row],[Units]]</f>
        <v>3083.4720000000007</v>
      </c>
      <c r="M333">
        <f>(_xlfn.XLOOKUP(fSales[[#This Row],[ProductID]],dProduct[ProductID],dProduct[CratePrice])-_xlfn.XLOOKUP(fSales[[#This Row],[ProductID]],dProduct[ProductID],dProduct[CrateCost]))/_xlfn.XLOOKUP(fSales[[#This Row],[ProductID]],dProduct[ProductID],dProduct[CratePrice])</f>
        <v>0.42000000000000004</v>
      </c>
      <c r="N333" t="str">
        <f>_xlfn.XLOOKUP(fSales[[#This Row],[SalesRepID]],dPSalesRep[SalesRepID],dPSalesRep[SalesRep])</f>
        <v>Timmy Kips</v>
      </c>
      <c r="O333" t="str">
        <f>_xlfn.XLOOKUP(fSales[[#This Row],[SalesRepID]],dPSalesRep[SalesRepID],dPSalesRep[Region])</f>
        <v>East</v>
      </c>
      <c r="P333" t="str">
        <f>_xlfn.XLOOKUP(fSales[[#This Row],[ProductID]],dProduct[ProductID],dProduct[Product])</f>
        <v>Cherry</v>
      </c>
      <c r="Q333">
        <f>_xlfn.XLOOKUP(fSales[[#This Row],[ProductID]],dProduct[ProductID],dProduct[CratePrice])-_xlfn.XLOOKUP(fSales[[#This Row],[ProductID]],dProduct[ProductID],dProduct[CrateCost])</f>
        <v>18.354000000000003</v>
      </c>
      <c r="R333">
        <f>_xlfn.XLOOKUP(fSales[[#This Row],[ProductID]],dProduct[ProductID],dProduct[CratePrice])</f>
        <v>43.7</v>
      </c>
      <c r="S333">
        <f>_xlfn.XLOOKUP(fSales[[#This Row],[ProductID]],dProduct[ProductID],dProduct[CrateCost])</f>
        <v>25.346</v>
      </c>
    </row>
    <row r="334" spans="7:19" x14ac:dyDescent="0.25">
      <c r="G334" s="2">
        <v>45527</v>
      </c>
      <c r="H334">
        <v>180</v>
      </c>
      <c r="I334" t="s">
        <v>34</v>
      </c>
      <c r="J334" t="s">
        <v>37</v>
      </c>
      <c r="K334">
        <f>_xlfn.XLOOKUP(fSales[[#This Row],[ProductID]],dProduct[ProductID],dProduct[CratePrice])*fSales[[#This Row],[Units]]</f>
        <v>3150</v>
      </c>
      <c r="L334">
        <f>fSales[[#This Row],[Total sales]]-_xlfn.XLOOKUP(fSales[[#This Row],[ProductID]],dProduct[ProductID],dProduct[CrateCost])*fSales[[#This Row],[Units]]</f>
        <v>1039.4999999999995</v>
      </c>
      <c r="M334">
        <f>(_xlfn.XLOOKUP(fSales[[#This Row],[ProductID]],dProduct[ProductID],dProduct[CratePrice])-_xlfn.XLOOKUP(fSales[[#This Row],[ProductID]],dProduct[ProductID],dProduct[CrateCost]))/_xlfn.XLOOKUP(fSales[[#This Row],[ProductID]],dProduct[ProductID],dProduct[CratePrice])</f>
        <v>0.3299999999999999</v>
      </c>
      <c r="N334" t="str">
        <f>_xlfn.XLOOKUP(fSales[[#This Row],[SalesRepID]],dPSalesRep[SalesRepID],dPSalesRep[SalesRep])</f>
        <v>Chantel Mims</v>
      </c>
      <c r="O334" t="str">
        <f>_xlfn.XLOOKUP(fSales[[#This Row],[SalesRepID]],dPSalesRep[SalesRepID],dPSalesRep[Region])</f>
        <v>NW</v>
      </c>
      <c r="P334" t="str">
        <f>_xlfn.XLOOKUP(fSales[[#This Row],[ProductID]],dProduct[ProductID],dProduct[Product])</f>
        <v>Banana</v>
      </c>
      <c r="Q334">
        <f>_xlfn.XLOOKUP(fSales[[#This Row],[ProductID]],dProduct[ProductID],dProduct[CratePrice])-_xlfn.XLOOKUP(fSales[[#This Row],[ProductID]],dProduct[ProductID],dProduct[CrateCost])</f>
        <v>5.7749999999999986</v>
      </c>
      <c r="R334">
        <f>_xlfn.XLOOKUP(fSales[[#This Row],[ProductID]],dProduct[ProductID],dProduct[CratePrice])</f>
        <v>17.5</v>
      </c>
      <c r="S334">
        <f>_xlfn.XLOOKUP(fSales[[#This Row],[ProductID]],dProduct[ProductID],dProduct[CrateCost])</f>
        <v>11.725000000000001</v>
      </c>
    </row>
    <row r="335" spans="7:19" x14ac:dyDescent="0.25">
      <c r="G335" s="2">
        <v>45527</v>
      </c>
      <c r="H335">
        <v>276</v>
      </c>
      <c r="I335" t="s">
        <v>19</v>
      </c>
      <c r="J335" t="s">
        <v>32</v>
      </c>
      <c r="K335">
        <f>_xlfn.XLOOKUP(fSales[[#This Row],[ProductID]],dProduct[ProductID],dProduct[CratePrice])*fSales[[#This Row],[Units]]</f>
        <v>9660</v>
      </c>
      <c r="L335">
        <f>fSales[[#This Row],[Total sales]]-_xlfn.XLOOKUP(fSales[[#This Row],[ProductID]],dProduct[ProductID],dProduct[CrateCost])*fSales[[#This Row],[Units]]</f>
        <v>5409.5999999999995</v>
      </c>
      <c r="M335">
        <f>(_xlfn.XLOOKUP(fSales[[#This Row],[ProductID]],dProduct[ProductID],dProduct[CratePrice])-_xlfn.XLOOKUP(fSales[[#This Row],[ProductID]],dProduct[ProductID],dProduct[CrateCost]))/_xlfn.XLOOKUP(fSales[[#This Row],[ProductID]],dProduct[ProductID],dProduct[CratePrice])</f>
        <v>0.56000000000000005</v>
      </c>
      <c r="N335" t="str">
        <f>_xlfn.XLOOKUP(fSales[[#This Row],[SalesRepID]],dPSalesRep[SalesRepID],dPSalesRep[SalesRep])</f>
        <v>Shihara Fazzaa</v>
      </c>
      <c r="O335" t="str">
        <f>_xlfn.XLOOKUP(fSales[[#This Row],[SalesRepID]],dPSalesRep[SalesRepID],dPSalesRep[Region])</f>
        <v>East</v>
      </c>
      <c r="P335" t="str">
        <f>_xlfn.XLOOKUP(fSales[[#This Row],[ProductID]],dProduct[ProductID],dProduct[Product])</f>
        <v>Apple</v>
      </c>
      <c r="Q335">
        <f>_xlfn.XLOOKUP(fSales[[#This Row],[ProductID]],dProduct[ProductID],dProduct[CratePrice])-_xlfn.XLOOKUP(fSales[[#This Row],[ProductID]],dProduct[ProductID],dProduct[CrateCost])</f>
        <v>19.600000000000001</v>
      </c>
      <c r="R335">
        <f>_xlfn.XLOOKUP(fSales[[#This Row],[ProductID]],dProduct[ProductID],dProduct[CratePrice])</f>
        <v>35</v>
      </c>
      <c r="S335">
        <f>_xlfn.XLOOKUP(fSales[[#This Row],[ProductID]],dProduct[ProductID],dProduct[CrateCost])</f>
        <v>15.4</v>
      </c>
    </row>
    <row r="336" spans="7:19" x14ac:dyDescent="0.25">
      <c r="G336" s="2">
        <v>45527</v>
      </c>
      <c r="H336">
        <v>72</v>
      </c>
      <c r="I336" t="s">
        <v>19</v>
      </c>
      <c r="J336" t="s">
        <v>37</v>
      </c>
      <c r="K336">
        <f>_xlfn.XLOOKUP(fSales[[#This Row],[ProductID]],dProduct[ProductID],dProduct[CratePrice])*fSales[[#This Row],[Units]]</f>
        <v>2520</v>
      </c>
      <c r="L336">
        <f>fSales[[#This Row],[Total sales]]-_xlfn.XLOOKUP(fSales[[#This Row],[ProductID]],dProduct[ProductID],dProduct[CrateCost])*fSales[[#This Row],[Units]]</f>
        <v>1411.2</v>
      </c>
      <c r="M336">
        <f>(_xlfn.XLOOKUP(fSales[[#This Row],[ProductID]],dProduct[ProductID],dProduct[CratePrice])-_xlfn.XLOOKUP(fSales[[#This Row],[ProductID]],dProduct[ProductID],dProduct[CrateCost]))/_xlfn.XLOOKUP(fSales[[#This Row],[ProductID]],dProduct[ProductID],dProduct[CratePrice])</f>
        <v>0.56000000000000005</v>
      </c>
      <c r="N336" t="str">
        <f>_xlfn.XLOOKUP(fSales[[#This Row],[SalesRepID]],dPSalesRep[SalesRepID],dPSalesRep[SalesRep])</f>
        <v>Chantel Mims</v>
      </c>
      <c r="O336" t="str">
        <f>_xlfn.XLOOKUP(fSales[[#This Row],[SalesRepID]],dPSalesRep[SalesRepID],dPSalesRep[Region])</f>
        <v>NW</v>
      </c>
      <c r="P336" t="str">
        <f>_xlfn.XLOOKUP(fSales[[#This Row],[ProductID]],dProduct[ProductID],dProduct[Product])</f>
        <v>Apple</v>
      </c>
      <c r="Q336">
        <f>_xlfn.XLOOKUP(fSales[[#This Row],[ProductID]],dProduct[ProductID],dProduct[CratePrice])-_xlfn.XLOOKUP(fSales[[#This Row],[ProductID]],dProduct[ProductID],dProduct[CrateCost])</f>
        <v>19.600000000000001</v>
      </c>
      <c r="R336">
        <f>_xlfn.XLOOKUP(fSales[[#This Row],[ProductID]],dProduct[ProductID],dProduct[CratePrice])</f>
        <v>35</v>
      </c>
      <c r="S336">
        <f>_xlfn.XLOOKUP(fSales[[#This Row],[ProductID]],dProduct[ProductID],dProduct[CrateCost])</f>
        <v>15.4</v>
      </c>
    </row>
    <row r="337" spans="7:19" x14ac:dyDescent="0.25">
      <c r="G337" s="2">
        <v>45528</v>
      </c>
      <c r="H337">
        <v>24</v>
      </c>
      <c r="I337" t="s">
        <v>34</v>
      </c>
      <c r="J337" t="s">
        <v>22</v>
      </c>
      <c r="K337">
        <f>_xlfn.XLOOKUP(fSales[[#This Row],[ProductID]],dProduct[ProductID],dProduct[CratePrice])*fSales[[#This Row],[Units]]</f>
        <v>420</v>
      </c>
      <c r="L337">
        <f>fSales[[#This Row],[Total sales]]-_xlfn.XLOOKUP(fSales[[#This Row],[ProductID]],dProduct[ProductID],dProduct[CrateCost])*fSales[[#This Row],[Units]]</f>
        <v>138.59999999999997</v>
      </c>
      <c r="M337">
        <f>(_xlfn.XLOOKUP(fSales[[#This Row],[ProductID]],dProduct[ProductID],dProduct[CratePrice])-_xlfn.XLOOKUP(fSales[[#This Row],[ProductID]],dProduct[ProductID],dProduct[CrateCost]))/_xlfn.XLOOKUP(fSales[[#This Row],[ProductID]],dProduct[ProductID],dProduct[CratePrice])</f>
        <v>0.3299999999999999</v>
      </c>
      <c r="N337" t="str">
        <f>_xlfn.XLOOKUP(fSales[[#This Row],[SalesRepID]],dPSalesRep[SalesRepID],dPSalesRep[SalesRep])</f>
        <v>Timmy Kips</v>
      </c>
      <c r="O337" t="str">
        <f>_xlfn.XLOOKUP(fSales[[#This Row],[SalesRepID]],dPSalesRep[SalesRepID],dPSalesRep[Region])</f>
        <v>East</v>
      </c>
      <c r="P337" t="str">
        <f>_xlfn.XLOOKUP(fSales[[#This Row],[ProductID]],dProduct[ProductID],dProduct[Product])</f>
        <v>Banana</v>
      </c>
      <c r="Q337">
        <f>_xlfn.XLOOKUP(fSales[[#This Row],[ProductID]],dProduct[ProductID],dProduct[CratePrice])-_xlfn.XLOOKUP(fSales[[#This Row],[ProductID]],dProduct[ProductID],dProduct[CrateCost])</f>
        <v>5.7749999999999986</v>
      </c>
      <c r="R337">
        <f>_xlfn.XLOOKUP(fSales[[#This Row],[ProductID]],dProduct[ProductID],dProduct[CratePrice])</f>
        <v>17.5</v>
      </c>
      <c r="S337">
        <f>_xlfn.XLOOKUP(fSales[[#This Row],[ProductID]],dProduct[ProductID],dProduct[CrateCost])</f>
        <v>11.725000000000001</v>
      </c>
    </row>
    <row r="338" spans="7:19" x14ac:dyDescent="0.25">
      <c r="G338" s="2">
        <v>45529</v>
      </c>
      <c r="H338">
        <v>60</v>
      </c>
      <c r="I338" t="s">
        <v>21</v>
      </c>
      <c r="J338" t="s">
        <v>22</v>
      </c>
      <c r="K338">
        <f>_xlfn.XLOOKUP(fSales[[#This Row],[ProductID]],dProduct[ProductID],dProduct[CratePrice])*fSales[[#This Row],[Units]]</f>
        <v>1350</v>
      </c>
      <c r="L338">
        <f>fSales[[#This Row],[Total sales]]-_xlfn.XLOOKUP(fSales[[#This Row],[ProductID]],dProduct[ProductID],dProduct[CrateCost])*fSales[[#This Row],[Units]]</f>
        <v>593.99999999999989</v>
      </c>
      <c r="M338">
        <f>(_xlfn.XLOOKUP(fSales[[#This Row],[ProductID]],dProduct[ProductID],dProduct[CratePrice])-_xlfn.XLOOKUP(fSales[[#This Row],[ProductID]],dProduct[ProductID],dProduct[CrateCost]))/_xlfn.XLOOKUP(fSales[[#This Row],[ProductID]],dProduct[ProductID],dProduct[CratePrice])</f>
        <v>0.43999999999999995</v>
      </c>
      <c r="N338" t="str">
        <f>_xlfn.XLOOKUP(fSales[[#This Row],[SalesRepID]],dPSalesRep[SalesRepID],dPSalesRep[SalesRep])</f>
        <v>Timmy Kips</v>
      </c>
      <c r="O338" t="str">
        <f>_xlfn.XLOOKUP(fSales[[#This Row],[SalesRepID]],dPSalesRep[SalesRepID],dPSalesRep[Region])</f>
        <v>East</v>
      </c>
      <c r="P338" t="str">
        <f>_xlfn.XLOOKUP(fSales[[#This Row],[ProductID]],dProduct[ProductID],dProduct[Product])</f>
        <v>Kiwi</v>
      </c>
      <c r="Q338">
        <f>_xlfn.XLOOKUP(fSales[[#This Row],[ProductID]],dProduct[ProductID],dProduct[CratePrice])-_xlfn.XLOOKUP(fSales[[#This Row],[ProductID]],dProduct[ProductID],dProduct[CrateCost])</f>
        <v>9.8999999999999986</v>
      </c>
      <c r="R338">
        <f>_xlfn.XLOOKUP(fSales[[#This Row],[ProductID]],dProduct[ProductID],dProduct[CratePrice])</f>
        <v>22.5</v>
      </c>
      <c r="S338">
        <f>_xlfn.XLOOKUP(fSales[[#This Row],[ProductID]],dProduct[ProductID],dProduct[CrateCost])</f>
        <v>12.600000000000001</v>
      </c>
    </row>
    <row r="339" spans="7:19" x14ac:dyDescent="0.25">
      <c r="G339" s="2">
        <v>45530</v>
      </c>
      <c r="H339">
        <v>108</v>
      </c>
      <c r="I339" t="s">
        <v>19</v>
      </c>
      <c r="J339" t="s">
        <v>32</v>
      </c>
      <c r="K339">
        <f>_xlfn.XLOOKUP(fSales[[#This Row],[ProductID]],dProduct[ProductID],dProduct[CratePrice])*fSales[[#This Row],[Units]]</f>
        <v>3780</v>
      </c>
      <c r="L339">
        <f>fSales[[#This Row],[Total sales]]-_xlfn.XLOOKUP(fSales[[#This Row],[ProductID]],dProduct[ProductID],dProduct[CrateCost])*fSales[[#This Row],[Units]]</f>
        <v>2116.8000000000002</v>
      </c>
      <c r="M339">
        <f>(_xlfn.XLOOKUP(fSales[[#This Row],[ProductID]],dProduct[ProductID],dProduct[CratePrice])-_xlfn.XLOOKUP(fSales[[#This Row],[ProductID]],dProduct[ProductID],dProduct[CrateCost]))/_xlfn.XLOOKUP(fSales[[#This Row],[ProductID]],dProduct[ProductID],dProduct[CratePrice])</f>
        <v>0.56000000000000005</v>
      </c>
      <c r="N339" t="str">
        <f>_xlfn.XLOOKUP(fSales[[#This Row],[SalesRepID]],dPSalesRep[SalesRepID],dPSalesRep[SalesRep])</f>
        <v>Shihara Fazzaa</v>
      </c>
      <c r="O339" t="str">
        <f>_xlfn.XLOOKUP(fSales[[#This Row],[SalesRepID]],dPSalesRep[SalesRepID],dPSalesRep[Region])</f>
        <v>East</v>
      </c>
      <c r="P339" t="str">
        <f>_xlfn.XLOOKUP(fSales[[#This Row],[ProductID]],dProduct[ProductID],dProduct[Product])</f>
        <v>Apple</v>
      </c>
      <c r="Q339">
        <f>_xlfn.XLOOKUP(fSales[[#This Row],[ProductID]],dProduct[ProductID],dProduct[CratePrice])-_xlfn.XLOOKUP(fSales[[#This Row],[ProductID]],dProduct[ProductID],dProduct[CrateCost])</f>
        <v>19.600000000000001</v>
      </c>
      <c r="R339">
        <f>_xlfn.XLOOKUP(fSales[[#This Row],[ProductID]],dProduct[ProductID],dProduct[CratePrice])</f>
        <v>35</v>
      </c>
      <c r="S339">
        <f>_xlfn.XLOOKUP(fSales[[#This Row],[ProductID]],dProduct[ProductID],dProduct[CrateCost])</f>
        <v>15.4</v>
      </c>
    </row>
    <row r="340" spans="7:19" x14ac:dyDescent="0.25">
      <c r="G340" s="2">
        <v>45530</v>
      </c>
      <c r="H340">
        <v>264</v>
      </c>
      <c r="I340" t="s">
        <v>26</v>
      </c>
      <c r="J340" t="s">
        <v>52</v>
      </c>
      <c r="K340">
        <f>_xlfn.XLOOKUP(fSales[[#This Row],[ProductID]],dProduct[ProductID],dProduct[CratePrice])*fSales[[#This Row],[Units]]</f>
        <v>7854</v>
      </c>
      <c r="L340">
        <f>fSales[[#This Row],[Total sales]]-_xlfn.XLOOKUP(fSales[[#This Row],[ProductID]],dProduct[ProductID],dProduct[CrateCost])*fSales[[#This Row],[Units]]</f>
        <v>3298.6800000000003</v>
      </c>
      <c r="M340">
        <f>(_xlfn.XLOOKUP(fSales[[#This Row],[ProductID]],dProduct[ProductID],dProduct[CratePrice])-_xlfn.XLOOKUP(fSales[[#This Row],[ProductID]],dProduct[ProductID],dProduct[CrateCost]))/_xlfn.XLOOKUP(fSales[[#This Row],[ProductID]],dProduct[ProductID],dProduct[CratePrice])</f>
        <v>0.42000000000000004</v>
      </c>
      <c r="N340" t="str">
        <f>_xlfn.XLOOKUP(fSales[[#This Row],[SalesRepID]],dPSalesRep[SalesRepID],dPSalesRep[SalesRep])</f>
        <v>Smitty Rad</v>
      </c>
      <c r="O340" t="str">
        <f>_xlfn.XLOOKUP(fSales[[#This Row],[SalesRepID]],dPSalesRep[SalesRepID],dPSalesRep[Region])</f>
        <v>MidWest</v>
      </c>
      <c r="P340" t="str">
        <f>_xlfn.XLOOKUP(fSales[[#This Row],[ProductID]],dProduct[ProductID],dProduct[Product])</f>
        <v>Orange</v>
      </c>
      <c r="Q340">
        <f>_xlfn.XLOOKUP(fSales[[#This Row],[ProductID]],dProduct[ProductID],dProduct[CratePrice])-_xlfn.XLOOKUP(fSales[[#This Row],[ProductID]],dProduct[ProductID],dProduct[CrateCost])</f>
        <v>12.495000000000001</v>
      </c>
      <c r="R340">
        <f>_xlfn.XLOOKUP(fSales[[#This Row],[ProductID]],dProduct[ProductID],dProduct[CratePrice])</f>
        <v>29.75</v>
      </c>
      <c r="S340">
        <f>_xlfn.XLOOKUP(fSales[[#This Row],[ProductID]],dProduct[ProductID],dProduct[CrateCost])</f>
        <v>17.254999999999999</v>
      </c>
    </row>
    <row r="341" spans="7:19" x14ac:dyDescent="0.25">
      <c r="G341" s="2">
        <v>45533</v>
      </c>
      <c r="H341">
        <v>132</v>
      </c>
      <c r="I341" t="s">
        <v>34</v>
      </c>
      <c r="J341" t="s">
        <v>32</v>
      </c>
      <c r="K341">
        <f>_xlfn.XLOOKUP(fSales[[#This Row],[ProductID]],dProduct[ProductID],dProduct[CratePrice])*fSales[[#This Row],[Units]]</f>
        <v>2310</v>
      </c>
      <c r="L341">
        <f>fSales[[#This Row],[Total sales]]-_xlfn.XLOOKUP(fSales[[#This Row],[ProductID]],dProduct[ProductID],dProduct[CrateCost])*fSales[[#This Row],[Units]]</f>
        <v>762.29999999999973</v>
      </c>
      <c r="M341">
        <f>(_xlfn.XLOOKUP(fSales[[#This Row],[ProductID]],dProduct[ProductID],dProduct[CratePrice])-_xlfn.XLOOKUP(fSales[[#This Row],[ProductID]],dProduct[ProductID],dProduct[CrateCost]))/_xlfn.XLOOKUP(fSales[[#This Row],[ProductID]],dProduct[ProductID],dProduct[CratePrice])</f>
        <v>0.3299999999999999</v>
      </c>
      <c r="N341" t="str">
        <f>_xlfn.XLOOKUP(fSales[[#This Row],[SalesRepID]],dPSalesRep[SalesRepID],dPSalesRep[SalesRep])</f>
        <v>Shihara Fazzaa</v>
      </c>
      <c r="O341" t="str">
        <f>_xlfn.XLOOKUP(fSales[[#This Row],[SalesRepID]],dPSalesRep[SalesRepID],dPSalesRep[Region])</f>
        <v>East</v>
      </c>
      <c r="P341" t="str">
        <f>_xlfn.XLOOKUP(fSales[[#This Row],[ProductID]],dProduct[ProductID],dProduct[Product])</f>
        <v>Banana</v>
      </c>
      <c r="Q341">
        <f>_xlfn.XLOOKUP(fSales[[#This Row],[ProductID]],dProduct[ProductID],dProduct[CratePrice])-_xlfn.XLOOKUP(fSales[[#This Row],[ProductID]],dProduct[ProductID],dProduct[CrateCost])</f>
        <v>5.7749999999999986</v>
      </c>
      <c r="R341">
        <f>_xlfn.XLOOKUP(fSales[[#This Row],[ProductID]],dProduct[ProductID],dProduct[CratePrice])</f>
        <v>17.5</v>
      </c>
      <c r="S341">
        <f>_xlfn.XLOOKUP(fSales[[#This Row],[ProductID]],dProduct[ProductID],dProduct[CrateCost])</f>
        <v>11.725000000000001</v>
      </c>
    </row>
    <row r="342" spans="7:19" x14ac:dyDescent="0.25">
      <c r="G342" s="2">
        <v>45534</v>
      </c>
      <c r="H342">
        <v>48</v>
      </c>
      <c r="I342" t="s">
        <v>19</v>
      </c>
      <c r="J342" t="s">
        <v>29</v>
      </c>
      <c r="K342">
        <f>_xlfn.XLOOKUP(fSales[[#This Row],[ProductID]],dProduct[ProductID],dProduct[CratePrice])*fSales[[#This Row],[Units]]</f>
        <v>1680</v>
      </c>
      <c r="L342">
        <f>fSales[[#This Row],[Total sales]]-_xlfn.XLOOKUP(fSales[[#This Row],[ProductID]],dProduct[ProductID],dProduct[CrateCost])*fSales[[#This Row],[Units]]</f>
        <v>940.8</v>
      </c>
      <c r="M342">
        <f>(_xlfn.XLOOKUP(fSales[[#This Row],[ProductID]],dProduct[ProductID],dProduct[CratePrice])-_xlfn.XLOOKUP(fSales[[#This Row],[ProductID]],dProduct[ProductID],dProduct[CrateCost]))/_xlfn.XLOOKUP(fSales[[#This Row],[ProductID]],dProduct[ProductID],dProduct[CratePrice])</f>
        <v>0.56000000000000005</v>
      </c>
      <c r="N342" t="str">
        <f>_xlfn.XLOOKUP(fSales[[#This Row],[SalesRepID]],dPSalesRep[SalesRepID],dPSalesRep[SalesRep])</f>
        <v>Sioux Best</v>
      </c>
      <c r="O342" t="str">
        <f>_xlfn.XLOOKUP(fSales[[#This Row],[SalesRepID]],dPSalesRep[SalesRepID],dPSalesRep[Region])</f>
        <v>West</v>
      </c>
      <c r="P342" t="str">
        <f>_xlfn.XLOOKUP(fSales[[#This Row],[ProductID]],dProduct[ProductID],dProduct[Product])</f>
        <v>Apple</v>
      </c>
      <c r="Q342">
        <f>_xlfn.XLOOKUP(fSales[[#This Row],[ProductID]],dProduct[ProductID],dProduct[CratePrice])-_xlfn.XLOOKUP(fSales[[#This Row],[ProductID]],dProduct[ProductID],dProduct[CrateCost])</f>
        <v>19.600000000000001</v>
      </c>
      <c r="R342">
        <f>_xlfn.XLOOKUP(fSales[[#This Row],[ProductID]],dProduct[ProductID],dProduct[CratePrice])</f>
        <v>35</v>
      </c>
      <c r="S342">
        <f>_xlfn.XLOOKUP(fSales[[#This Row],[ProductID]],dProduct[ProductID],dProduct[CrateCost])</f>
        <v>15.4</v>
      </c>
    </row>
    <row r="343" spans="7:19" x14ac:dyDescent="0.25">
      <c r="G343" s="2">
        <v>45535</v>
      </c>
      <c r="H343">
        <v>252</v>
      </c>
      <c r="I343" t="s">
        <v>28</v>
      </c>
      <c r="J343" t="s">
        <v>29</v>
      </c>
      <c r="K343">
        <f>_xlfn.XLOOKUP(fSales[[#This Row],[ProductID]],dProduct[ProductID],dProduct[CratePrice])*fSales[[#This Row],[Units]]</f>
        <v>11012.400000000001</v>
      </c>
      <c r="L343">
        <f>fSales[[#This Row],[Total sales]]-_xlfn.XLOOKUP(fSales[[#This Row],[ProductID]],dProduct[ProductID],dProduct[CrateCost])*fSales[[#This Row],[Units]]</f>
        <v>4625.2080000000014</v>
      </c>
      <c r="M343">
        <f>(_xlfn.XLOOKUP(fSales[[#This Row],[ProductID]],dProduct[ProductID],dProduct[CratePrice])-_xlfn.XLOOKUP(fSales[[#This Row],[ProductID]],dProduct[ProductID],dProduct[CrateCost]))/_xlfn.XLOOKUP(fSales[[#This Row],[ProductID]],dProduct[ProductID],dProduct[CratePrice])</f>
        <v>0.42000000000000004</v>
      </c>
      <c r="N343" t="str">
        <f>_xlfn.XLOOKUP(fSales[[#This Row],[SalesRepID]],dPSalesRep[SalesRepID],dPSalesRep[SalesRep])</f>
        <v>Sioux Best</v>
      </c>
      <c r="O343" t="str">
        <f>_xlfn.XLOOKUP(fSales[[#This Row],[SalesRepID]],dPSalesRep[SalesRepID],dPSalesRep[Region])</f>
        <v>West</v>
      </c>
      <c r="P343" t="str">
        <f>_xlfn.XLOOKUP(fSales[[#This Row],[ProductID]],dProduct[ProductID],dProduct[Product])</f>
        <v>Cherry</v>
      </c>
      <c r="Q343">
        <f>_xlfn.XLOOKUP(fSales[[#This Row],[ProductID]],dProduct[ProductID],dProduct[CratePrice])-_xlfn.XLOOKUP(fSales[[#This Row],[ProductID]],dProduct[ProductID],dProduct[CrateCost])</f>
        <v>18.354000000000003</v>
      </c>
      <c r="R343">
        <f>_xlfn.XLOOKUP(fSales[[#This Row],[ProductID]],dProduct[ProductID],dProduct[CratePrice])</f>
        <v>43.7</v>
      </c>
      <c r="S343">
        <f>_xlfn.XLOOKUP(fSales[[#This Row],[ProductID]],dProduct[ProductID],dProduct[CrateCost])</f>
        <v>25.346</v>
      </c>
    </row>
    <row r="344" spans="7:19" x14ac:dyDescent="0.25">
      <c r="G344" s="2">
        <v>45535</v>
      </c>
      <c r="H344">
        <v>84</v>
      </c>
      <c r="I344" t="s">
        <v>34</v>
      </c>
      <c r="J344" t="s">
        <v>52</v>
      </c>
      <c r="K344">
        <f>_xlfn.XLOOKUP(fSales[[#This Row],[ProductID]],dProduct[ProductID],dProduct[CratePrice])*fSales[[#This Row],[Units]]</f>
        <v>1470</v>
      </c>
      <c r="L344">
        <f>fSales[[#This Row],[Total sales]]-_xlfn.XLOOKUP(fSales[[#This Row],[ProductID]],dProduct[ProductID],dProduct[CrateCost])*fSales[[#This Row],[Units]]</f>
        <v>485.09999999999991</v>
      </c>
      <c r="M344">
        <f>(_xlfn.XLOOKUP(fSales[[#This Row],[ProductID]],dProduct[ProductID],dProduct[CratePrice])-_xlfn.XLOOKUP(fSales[[#This Row],[ProductID]],dProduct[ProductID],dProduct[CrateCost]))/_xlfn.XLOOKUP(fSales[[#This Row],[ProductID]],dProduct[ProductID],dProduct[CratePrice])</f>
        <v>0.3299999999999999</v>
      </c>
      <c r="N344" t="str">
        <f>_xlfn.XLOOKUP(fSales[[#This Row],[SalesRepID]],dPSalesRep[SalesRepID],dPSalesRep[SalesRep])</f>
        <v>Smitty Rad</v>
      </c>
      <c r="O344" t="str">
        <f>_xlfn.XLOOKUP(fSales[[#This Row],[SalesRepID]],dPSalesRep[SalesRepID],dPSalesRep[Region])</f>
        <v>MidWest</v>
      </c>
      <c r="P344" t="str">
        <f>_xlfn.XLOOKUP(fSales[[#This Row],[ProductID]],dProduct[ProductID],dProduct[Product])</f>
        <v>Banana</v>
      </c>
      <c r="Q344">
        <f>_xlfn.XLOOKUP(fSales[[#This Row],[ProductID]],dProduct[ProductID],dProduct[CratePrice])-_xlfn.XLOOKUP(fSales[[#This Row],[ProductID]],dProduct[ProductID],dProduct[CrateCost])</f>
        <v>5.7749999999999986</v>
      </c>
      <c r="R344">
        <f>_xlfn.XLOOKUP(fSales[[#This Row],[ProductID]],dProduct[ProductID],dProduct[CratePrice])</f>
        <v>17.5</v>
      </c>
      <c r="S344">
        <f>_xlfn.XLOOKUP(fSales[[#This Row],[ProductID]],dProduct[ProductID],dProduct[CrateCost])</f>
        <v>11.725000000000001</v>
      </c>
    </row>
    <row r="345" spans="7:19" x14ac:dyDescent="0.25">
      <c r="G345" s="2">
        <v>45535</v>
      </c>
      <c r="H345">
        <v>48</v>
      </c>
      <c r="I345" t="s">
        <v>34</v>
      </c>
      <c r="J345" t="s">
        <v>29</v>
      </c>
      <c r="K345">
        <f>_xlfn.XLOOKUP(fSales[[#This Row],[ProductID]],dProduct[ProductID],dProduct[CratePrice])*fSales[[#This Row],[Units]]</f>
        <v>840</v>
      </c>
      <c r="L345">
        <f>fSales[[#This Row],[Total sales]]-_xlfn.XLOOKUP(fSales[[#This Row],[ProductID]],dProduct[ProductID],dProduct[CrateCost])*fSales[[#This Row],[Units]]</f>
        <v>277.19999999999993</v>
      </c>
      <c r="M345">
        <f>(_xlfn.XLOOKUP(fSales[[#This Row],[ProductID]],dProduct[ProductID],dProduct[CratePrice])-_xlfn.XLOOKUP(fSales[[#This Row],[ProductID]],dProduct[ProductID],dProduct[CrateCost]))/_xlfn.XLOOKUP(fSales[[#This Row],[ProductID]],dProduct[ProductID],dProduct[CratePrice])</f>
        <v>0.3299999999999999</v>
      </c>
      <c r="N345" t="str">
        <f>_xlfn.XLOOKUP(fSales[[#This Row],[SalesRepID]],dPSalesRep[SalesRepID],dPSalesRep[SalesRep])</f>
        <v>Sioux Best</v>
      </c>
      <c r="O345" t="str">
        <f>_xlfn.XLOOKUP(fSales[[#This Row],[SalesRepID]],dPSalesRep[SalesRepID],dPSalesRep[Region])</f>
        <v>West</v>
      </c>
      <c r="P345" t="str">
        <f>_xlfn.XLOOKUP(fSales[[#This Row],[ProductID]],dProduct[ProductID],dProduct[Product])</f>
        <v>Banana</v>
      </c>
      <c r="Q345">
        <f>_xlfn.XLOOKUP(fSales[[#This Row],[ProductID]],dProduct[ProductID],dProduct[CratePrice])-_xlfn.XLOOKUP(fSales[[#This Row],[ProductID]],dProduct[ProductID],dProduct[CrateCost])</f>
        <v>5.7749999999999986</v>
      </c>
      <c r="R345">
        <f>_xlfn.XLOOKUP(fSales[[#This Row],[ProductID]],dProduct[ProductID],dProduct[CratePrice])</f>
        <v>17.5</v>
      </c>
      <c r="S345">
        <f>_xlfn.XLOOKUP(fSales[[#This Row],[ProductID]],dProduct[ProductID],dProduct[CrateCost])</f>
        <v>11.725000000000001</v>
      </c>
    </row>
    <row r="346" spans="7:19" x14ac:dyDescent="0.25">
      <c r="G346" s="2">
        <v>45535</v>
      </c>
      <c r="H346">
        <v>204</v>
      </c>
      <c r="I346" t="s">
        <v>34</v>
      </c>
      <c r="J346" t="s">
        <v>22</v>
      </c>
      <c r="K346">
        <f>_xlfn.XLOOKUP(fSales[[#This Row],[ProductID]],dProduct[ProductID],dProduct[CratePrice])*fSales[[#This Row],[Units]]</f>
        <v>3570</v>
      </c>
      <c r="L346">
        <f>fSales[[#This Row],[Total sales]]-_xlfn.XLOOKUP(fSales[[#This Row],[ProductID]],dProduct[ProductID],dProduct[CrateCost])*fSales[[#This Row],[Units]]</f>
        <v>1178.0999999999999</v>
      </c>
      <c r="M346">
        <f>(_xlfn.XLOOKUP(fSales[[#This Row],[ProductID]],dProduct[ProductID],dProduct[CratePrice])-_xlfn.XLOOKUP(fSales[[#This Row],[ProductID]],dProduct[ProductID],dProduct[CrateCost]))/_xlfn.XLOOKUP(fSales[[#This Row],[ProductID]],dProduct[ProductID],dProduct[CratePrice])</f>
        <v>0.3299999999999999</v>
      </c>
      <c r="N346" t="str">
        <f>_xlfn.XLOOKUP(fSales[[#This Row],[SalesRepID]],dPSalesRep[SalesRepID],dPSalesRep[SalesRep])</f>
        <v>Timmy Kips</v>
      </c>
      <c r="O346" t="str">
        <f>_xlfn.XLOOKUP(fSales[[#This Row],[SalesRepID]],dPSalesRep[SalesRepID],dPSalesRep[Region])</f>
        <v>East</v>
      </c>
      <c r="P346" t="str">
        <f>_xlfn.XLOOKUP(fSales[[#This Row],[ProductID]],dProduct[ProductID],dProduct[Product])</f>
        <v>Banana</v>
      </c>
      <c r="Q346">
        <f>_xlfn.XLOOKUP(fSales[[#This Row],[ProductID]],dProduct[ProductID],dProduct[CratePrice])-_xlfn.XLOOKUP(fSales[[#This Row],[ProductID]],dProduct[ProductID],dProduct[CrateCost])</f>
        <v>5.7749999999999986</v>
      </c>
      <c r="R346">
        <f>_xlfn.XLOOKUP(fSales[[#This Row],[ProductID]],dProduct[ProductID],dProduct[CratePrice])</f>
        <v>17.5</v>
      </c>
      <c r="S346">
        <f>_xlfn.XLOOKUP(fSales[[#This Row],[ProductID]],dProduct[ProductID],dProduct[CrateCost])</f>
        <v>11.725000000000001</v>
      </c>
    </row>
    <row r="347" spans="7:19" x14ac:dyDescent="0.25">
      <c r="G347" s="2">
        <v>45535</v>
      </c>
      <c r="H347">
        <v>108</v>
      </c>
      <c r="I347" t="s">
        <v>26</v>
      </c>
      <c r="J347" t="s">
        <v>37</v>
      </c>
      <c r="K347">
        <f>_xlfn.XLOOKUP(fSales[[#This Row],[ProductID]],dProduct[ProductID],dProduct[CratePrice])*fSales[[#This Row],[Units]]</f>
        <v>3213</v>
      </c>
      <c r="L347">
        <f>fSales[[#This Row],[Total sales]]-_xlfn.XLOOKUP(fSales[[#This Row],[ProductID]],dProduct[ProductID],dProduct[CrateCost])*fSales[[#This Row],[Units]]</f>
        <v>1349.46</v>
      </c>
      <c r="M347">
        <f>(_xlfn.XLOOKUP(fSales[[#This Row],[ProductID]],dProduct[ProductID],dProduct[CratePrice])-_xlfn.XLOOKUP(fSales[[#This Row],[ProductID]],dProduct[ProductID],dProduct[CrateCost]))/_xlfn.XLOOKUP(fSales[[#This Row],[ProductID]],dProduct[ProductID],dProduct[CratePrice])</f>
        <v>0.42000000000000004</v>
      </c>
      <c r="N347" t="str">
        <f>_xlfn.XLOOKUP(fSales[[#This Row],[SalesRepID]],dPSalesRep[SalesRepID],dPSalesRep[SalesRep])</f>
        <v>Chantel Mims</v>
      </c>
      <c r="O347" t="str">
        <f>_xlfn.XLOOKUP(fSales[[#This Row],[SalesRepID]],dPSalesRep[SalesRepID],dPSalesRep[Region])</f>
        <v>NW</v>
      </c>
      <c r="P347" t="str">
        <f>_xlfn.XLOOKUP(fSales[[#This Row],[ProductID]],dProduct[ProductID],dProduct[Product])</f>
        <v>Orange</v>
      </c>
      <c r="Q347">
        <f>_xlfn.XLOOKUP(fSales[[#This Row],[ProductID]],dProduct[ProductID],dProduct[CratePrice])-_xlfn.XLOOKUP(fSales[[#This Row],[ProductID]],dProduct[ProductID],dProduct[CrateCost])</f>
        <v>12.495000000000001</v>
      </c>
      <c r="R347">
        <f>_xlfn.XLOOKUP(fSales[[#This Row],[ProductID]],dProduct[ProductID],dProduct[CratePrice])</f>
        <v>29.75</v>
      </c>
      <c r="S347">
        <f>_xlfn.XLOOKUP(fSales[[#This Row],[ProductID]],dProduct[ProductID],dProduct[CrateCost])</f>
        <v>17.254999999999999</v>
      </c>
    </row>
    <row r="348" spans="7:19" x14ac:dyDescent="0.25">
      <c r="G348" s="2">
        <v>45536</v>
      </c>
      <c r="H348">
        <v>288</v>
      </c>
      <c r="I348" t="s">
        <v>26</v>
      </c>
      <c r="J348" t="s">
        <v>29</v>
      </c>
      <c r="K348">
        <f>_xlfn.XLOOKUP(fSales[[#This Row],[ProductID]],dProduct[ProductID],dProduct[CratePrice])*fSales[[#This Row],[Units]]</f>
        <v>8568</v>
      </c>
      <c r="L348">
        <f>fSales[[#This Row],[Total sales]]-_xlfn.XLOOKUP(fSales[[#This Row],[ProductID]],dProduct[ProductID],dProduct[CrateCost])*fSales[[#This Row],[Units]]</f>
        <v>3598.5600000000004</v>
      </c>
      <c r="M348">
        <f>(_xlfn.XLOOKUP(fSales[[#This Row],[ProductID]],dProduct[ProductID],dProduct[CratePrice])-_xlfn.XLOOKUP(fSales[[#This Row],[ProductID]],dProduct[ProductID],dProduct[CrateCost]))/_xlfn.XLOOKUP(fSales[[#This Row],[ProductID]],dProduct[ProductID],dProduct[CratePrice])</f>
        <v>0.42000000000000004</v>
      </c>
      <c r="N348" t="str">
        <f>_xlfn.XLOOKUP(fSales[[#This Row],[SalesRepID]],dPSalesRep[SalesRepID],dPSalesRep[SalesRep])</f>
        <v>Sioux Best</v>
      </c>
      <c r="O348" t="str">
        <f>_xlfn.XLOOKUP(fSales[[#This Row],[SalesRepID]],dPSalesRep[SalesRepID],dPSalesRep[Region])</f>
        <v>West</v>
      </c>
      <c r="P348" t="str">
        <f>_xlfn.XLOOKUP(fSales[[#This Row],[ProductID]],dProduct[ProductID],dProduct[Product])</f>
        <v>Orange</v>
      </c>
      <c r="Q348">
        <f>_xlfn.XLOOKUP(fSales[[#This Row],[ProductID]],dProduct[ProductID],dProduct[CratePrice])-_xlfn.XLOOKUP(fSales[[#This Row],[ProductID]],dProduct[ProductID],dProduct[CrateCost])</f>
        <v>12.495000000000001</v>
      </c>
      <c r="R348">
        <f>_xlfn.XLOOKUP(fSales[[#This Row],[ProductID]],dProduct[ProductID],dProduct[CratePrice])</f>
        <v>29.75</v>
      </c>
      <c r="S348">
        <f>_xlfn.XLOOKUP(fSales[[#This Row],[ProductID]],dProduct[ProductID],dProduct[CrateCost])</f>
        <v>17.254999999999999</v>
      </c>
    </row>
    <row r="349" spans="7:19" x14ac:dyDescent="0.25">
      <c r="G349" s="2">
        <v>45536</v>
      </c>
      <c r="H349">
        <v>84</v>
      </c>
      <c r="I349" t="s">
        <v>28</v>
      </c>
      <c r="J349" t="s">
        <v>52</v>
      </c>
      <c r="K349">
        <f>_xlfn.XLOOKUP(fSales[[#This Row],[ProductID]],dProduct[ProductID],dProduct[CratePrice])*fSales[[#This Row],[Units]]</f>
        <v>3670.8</v>
      </c>
      <c r="L349">
        <f>fSales[[#This Row],[Total sales]]-_xlfn.XLOOKUP(fSales[[#This Row],[ProductID]],dProduct[ProductID],dProduct[CrateCost])*fSales[[#This Row],[Units]]</f>
        <v>1541.7360000000003</v>
      </c>
      <c r="M349">
        <f>(_xlfn.XLOOKUP(fSales[[#This Row],[ProductID]],dProduct[ProductID],dProduct[CratePrice])-_xlfn.XLOOKUP(fSales[[#This Row],[ProductID]],dProduct[ProductID],dProduct[CrateCost]))/_xlfn.XLOOKUP(fSales[[#This Row],[ProductID]],dProduct[ProductID],dProduct[CratePrice])</f>
        <v>0.42000000000000004</v>
      </c>
      <c r="N349" t="str">
        <f>_xlfn.XLOOKUP(fSales[[#This Row],[SalesRepID]],dPSalesRep[SalesRepID],dPSalesRep[SalesRep])</f>
        <v>Smitty Rad</v>
      </c>
      <c r="O349" t="str">
        <f>_xlfn.XLOOKUP(fSales[[#This Row],[SalesRepID]],dPSalesRep[SalesRepID],dPSalesRep[Region])</f>
        <v>MidWest</v>
      </c>
      <c r="P349" t="str">
        <f>_xlfn.XLOOKUP(fSales[[#This Row],[ProductID]],dProduct[ProductID],dProduct[Product])</f>
        <v>Cherry</v>
      </c>
      <c r="Q349">
        <f>_xlfn.XLOOKUP(fSales[[#This Row],[ProductID]],dProduct[ProductID],dProduct[CratePrice])-_xlfn.XLOOKUP(fSales[[#This Row],[ProductID]],dProduct[ProductID],dProduct[CrateCost])</f>
        <v>18.354000000000003</v>
      </c>
      <c r="R349">
        <f>_xlfn.XLOOKUP(fSales[[#This Row],[ProductID]],dProduct[ProductID],dProduct[CratePrice])</f>
        <v>43.7</v>
      </c>
      <c r="S349">
        <f>_xlfn.XLOOKUP(fSales[[#This Row],[ProductID]],dProduct[ProductID],dProduct[CrateCost])</f>
        <v>25.346</v>
      </c>
    </row>
    <row r="350" spans="7:19" x14ac:dyDescent="0.25">
      <c r="G350" s="2">
        <v>45536</v>
      </c>
      <c r="H350">
        <v>120</v>
      </c>
      <c r="I350" t="s">
        <v>28</v>
      </c>
      <c r="J350" t="s">
        <v>32</v>
      </c>
      <c r="K350">
        <f>_xlfn.XLOOKUP(fSales[[#This Row],[ProductID]],dProduct[ProductID],dProduct[CratePrice])*fSales[[#This Row],[Units]]</f>
        <v>5244</v>
      </c>
      <c r="L350">
        <f>fSales[[#This Row],[Total sales]]-_xlfn.XLOOKUP(fSales[[#This Row],[ProductID]],dProduct[ProductID],dProduct[CrateCost])*fSales[[#This Row],[Units]]</f>
        <v>2202.48</v>
      </c>
      <c r="M350">
        <f>(_xlfn.XLOOKUP(fSales[[#This Row],[ProductID]],dProduct[ProductID],dProduct[CratePrice])-_xlfn.XLOOKUP(fSales[[#This Row],[ProductID]],dProduct[ProductID],dProduct[CrateCost]))/_xlfn.XLOOKUP(fSales[[#This Row],[ProductID]],dProduct[ProductID],dProduct[CratePrice])</f>
        <v>0.42000000000000004</v>
      </c>
      <c r="N350" t="str">
        <f>_xlfn.XLOOKUP(fSales[[#This Row],[SalesRepID]],dPSalesRep[SalesRepID],dPSalesRep[SalesRep])</f>
        <v>Shihara Fazzaa</v>
      </c>
      <c r="O350" t="str">
        <f>_xlfn.XLOOKUP(fSales[[#This Row],[SalesRepID]],dPSalesRep[SalesRepID],dPSalesRep[Region])</f>
        <v>East</v>
      </c>
      <c r="P350" t="str">
        <f>_xlfn.XLOOKUP(fSales[[#This Row],[ProductID]],dProduct[ProductID],dProduct[Product])</f>
        <v>Cherry</v>
      </c>
      <c r="Q350">
        <f>_xlfn.XLOOKUP(fSales[[#This Row],[ProductID]],dProduct[ProductID],dProduct[CratePrice])-_xlfn.XLOOKUP(fSales[[#This Row],[ProductID]],dProduct[ProductID],dProduct[CrateCost])</f>
        <v>18.354000000000003</v>
      </c>
      <c r="R350">
        <f>_xlfn.XLOOKUP(fSales[[#This Row],[ProductID]],dProduct[ProductID],dProduct[CratePrice])</f>
        <v>43.7</v>
      </c>
      <c r="S350">
        <f>_xlfn.XLOOKUP(fSales[[#This Row],[ProductID]],dProduct[ProductID],dProduct[CrateCost])</f>
        <v>25.346</v>
      </c>
    </row>
    <row r="351" spans="7:19" x14ac:dyDescent="0.25">
      <c r="G351" s="2">
        <v>45537</v>
      </c>
      <c r="H351">
        <v>192</v>
      </c>
      <c r="I351" t="s">
        <v>21</v>
      </c>
      <c r="J351" t="s">
        <v>52</v>
      </c>
      <c r="K351">
        <f>_xlfn.XLOOKUP(fSales[[#This Row],[ProductID]],dProduct[ProductID],dProduct[CratePrice])*fSales[[#This Row],[Units]]</f>
        <v>4320</v>
      </c>
      <c r="L351">
        <f>fSales[[#This Row],[Total sales]]-_xlfn.XLOOKUP(fSales[[#This Row],[ProductID]],dProduct[ProductID],dProduct[CrateCost])*fSales[[#This Row],[Units]]</f>
        <v>1900.7999999999997</v>
      </c>
      <c r="M351">
        <f>(_xlfn.XLOOKUP(fSales[[#This Row],[ProductID]],dProduct[ProductID],dProduct[CratePrice])-_xlfn.XLOOKUP(fSales[[#This Row],[ProductID]],dProduct[ProductID],dProduct[CrateCost]))/_xlfn.XLOOKUP(fSales[[#This Row],[ProductID]],dProduct[ProductID],dProduct[CratePrice])</f>
        <v>0.43999999999999995</v>
      </c>
      <c r="N351" t="str">
        <f>_xlfn.XLOOKUP(fSales[[#This Row],[SalesRepID]],dPSalesRep[SalesRepID],dPSalesRep[SalesRep])</f>
        <v>Smitty Rad</v>
      </c>
      <c r="O351" t="str">
        <f>_xlfn.XLOOKUP(fSales[[#This Row],[SalesRepID]],dPSalesRep[SalesRepID],dPSalesRep[Region])</f>
        <v>MidWest</v>
      </c>
      <c r="P351" t="str">
        <f>_xlfn.XLOOKUP(fSales[[#This Row],[ProductID]],dProduct[ProductID],dProduct[Product])</f>
        <v>Kiwi</v>
      </c>
      <c r="Q351">
        <f>_xlfn.XLOOKUP(fSales[[#This Row],[ProductID]],dProduct[ProductID],dProduct[CratePrice])-_xlfn.XLOOKUP(fSales[[#This Row],[ProductID]],dProduct[ProductID],dProduct[CrateCost])</f>
        <v>9.8999999999999986</v>
      </c>
      <c r="R351">
        <f>_xlfn.XLOOKUP(fSales[[#This Row],[ProductID]],dProduct[ProductID],dProduct[CratePrice])</f>
        <v>22.5</v>
      </c>
      <c r="S351">
        <f>_xlfn.XLOOKUP(fSales[[#This Row],[ProductID]],dProduct[ProductID],dProduct[CrateCost])</f>
        <v>12.600000000000001</v>
      </c>
    </row>
    <row r="352" spans="7:19" x14ac:dyDescent="0.25">
      <c r="G352" s="2">
        <v>45537</v>
      </c>
      <c r="H352">
        <v>48</v>
      </c>
      <c r="I352" t="s">
        <v>26</v>
      </c>
      <c r="J352" t="s">
        <v>22</v>
      </c>
      <c r="K352">
        <f>_xlfn.XLOOKUP(fSales[[#This Row],[ProductID]],dProduct[ProductID],dProduct[CratePrice])*fSales[[#This Row],[Units]]</f>
        <v>1428</v>
      </c>
      <c r="L352">
        <f>fSales[[#This Row],[Total sales]]-_xlfn.XLOOKUP(fSales[[#This Row],[ProductID]],dProduct[ProductID],dProduct[CrateCost])*fSales[[#This Row],[Units]]</f>
        <v>599.76</v>
      </c>
      <c r="M352">
        <f>(_xlfn.XLOOKUP(fSales[[#This Row],[ProductID]],dProduct[ProductID],dProduct[CratePrice])-_xlfn.XLOOKUP(fSales[[#This Row],[ProductID]],dProduct[ProductID],dProduct[CrateCost]))/_xlfn.XLOOKUP(fSales[[#This Row],[ProductID]],dProduct[ProductID],dProduct[CratePrice])</f>
        <v>0.42000000000000004</v>
      </c>
      <c r="N352" t="str">
        <f>_xlfn.XLOOKUP(fSales[[#This Row],[SalesRepID]],dPSalesRep[SalesRepID],dPSalesRep[SalesRep])</f>
        <v>Timmy Kips</v>
      </c>
      <c r="O352" t="str">
        <f>_xlfn.XLOOKUP(fSales[[#This Row],[SalesRepID]],dPSalesRep[SalesRepID],dPSalesRep[Region])</f>
        <v>East</v>
      </c>
      <c r="P352" t="str">
        <f>_xlfn.XLOOKUP(fSales[[#This Row],[ProductID]],dProduct[ProductID],dProduct[Product])</f>
        <v>Orange</v>
      </c>
      <c r="Q352">
        <f>_xlfn.XLOOKUP(fSales[[#This Row],[ProductID]],dProduct[ProductID],dProduct[CratePrice])-_xlfn.XLOOKUP(fSales[[#This Row],[ProductID]],dProduct[ProductID],dProduct[CrateCost])</f>
        <v>12.495000000000001</v>
      </c>
      <c r="R352">
        <f>_xlfn.XLOOKUP(fSales[[#This Row],[ProductID]],dProduct[ProductID],dProduct[CratePrice])</f>
        <v>29.75</v>
      </c>
      <c r="S352">
        <f>_xlfn.XLOOKUP(fSales[[#This Row],[ProductID]],dProduct[ProductID],dProduct[CrateCost])</f>
        <v>17.254999999999999</v>
      </c>
    </row>
    <row r="353" spans="7:19" x14ac:dyDescent="0.25">
      <c r="G353" s="2">
        <v>45538</v>
      </c>
      <c r="H353">
        <v>84</v>
      </c>
      <c r="I353" t="s">
        <v>21</v>
      </c>
      <c r="J353" t="s">
        <v>29</v>
      </c>
      <c r="K353">
        <f>_xlfn.XLOOKUP(fSales[[#This Row],[ProductID]],dProduct[ProductID],dProduct[CratePrice])*fSales[[#This Row],[Units]]</f>
        <v>1890</v>
      </c>
      <c r="L353">
        <f>fSales[[#This Row],[Total sales]]-_xlfn.XLOOKUP(fSales[[#This Row],[ProductID]],dProduct[ProductID],dProduct[CrateCost])*fSales[[#This Row],[Units]]</f>
        <v>831.59999999999991</v>
      </c>
      <c r="M353">
        <f>(_xlfn.XLOOKUP(fSales[[#This Row],[ProductID]],dProduct[ProductID],dProduct[CratePrice])-_xlfn.XLOOKUP(fSales[[#This Row],[ProductID]],dProduct[ProductID],dProduct[CrateCost]))/_xlfn.XLOOKUP(fSales[[#This Row],[ProductID]],dProduct[ProductID],dProduct[CratePrice])</f>
        <v>0.43999999999999995</v>
      </c>
      <c r="N353" t="str">
        <f>_xlfn.XLOOKUP(fSales[[#This Row],[SalesRepID]],dPSalesRep[SalesRepID],dPSalesRep[SalesRep])</f>
        <v>Sioux Best</v>
      </c>
      <c r="O353" t="str">
        <f>_xlfn.XLOOKUP(fSales[[#This Row],[SalesRepID]],dPSalesRep[SalesRepID],dPSalesRep[Region])</f>
        <v>West</v>
      </c>
      <c r="P353" t="str">
        <f>_xlfn.XLOOKUP(fSales[[#This Row],[ProductID]],dProduct[ProductID],dProduct[Product])</f>
        <v>Kiwi</v>
      </c>
      <c r="Q353">
        <f>_xlfn.XLOOKUP(fSales[[#This Row],[ProductID]],dProduct[ProductID],dProduct[CratePrice])-_xlfn.XLOOKUP(fSales[[#This Row],[ProductID]],dProduct[ProductID],dProduct[CrateCost])</f>
        <v>9.8999999999999986</v>
      </c>
      <c r="R353">
        <f>_xlfn.XLOOKUP(fSales[[#This Row],[ProductID]],dProduct[ProductID],dProduct[CratePrice])</f>
        <v>22.5</v>
      </c>
      <c r="S353">
        <f>_xlfn.XLOOKUP(fSales[[#This Row],[ProductID]],dProduct[ProductID],dProduct[CrateCost])</f>
        <v>12.600000000000001</v>
      </c>
    </row>
    <row r="354" spans="7:19" x14ac:dyDescent="0.25">
      <c r="G354" s="2">
        <v>45538</v>
      </c>
      <c r="H354">
        <v>228</v>
      </c>
      <c r="I354" t="s">
        <v>19</v>
      </c>
      <c r="J354" t="s">
        <v>52</v>
      </c>
      <c r="K354">
        <f>_xlfn.XLOOKUP(fSales[[#This Row],[ProductID]],dProduct[ProductID],dProduct[CratePrice])*fSales[[#This Row],[Units]]</f>
        <v>7980</v>
      </c>
      <c r="L354">
        <f>fSales[[#This Row],[Total sales]]-_xlfn.XLOOKUP(fSales[[#This Row],[ProductID]],dProduct[ProductID],dProduct[CrateCost])*fSales[[#This Row],[Units]]</f>
        <v>4468.7999999999993</v>
      </c>
      <c r="M354">
        <f>(_xlfn.XLOOKUP(fSales[[#This Row],[ProductID]],dProduct[ProductID],dProduct[CratePrice])-_xlfn.XLOOKUP(fSales[[#This Row],[ProductID]],dProduct[ProductID],dProduct[CrateCost]))/_xlfn.XLOOKUP(fSales[[#This Row],[ProductID]],dProduct[ProductID],dProduct[CratePrice])</f>
        <v>0.56000000000000005</v>
      </c>
      <c r="N354" t="str">
        <f>_xlfn.XLOOKUP(fSales[[#This Row],[SalesRepID]],dPSalesRep[SalesRepID],dPSalesRep[SalesRep])</f>
        <v>Smitty Rad</v>
      </c>
      <c r="O354" t="str">
        <f>_xlfn.XLOOKUP(fSales[[#This Row],[SalesRepID]],dPSalesRep[SalesRepID],dPSalesRep[Region])</f>
        <v>MidWest</v>
      </c>
      <c r="P354" t="str">
        <f>_xlfn.XLOOKUP(fSales[[#This Row],[ProductID]],dProduct[ProductID],dProduct[Product])</f>
        <v>Apple</v>
      </c>
      <c r="Q354">
        <f>_xlfn.XLOOKUP(fSales[[#This Row],[ProductID]],dProduct[ProductID],dProduct[CratePrice])-_xlfn.XLOOKUP(fSales[[#This Row],[ProductID]],dProduct[ProductID],dProduct[CrateCost])</f>
        <v>19.600000000000001</v>
      </c>
      <c r="R354">
        <f>_xlfn.XLOOKUP(fSales[[#This Row],[ProductID]],dProduct[ProductID],dProduct[CratePrice])</f>
        <v>35</v>
      </c>
      <c r="S354">
        <f>_xlfn.XLOOKUP(fSales[[#This Row],[ProductID]],dProduct[ProductID],dProduct[CrateCost])</f>
        <v>15.4</v>
      </c>
    </row>
    <row r="355" spans="7:19" x14ac:dyDescent="0.25">
      <c r="G355" s="2">
        <v>45538</v>
      </c>
      <c r="H355">
        <v>108</v>
      </c>
      <c r="I355" t="s">
        <v>26</v>
      </c>
      <c r="J355" t="s">
        <v>37</v>
      </c>
      <c r="K355">
        <f>_xlfn.XLOOKUP(fSales[[#This Row],[ProductID]],dProduct[ProductID],dProduct[CratePrice])*fSales[[#This Row],[Units]]</f>
        <v>3213</v>
      </c>
      <c r="L355">
        <f>fSales[[#This Row],[Total sales]]-_xlfn.XLOOKUP(fSales[[#This Row],[ProductID]],dProduct[ProductID],dProduct[CrateCost])*fSales[[#This Row],[Units]]</f>
        <v>1349.46</v>
      </c>
      <c r="M355">
        <f>(_xlfn.XLOOKUP(fSales[[#This Row],[ProductID]],dProduct[ProductID],dProduct[CratePrice])-_xlfn.XLOOKUP(fSales[[#This Row],[ProductID]],dProduct[ProductID],dProduct[CrateCost]))/_xlfn.XLOOKUP(fSales[[#This Row],[ProductID]],dProduct[ProductID],dProduct[CratePrice])</f>
        <v>0.42000000000000004</v>
      </c>
      <c r="N355" t="str">
        <f>_xlfn.XLOOKUP(fSales[[#This Row],[SalesRepID]],dPSalesRep[SalesRepID],dPSalesRep[SalesRep])</f>
        <v>Chantel Mims</v>
      </c>
      <c r="O355" t="str">
        <f>_xlfn.XLOOKUP(fSales[[#This Row],[SalesRepID]],dPSalesRep[SalesRepID],dPSalesRep[Region])</f>
        <v>NW</v>
      </c>
      <c r="P355" t="str">
        <f>_xlfn.XLOOKUP(fSales[[#This Row],[ProductID]],dProduct[ProductID],dProduct[Product])</f>
        <v>Orange</v>
      </c>
      <c r="Q355">
        <f>_xlfn.XLOOKUP(fSales[[#This Row],[ProductID]],dProduct[ProductID],dProduct[CratePrice])-_xlfn.XLOOKUP(fSales[[#This Row],[ProductID]],dProduct[ProductID],dProduct[CrateCost])</f>
        <v>12.495000000000001</v>
      </c>
      <c r="R355">
        <f>_xlfn.XLOOKUP(fSales[[#This Row],[ProductID]],dProduct[ProductID],dProduct[CratePrice])</f>
        <v>29.75</v>
      </c>
      <c r="S355">
        <f>_xlfn.XLOOKUP(fSales[[#This Row],[ProductID]],dProduct[ProductID],dProduct[CrateCost])</f>
        <v>17.254999999999999</v>
      </c>
    </row>
    <row r="356" spans="7:19" x14ac:dyDescent="0.25">
      <c r="G356" s="2">
        <v>45539</v>
      </c>
      <c r="H356">
        <v>144</v>
      </c>
      <c r="I356" t="s">
        <v>34</v>
      </c>
      <c r="J356" t="s">
        <v>29</v>
      </c>
      <c r="K356">
        <f>_xlfn.XLOOKUP(fSales[[#This Row],[ProductID]],dProduct[ProductID],dProduct[CratePrice])*fSales[[#This Row],[Units]]</f>
        <v>2520</v>
      </c>
      <c r="L356">
        <f>fSales[[#This Row],[Total sales]]-_xlfn.XLOOKUP(fSales[[#This Row],[ProductID]],dProduct[ProductID],dProduct[CrateCost])*fSales[[#This Row],[Units]]</f>
        <v>831.59999999999991</v>
      </c>
      <c r="M356">
        <f>(_xlfn.XLOOKUP(fSales[[#This Row],[ProductID]],dProduct[ProductID],dProduct[CratePrice])-_xlfn.XLOOKUP(fSales[[#This Row],[ProductID]],dProduct[ProductID],dProduct[CrateCost]))/_xlfn.XLOOKUP(fSales[[#This Row],[ProductID]],dProduct[ProductID],dProduct[CratePrice])</f>
        <v>0.3299999999999999</v>
      </c>
      <c r="N356" t="str">
        <f>_xlfn.XLOOKUP(fSales[[#This Row],[SalesRepID]],dPSalesRep[SalesRepID],dPSalesRep[SalesRep])</f>
        <v>Sioux Best</v>
      </c>
      <c r="O356" t="str">
        <f>_xlfn.XLOOKUP(fSales[[#This Row],[SalesRepID]],dPSalesRep[SalesRepID],dPSalesRep[Region])</f>
        <v>West</v>
      </c>
      <c r="P356" t="str">
        <f>_xlfn.XLOOKUP(fSales[[#This Row],[ProductID]],dProduct[ProductID],dProduct[Product])</f>
        <v>Banana</v>
      </c>
      <c r="Q356">
        <f>_xlfn.XLOOKUP(fSales[[#This Row],[ProductID]],dProduct[ProductID],dProduct[CratePrice])-_xlfn.XLOOKUP(fSales[[#This Row],[ProductID]],dProduct[ProductID],dProduct[CrateCost])</f>
        <v>5.7749999999999986</v>
      </c>
      <c r="R356">
        <f>_xlfn.XLOOKUP(fSales[[#This Row],[ProductID]],dProduct[ProductID],dProduct[CratePrice])</f>
        <v>17.5</v>
      </c>
      <c r="S356">
        <f>_xlfn.XLOOKUP(fSales[[#This Row],[ProductID]],dProduct[ProductID],dProduct[CrateCost])</f>
        <v>11.725000000000001</v>
      </c>
    </row>
    <row r="357" spans="7:19" x14ac:dyDescent="0.25">
      <c r="G357" s="2">
        <v>45539</v>
      </c>
      <c r="H357">
        <v>180</v>
      </c>
      <c r="I357" t="s">
        <v>34</v>
      </c>
      <c r="J357" t="s">
        <v>29</v>
      </c>
      <c r="K357">
        <f>_xlfn.XLOOKUP(fSales[[#This Row],[ProductID]],dProduct[ProductID],dProduct[CratePrice])*fSales[[#This Row],[Units]]</f>
        <v>3150</v>
      </c>
      <c r="L357">
        <f>fSales[[#This Row],[Total sales]]-_xlfn.XLOOKUP(fSales[[#This Row],[ProductID]],dProduct[ProductID],dProduct[CrateCost])*fSales[[#This Row],[Units]]</f>
        <v>1039.4999999999995</v>
      </c>
      <c r="M357">
        <f>(_xlfn.XLOOKUP(fSales[[#This Row],[ProductID]],dProduct[ProductID],dProduct[CratePrice])-_xlfn.XLOOKUP(fSales[[#This Row],[ProductID]],dProduct[ProductID],dProduct[CrateCost]))/_xlfn.XLOOKUP(fSales[[#This Row],[ProductID]],dProduct[ProductID],dProduct[CratePrice])</f>
        <v>0.3299999999999999</v>
      </c>
      <c r="N357" t="str">
        <f>_xlfn.XLOOKUP(fSales[[#This Row],[SalesRepID]],dPSalesRep[SalesRepID],dPSalesRep[SalesRep])</f>
        <v>Sioux Best</v>
      </c>
      <c r="O357" t="str">
        <f>_xlfn.XLOOKUP(fSales[[#This Row],[SalesRepID]],dPSalesRep[SalesRepID],dPSalesRep[Region])</f>
        <v>West</v>
      </c>
      <c r="P357" t="str">
        <f>_xlfn.XLOOKUP(fSales[[#This Row],[ProductID]],dProduct[ProductID],dProduct[Product])</f>
        <v>Banana</v>
      </c>
      <c r="Q357">
        <f>_xlfn.XLOOKUP(fSales[[#This Row],[ProductID]],dProduct[ProductID],dProduct[CratePrice])-_xlfn.XLOOKUP(fSales[[#This Row],[ProductID]],dProduct[ProductID],dProduct[CrateCost])</f>
        <v>5.7749999999999986</v>
      </c>
      <c r="R357">
        <f>_xlfn.XLOOKUP(fSales[[#This Row],[ProductID]],dProduct[ProductID],dProduct[CratePrice])</f>
        <v>17.5</v>
      </c>
      <c r="S357">
        <f>_xlfn.XLOOKUP(fSales[[#This Row],[ProductID]],dProduct[ProductID],dProduct[CrateCost])</f>
        <v>11.725000000000001</v>
      </c>
    </row>
    <row r="358" spans="7:19" x14ac:dyDescent="0.25">
      <c r="G358" s="2">
        <v>45540</v>
      </c>
      <c r="H358">
        <v>48</v>
      </c>
      <c r="I358" t="s">
        <v>28</v>
      </c>
      <c r="J358" t="s">
        <v>32</v>
      </c>
      <c r="K358">
        <f>_xlfn.XLOOKUP(fSales[[#This Row],[ProductID]],dProduct[ProductID],dProduct[CratePrice])*fSales[[#This Row],[Units]]</f>
        <v>2097.6000000000004</v>
      </c>
      <c r="L358">
        <f>fSales[[#This Row],[Total sales]]-_xlfn.XLOOKUP(fSales[[#This Row],[ProductID]],dProduct[ProductID],dProduct[CrateCost])*fSales[[#This Row],[Units]]</f>
        <v>880.99200000000042</v>
      </c>
      <c r="M358">
        <f>(_xlfn.XLOOKUP(fSales[[#This Row],[ProductID]],dProduct[ProductID],dProduct[CratePrice])-_xlfn.XLOOKUP(fSales[[#This Row],[ProductID]],dProduct[ProductID],dProduct[CrateCost]))/_xlfn.XLOOKUP(fSales[[#This Row],[ProductID]],dProduct[ProductID],dProduct[CratePrice])</f>
        <v>0.42000000000000004</v>
      </c>
      <c r="N358" t="str">
        <f>_xlfn.XLOOKUP(fSales[[#This Row],[SalesRepID]],dPSalesRep[SalesRepID],dPSalesRep[SalesRep])</f>
        <v>Shihara Fazzaa</v>
      </c>
      <c r="O358" t="str">
        <f>_xlfn.XLOOKUP(fSales[[#This Row],[SalesRepID]],dPSalesRep[SalesRepID],dPSalesRep[Region])</f>
        <v>East</v>
      </c>
      <c r="P358" t="str">
        <f>_xlfn.XLOOKUP(fSales[[#This Row],[ProductID]],dProduct[ProductID],dProduct[Product])</f>
        <v>Cherry</v>
      </c>
      <c r="Q358">
        <f>_xlfn.XLOOKUP(fSales[[#This Row],[ProductID]],dProduct[ProductID],dProduct[CratePrice])-_xlfn.XLOOKUP(fSales[[#This Row],[ProductID]],dProduct[ProductID],dProduct[CrateCost])</f>
        <v>18.354000000000003</v>
      </c>
      <c r="R358">
        <f>_xlfn.XLOOKUP(fSales[[#This Row],[ProductID]],dProduct[ProductID],dProduct[CratePrice])</f>
        <v>43.7</v>
      </c>
      <c r="S358">
        <f>_xlfn.XLOOKUP(fSales[[#This Row],[ProductID]],dProduct[ProductID],dProduct[CrateCost])</f>
        <v>25.346</v>
      </c>
    </row>
    <row r="359" spans="7:19" x14ac:dyDescent="0.25">
      <c r="G359" s="2">
        <v>45540</v>
      </c>
      <c r="H359">
        <v>36</v>
      </c>
      <c r="I359" t="s">
        <v>28</v>
      </c>
      <c r="J359" t="s">
        <v>29</v>
      </c>
      <c r="K359">
        <f>_xlfn.XLOOKUP(fSales[[#This Row],[ProductID]],dProduct[ProductID],dProduct[CratePrice])*fSales[[#This Row],[Units]]</f>
        <v>1573.2</v>
      </c>
      <c r="L359">
        <f>fSales[[#This Row],[Total sales]]-_xlfn.XLOOKUP(fSales[[#This Row],[ProductID]],dProduct[ProductID],dProduct[CrateCost])*fSales[[#This Row],[Units]]</f>
        <v>660.74400000000003</v>
      </c>
      <c r="M359">
        <f>(_xlfn.XLOOKUP(fSales[[#This Row],[ProductID]],dProduct[ProductID],dProduct[CratePrice])-_xlfn.XLOOKUP(fSales[[#This Row],[ProductID]],dProduct[ProductID],dProduct[CrateCost]))/_xlfn.XLOOKUP(fSales[[#This Row],[ProductID]],dProduct[ProductID],dProduct[CratePrice])</f>
        <v>0.42000000000000004</v>
      </c>
      <c r="N359" t="str">
        <f>_xlfn.XLOOKUP(fSales[[#This Row],[SalesRepID]],dPSalesRep[SalesRepID],dPSalesRep[SalesRep])</f>
        <v>Sioux Best</v>
      </c>
      <c r="O359" t="str">
        <f>_xlfn.XLOOKUP(fSales[[#This Row],[SalesRepID]],dPSalesRep[SalesRepID],dPSalesRep[Region])</f>
        <v>West</v>
      </c>
      <c r="P359" t="str">
        <f>_xlfn.XLOOKUP(fSales[[#This Row],[ProductID]],dProduct[ProductID],dProduct[Product])</f>
        <v>Cherry</v>
      </c>
      <c r="Q359">
        <f>_xlfn.XLOOKUP(fSales[[#This Row],[ProductID]],dProduct[ProductID],dProduct[CratePrice])-_xlfn.XLOOKUP(fSales[[#This Row],[ProductID]],dProduct[ProductID],dProduct[CrateCost])</f>
        <v>18.354000000000003</v>
      </c>
      <c r="R359">
        <f>_xlfn.XLOOKUP(fSales[[#This Row],[ProductID]],dProduct[ProductID],dProduct[CratePrice])</f>
        <v>43.7</v>
      </c>
      <c r="S359">
        <f>_xlfn.XLOOKUP(fSales[[#This Row],[ProductID]],dProduct[ProductID],dProduct[CrateCost])</f>
        <v>25.346</v>
      </c>
    </row>
    <row r="360" spans="7:19" x14ac:dyDescent="0.25">
      <c r="G360" s="2">
        <v>45541</v>
      </c>
      <c r="H360">
        <v>108</v>
      </c>
      <c r="I360" t="s">
        <v>19</v>
      </c>
      <c r="J360" t="s">
        <v>22</v>
      </c>
      <c r="K360">
        <f>_xlfn.XLOOKUP(fSales[[#This Row],[ProductID]],dProduct[ProductID],dProduct[CratePrice])*fSales[[#This Row],[Units]]</f>
        <v>3780</v>
      </c>
      <c r="L360">
        <f>fSales[[#This Row],[Total sales]]-_xlfn.XLOOKUP(fSales[[#This Row],[ProductID]],dProduct[ProductID],dProduct[CrateCost])*fSales[[#This Row],[Units]]</f>
        <v>2116.8000000000002</v>
      </c>
      <c r="M360">
        <f>(_xlfn.XLOOKUP(fSales[[#This Row],[ProductID]],dProduct[ProductID],dProduct[CratePrice])-_xlfn.XLOOKUP(fSales[[#This Row],[ProductID]],dProduct[ProductID],dProduct[CrateCost]))/_xlfn.XLOOKUP(fSales[[#This Row],[ProductID]],dProduct[ProductID],dProduct[CratePrice])</f>
        <v>0.56000000000000005</v>
      </c>
      <c r="N360" t="str">
        <f>_xlfn.XLOOKUP(fSales[[#This Row],[SalesRepID]],dPSalesRep[SalesRepID],dPSalesRep[SalesRep])</f>
        <v>Timmy Kips</v>
      </c>
      <c r="O360" t="str">
        <f>_xlfn.XLOOKUP(fSales[[#This Row],[SalesRepID]],dPSalesRep[SalesRepID],dPSalesRep[Region])</f>
        <v>East</v>
      </c>
      <c r="P360" t="str">
        <f>_xlfn.XLOOKUP(fSales[[#This Row],[ProductID]],dProduct[ProductID],dProduct[Product])</f>
        <v>Apple</v>
      </c>
      <c r="Q360">
        <f>_xlfn.XLOOKUP(fSales[[#This Row],[ProductID]],dProduct[ProductID],dProduct[CratePrice])-_xlfn.XLOOKUP(fSales[[#This Row],[ProductID]],dProduct[ProductID],dProduct[CrateCost])</f>
        <v>19.600000000000001</v>
      </c>
      <c r="R360">
        <f>_xlfn.XLOOKUP(fSales[[#This Row],[ProductID]],dProduct[ProductID],dProduct[CratePrice])</f>
        <v>35</v>
      </c>
      <c r="S360">
        <f>_xlfn.XLOOKUP(fSales[[#This Row],[ProductID]],dProduct[ProductID],dProduct[CrateCost])</f>
        <v>15.4</v>
      </c>
    </row>
    <row r="361" spans="7:19" x14ac:dyDescent="0.25">
      <c r="G361" s="2">
        <v>45542</v>
      </c>
      <c r="H361">
        <v>156</v>
      </c>
      <c r="I361" t="s">
        <v>21</v>
      </c>
      <c r="J361" t="s">
        <v>52</v>
      </c>
      <c r="K361">
        <f>_xlfn.XLOOKUP(fSales[[#This Row],[ProductID]],dProduct[ProductID],dProduct[CratePrice])*fSales[[#This Row],[Units]]</f>
        <v>3510</v>
      </c>
      <c r="L361">
        <f>fSales[[#This Row],[Total sales]]-_xlfn.XLOOKUP(fSales[[#This Row],[ProductID]],dProduct[ProductID],dProduct[CrateCost])*fSales[[#This Row],[Units]]</f>
        <v>1544.3999999999999</v>
      </c>
      <c r="M361">
        <f>(_xlfn.XLOOKUP(fSales[[#This Row],[ProductID]],dProduct[ProductID],dProduct[CratePrice])-_xlfn.XLOOKUP(fSales[[#This Row],[ProductID]],dProduct[ProductID],dProduct[CrateCost]))/_xlfn.XLOOKUP(fSales[[#This Row],[ProductID]],dProduct[ProductID],dProduct[CratePrice])</f>
        <v>0.43999999999999995</v>
      </c>
      <c r="N361" t="str">
        <f>_xlfn.XLOOKUP(fSales[[#This Row],[SalesRepID]],dPSalesRep[SalesRepID],dPSalesRep[SalesRep])</f>
        <v>Smitty Rad</v>
      </c>
      <c r="O361" t="str">
        <f>_xlfn.XLOOKUP(fSales[[#This Row],[SalesRepID]],dPSalesRep[SalesRepID],dPSalesRep[Region])</f>
        <v>MidWest</v>
      </c>
      <c r="P361" t="str">
        <f>_xlfn.XLOOKUP(fSales[[#This Row],[ProductID]],dProduct[ProductID],dProduct[Product])</f>
        <v>Kiwi</v>
      </c>
      <c r="Q361">
        <f>_xlfn.XLOOKUP(fSales[[#This Row],[ProductID]],dProduct[ProductID],dProduct[CratePrice])-_xlfn.XLOOKUP(fSales[[#This Row],[ProductID]],dProduct[ProductID],dProduct[CrateCost])</f>
        <v>9.8999999999999986</v>
      </c>
      <c r="R361">
        <f>_xlfn.XLOOKUP(fSales[[#This Row],[ProductID]],dProduct[ProductID],dProduct[CratePrice])</f>
        <v>22.5</v>
      </c>
      <c r="S361">
        <f>_xlfn.XLOOKUP(fSales[[#This Row],[ProductID]],dProduct[ProductID],dProduct[CrateCost])</f>
        <v>12.600000000000001</v>
      </c>
    </row>
    <row r="362" spans="7:19" x14ac:dyDescent="0.25">
      <c r="G362" s="2">
        <v>45542</v>
      </c>
      <c r="H362">
        <v>120</v>
      </c>
      <c r="I362" t="s">
        <v>21</v>
      </c>
      <c r="J362" t="s">
        <v>52</v>
      </c>
      <c r="K362">
        <f>_xlfn.XLOOKUP(fSales[[#This Row],[ProductID]],dProduct[ProductID],dProduct[CratePrice])*fSales[[#This Row],[Units]]</f>
        <v>2700</v>
      </c>
      <c r="L362">
        <f>fSales[[#This Row],[Total sales]]-_xlfn.XLOOKUP(fSales[[#This Row],[ProductID]],dProduct[ProductID],dProduct[CrateCost])*fSales[[#This Row],[Units]]</f>
        <v>1187.9999999999998</v>
      </c>
      <c r="M362">
        <f>(_xlfn.XLOOKUP(fSales[[#This Row],[ProductID]],dProduct[ProductID],dProduct[CratePrice])-_xlfn.XLOOKUP(fSales[[#This Row],[ProductID]],dProduct[ProductID],dProduct[CrateCost]))/_xlfn.XLOOKUP(fSales[[#This Row],[ProductID]],dProduct[ProductID],dProduct[CratePrice])</f>
        <v>0.43999999999999995</v>
      </c>
      <c r="N362" t="str">
        <f>_xlfn.XLOOKUP(fSales[[#This Row],[SalesRepID]],dPSalesRep[SalesRepID],dPSalesRep[SalesRep])</f>
        <v>Smitty Rad</v>
      </c>
      <c r="O362" t="str">
        <f>_xlfn.XLOOKUP(fSales[[#This Row],[SalesRepID]],dPSalesRep[SalesRepID],dPSalesRep[Region])</f>
        <v>MidWest</v>
      </c>
      <c r="P362" t="str">
        <f>_xlfn.XLOOKUP(fSales[[#This Row],[ProductID]],dProduct[ProductID],dProduct[Product])</f>
        <v>Kiwi</v>
      </c>
      <c r="Q362">
        <f>_xlfn.XLOOKUP(fSales[[#This Row],[ProductID]],dProduct[ProductID],dProduct[CratePrice])-_xlfn.XLOOKUP(fSales[[#This Row],[ProductID]],dProduct[ProductID],dProduct[CrateCost])</f>
        <v>9.8999999999999986</v>
      </c>
      <c r="R362">
        <f>_xlfn.XLOOKUP(fSales[[#This Row],[ProductID]],dProduct[ProductID],dProduct[CratePrice])</f>
        <v>22.5</v>
      </c>
      <c r="S362">
        <f>_xlfn.XLOOKUP(fSales[[#This Row],[ProductID]],dProduct[ProductID],dProduct[CrateCost])</f>
        <v>12.600000000000001</v>
      </c>
    </row>
    <row r="363" spans="7:19" x14ac:dyDescent="0.25">
      <c r="G363" s="2">
        <v>45542</v>
      </c>
      <c r="H363">
        <v>276</v>
      </c>
      <c r="I363" t="s">
        <v>21</v>
      </c>
      <c r="J363" t="s">
        <v>29</v>
      </c>
      <c r="K363">
        <f>_xlfn.XLOOKUP(fSales[[#This Row],[ProductID]],dProduct[ProductID],dProduct[CratePrice])*fSales[[#This Row],[Units]]</f>
        <v>6210</v>
      </c>
      <c r="L363">
        <f>fSales[[#This Row],[Total sales]]-_xlfn.XLOOKUP(fSales[[#This Row],[ProductID]],dProduct[ProductID],dProduct[CrateCost])*fSales[[#This Row],[Units]]</f>
        <v>2732.3999999999996</v>
      </c>
      <c r="M363">
        <f>(_xlfn.XLOOKUP(fSales[[#This Row],[ProductID]],dProduct[ProductID],dProduct[CratePrice])-_xlfn.XLOOKUP(fSales[[#This Row],[ProductID]],dProduct[ProductID],dProduct[CrateCost]))/_xlfn.XLOOKUP(fSales[[#This Row],[ProductID]],dProduct[ProductID],dProduct[CratePrice])</f>
        <v>0.43999999999999995</v>
      </c>
      <c r="N363" t="str">
        <f>_xlfn.XLOOKUP(fSales[[#This Row],[SalesRepID]],dPSalesRep[SalesRepID],dPSalesRep[SalesRep])</f>
        <v>Sioux Best</v>
      </c>
      <c r="O363" t="str">
        <f>_xlfn.XLOOKUP(fSales[[#This Row],[SalesRepID]],dPSalesRep[SalesRepID],dPSalesRep[Region])</f>
        <v>West</v>
      </c>
      <c r="P363" t="str">
        <f>_xlfn.XLOOKUP(fSales[[#This Row],[ProductID]],dProduct[ProductID],dProduct[Product])</f>
        <v>Kiwi</v>
      </c>
      <c r="Q363">
        <f>_xlfn.XLOOKUP(fSales[[#This Row],[ProductID]],dProduct[ProductID],dProduct[CratePrice])-_xlfn.XLOOKUP(fSales[[#This Row],[ProductID]],dProduct[ProductID],dProduct[CrateCost])</f>
        <v>9.8999999999999986</v>
      </c>
      <c r="R363">
        <f>_xlfn.XLOOKUP(fSales[[#This Row],[ProductID]],dProduct[ProductID],dProduct[CratePrice])</f>
        <v>22.5</v>
      </c>
      <c r="S363">
        <f>_xlfn.XLOOKUP(fSales[[#This Row],[ProductID]],dProduct[ProductID],dProduct[CrateCost])</f>
        <v>12.600000000000001</v>
      </c>
    </row>
    <row r="364" spans="7:19" x14ac:dyDescent="0.25">
      <c r="G364" s="2">
        <v>45543</v>
      </c>
      <c r="H364">
        <v>216</v>
      </c>
      <c r="I364" t="s">
        <v>34</v>
      </c>
      <c r="J364" t="s">
        <v>37</v>
      </c>
      <c r="K364">
        <f>_xlfn.XLOOKUP(fSales[[#This Row],[ProductID]],dProduct[ProductID],dProduct[CratePrice])*fSales[[#This Row],[Units]]</f>
        <v>3780</v>
      </c>
      <c r="L364">
        <f>fSales[[#This Row],[Total sales]]-_xlfn.XLOOKUP(fSales[[#This Row],[ProductID]],dProduct[ProductID],dProduct[CrateCost])*fSales[[#This Row],[Units]]</f>
        <v>1247.3999999999996</v>
      </c>
      <c r="M364">
        <f>(_xlfn.XLOOKUP(fSales[[#This Row],[ProductID]],dProduct[ProductID],dProduct[CratePrice])-_xlfn.XLOOKUP(fSales[[#This Row],[ProductID]],dProduct[ProductID],dProduct[CrateCost]))/_xlfn.XLOOKUP(fSales[[#This Row],[ProductID]],dProduct[ProductID],dProduct[CratePrice])</f>
        <v>0.3299999999999999</v>
      </c>
      <c r="N364" t="str">
        <f>_xlfn.XLOOKUP(fSales[[#This Row],[SalesRepID]],dPSalesRep[SalesRepID],dPSalesRep[SalesRep])</f>
        <v>Chantel Mims</v>
      </c>
      <c r="O364" t="str">
        <f>_xlfn.XLOOKUP(fSales[[#This Row],[SalesRepID]],dPSalesRep[SalesRepID],dPSalesRep[Region])</f>
        <v>NW</v>
      </c>
      <c r="P364" t="str">
        <f>_xlfn.XLOOKUP(fSales[[#This Row],[ProductID]],dProduct[ProductID],dProduct[Product])</f>
        <v>Banana</v>
      </c>
      <c r="Q364">
        <f>_xlfn.XLOOKUP(fSales[[#This Row],[ProductID]],dProduct[ProductID],dProduct[CratePrice])-_xlfn.XLOOKUP(fSales[[#This Row],[ProductID]],dProduct[ProductID],dProduct[CrateCost])</f>
        <v>5.7749999999999986</v>
      </c>
      <c r="R364">
        <f>_xlfn.XLOOKUP(fSales[[#This Row],[ProductID]],dProduct[ProductID],dProduct[CratePrice])</f>
        <v>17.5</v>
      </c>
      <c r="S364">
        <f>_xlfn.XLOOKUP(fSales[[#This Row],[ProductID]],dProduct[ProductID],dProduct[CrateCost])</f>
        <v>11.725000000000001</v>
      </c>
    </row>
    <row r="365" spans="7:19" x14ac:dyDescent="0.25">
      <c r="G365" s="2">
        <v>45543</v>
      </c>
      <c r="H365">
        <v>120</v>
      </c>
      <c r="I365" t="s">
        <v>28</v>
      </c>
      <c r="J365" t="s">
        <v>37</v>
      </c>
      <c r="K365">
        <f>_xlfn.XLOOKUP(fSales[[#This Row],[ProductID]],dProduct[ProductID],dProduct[CratePrice])*fSales[[#This Row],[Units]]</f>
        <v>5244</v>
      </c>
      <c r="L365">
        <f>fSales[[#This Row],[Total sales]]-_xlfn.XLOOKUP(fSales[[#This Row],[ProductID]],dProduct[ProductID],dProduct[CrateCost])*fSales[[#This Row],[Units]]</f>
        <v>2202.48</v>
      </c>
      <c r="M365">
        <f>(_xlfn.XLOOKUP(fSales[[#This Row],[ProductID]],dProduct[ProductID],dProduct[CratePrice])-_xlfn.XLOOKUP(fSales[[#This Row],[ProductID]],dProduct[ProductID],dProduct[CrateCost]))/_xlfn.XLOOKUP(fSales[[#This Row],[ProductID]],dProduct[ProductID],dProduct[CratePrice])</f>
        <v>0.42000000000000004</v>
      </c>
      <c r="N365" t="str">
        <f>_xlfn.XLOOKUP(fSales[[#This Row],[SalesRepID]],dPSalesRep[SalesRepID],dPSalesRep[SalesRep])</f>
        <v>Chantel Mims</v>
      </c>
      <c r="O365" t="str">
        <f>_xlfn.XLOOKUP(fSales[[#This Row],[SalesRepID]],dPSalesRep[SalesRepID],dPSalesRep[Region])</f>
        <v>NW</v>
      </c>
      <c r="P365" t="str">
        <f>_xlfn.XLOOKUP(fSales[[#This Row],[ProductID]],dProduct[ProductID],dProduct[Product])</f>
        <v>Cherry</v>
      </c>
      <c r="Q365">
        <f>_xlfn.XLOOKUP(fSales[[#This Row],[ProductID]],dProduct[ProductID],dProduct[CratePrice])-_xlfn.XLOOKUP(fSales[[#This Row],[ProductID]],dProduct[ProductID],dProduct[CrateCost])</f>
        <v>18.354000000000003</v>
      </c>
      <c r="R365">
        <f>_xlfn.XLOOKUP(fSales[[#This Row],[ProductID]],dProduct[ProductID],dProduct[CratePrice])</f>
        <v>43.7</v>
      </c>
      <c r="S365">
        <f>_xlfn.XLOOKUP(fSales[[#This Row],[ProductID]],dProduct[ProductID],dProduct[CrateCost])</f>
        <v>25.346</v>
      </c>
    </row>
    <row r="366" spans="7:19" x14ac:dyDescent="0.25">
      <c r="G366" s="2">
        <v>45543</v>
      </c>
      <c r="H366">
        <v>252</v>
      </c>
      <c r="I366" t="s">
        <v>19</v>
      </c>
      <c r="J366" t="s">
        <v>52</v>
      </c>
      <c r="K366">
        <f>_xlfn.XLOOKUP(fSales[[#This Row],[ProductID]],dProduct[ProductID],dProduct[CratePrice])*fSales[[#This Row],[Units]]</f>
        <v>8820</v>
      </c>
      <c r="L366">
        <f>fSales[[#This Row],[Total sales]]-_xlfn.XLOOKUP(fSales[[#This Row],[ProductID]],dProduct[ProductID],dProduct[CrateCost])*fSales[[#This Row],[Units]]</f>
        <v>4939.2</v>
      </c>
      <c r="M366">
        <f>(_xlfn.XLOOKUP(fSales[[#This Row],[ProductID]],dProduct[ProductID],dProduct[CratePrice])-_xlfn.XLOOKUP(fSales[[#This Row],[ProductID]],dProduct[ProductID],dProduct[CrateCost]))/_xlfn.XLOOKUP(fSales[[#This Row],[ProductID]],dProduct[ProductID],dProduct[CratePrice])</f>
        <v>0.56000000000000005</v>
      </c>
      <c r="N366" t="str">
        <f>_xlfn.XLOOKUP(fSales[[#This Row],[SalesRepID]],dPSalesRep[SalesRepID],dPSalesRep[SalesRep])</f>
        <v>Smitty Rad</v>
      </c>
      <c r="O366" t="str">
        <f>_xlfn.XLOOKUP(fSales[[#This Row],[SalesRepID]],dPSalesRep[SalesRepID],dPSalesRep[Region])</f>
        <v>MidWest</v>
      </c>
      <c r="P366" t="str">
        <f>_xlfn.XLOOKUP(fSales[[#This Row],[ProductID]],dProduct[ProductID],dProduct[Product])</f>
        <v>Apple</v>
      </c>
      <c r="Q366">
        <f>_xlfn.XLOOKUP(fSales[[#This Row],[ProductID]],dProduct[ProductID],dProduct[CratePrice])-_xlfn.XLOOKUP(fSales[[#This Row],[ProductID]],dProduct[ProductID],dProduct[CrateCost])</f>
        <v>19.600000000000001</v>
      </c>
      <c r="R366">
        <f>_xlfn.XLOOKUP(fSales[[#This Row],[ProductID]],dProduct[ProductID],dProduct[CratePrice])</f>
        <v>35</v>
      </c>
      <c r="S366">
        <f>_xlfn.XLOOKUP(fSales[[#This Row],[ProductID]],dProduct[ProductID],dProduct[CrateCost])</f>
        <v>15.4</v>
      </c>
    </row>
    <row r="367" spans="7:19" x14ac:dyDescent="0.25">
      <c r="G367" s="2">
        <v>45544</v>
      </c>
      <c r="H367">
        <v>72</v>
      </c>
      <c r="I367" t="s">
        <v>28</v>
      </c>
      <c r="J367" t="s">
        <v>29</v>
      </c>
      <c r="K367">
        <f>_xlfn.XLOOKUP(fSales[[#This Row],[ProductID]],dProduct[ProductID],dProduct[CratePrice])*fSales[[#This Row],[Units]]</f>
        <v>3146.4</v>
      </c>
      <c r="L367">
        <f>fSales[[#This Row],[Total sales]]-_xlfn.XLOOKUP(fSales[[#This Row],[ProductID]],dProduct[ProductID],dProduct[CrateCost])*fSales[[#This Row],[Units]]</f>
        <v>1321.4880000000001</v>
      </c>
      <c r="M367">
        <f>(_xlfn.XLOOKUP(fSales[[#This Row],[ProductID]],dProduct[ProductID],dProduct[CratePrice])-_xlfn.XLOOKUP(fSales[[#This Row],[ProductID]],dProduct[ProductID],dProduct[CrateCost]))/_xlfn.XLOOKUP(fSales[[#This Row],[ProductID]],dProduct[ProductID],dProduct[CratePrice])</f>
        <v>0.42000000000000004</v>
      </c>
      <c r="N367" t="str">
        <f>_xlfn.XLOOKUP(fSales[[#This Row],[SalesRepID]],dPSalesRep[SalesRepID],dPSalesRep[SalesRep])</f>
        <v>Sioux Best</v>
      </c>
      <c r="O367" t="str">
        <f>_xlfn.XLOOKUP(fSales[[#This Row],[SalesRepID]],dPSalesRep[SalesRepID],dPSalesRep[Region])</f>
        <v>West</v>
      </c>
      <c r="P367" t="str">
        <f>_xlfn.XLOOKUP(fSales[[#This Row],[ProductID]],dProduct[ProductID],dProduct[Product])</f>
        <v>Cherry</v>
      </c>
      <c r="Q367">
        <f>_xlfn.XLOOKUP(fSales[[#This Row],[ProductID]],dProduct[ProductID],dProduct[CratePrice])-_xlfn.XLOOKUP(fSales[[#This Row],[ProductID]],dProduct[ProductID],dProduct[CrateCost])</f>
        <v>18.354000000000003</v>
      </c>
      <c r="R367">
        <f>_xlfn.XLOOKUP(fSales[[#This Row],[ProductID]],dProduct[ProductID],dProduct[CratePrice])</f>
        <v>43.7</v>
      </c>
      <c r="S367">
        <f>_xlfn.XLOOKUP(fSales[[#This Row],[ProductID]],dProduct[ProductID],dProduct[CrateCost])</f>
        <v>25.346</v>
      </c>
    </row>
    <row r="368" spans="7:19" x14ac:dyDescent="0.25">
      <c r="G368" s="2">
        <v>45544</v>
      </c>
      <c r="H368">
        <v>132</v>
      </c>
      <c r="I368" t="s">
        <v>21</v>
      </c>
      <c r="J368" t="s">
        <v>37</v>
      </c>
      <c r="K368">
        <f>_xlfn.XLOOKUP(fSales[[#This Row],[ProductID]],dProduct[ProductID],dProduct[CratePrice])*fSales[[#This Row],[Units]]</f>
        <v>2970</v>
      </c>
      <c r="L368">
        <f>fSales[[#This Row],[Total sales]]-_xlfn.XLOOKUP(fSales[[#This Row],[ProductID]],dProduct[ProductID],dProduct[CrateCost])*fSales[[#This Row],[Units]]</f>
        <v>1306.7999999999997</v>
      </c>
      <c r="M368">
        <f>(_xlfn.XLOOKUP(fSales[[#This Row],[ProductID]],dProduct[ProductID],dProduct[CratePrice])-_xlfn.XLOOKUP(fSales[[#This Row],[ProductID]],dProduct[ProductID],dProduct[CrateCost]))/_xlfn.XLOOKUP(fSales[[#This Row],[ProductID]],dProduct[ProductID],dProduct[CratePrice])</f>
        <v>0.43999999999999995</v>
      </c>
      <c r="N368" t="str">
        <f>_xlfn.XLOOKUP(fSales[[#This Row],[SalesRepID]],dPSalesRep[SalesRepID],dPSalesRep[SalesRep])</f>
        <v>Chantel Mims</v>
      </c>
      <c r="O368" t="str">
        <f>_xlfn.XLOOKUP(fSales[[#This Row],[SalesRepID]],dPSalesRep[SalesRepID],dPSalesRep[Region])</f>
        <v>NW</v>
      </c>
      <c r="P368" t="str">
        <f>_xlfn.XLOOKUP(fSales[[#This Row],[ProductID]],dProduct[ProductID],dProduct[Product])</f>
        <v>Kiwi</v>
      </c>
      <c r="Q368">
        <f>_xlfn.XLOOKUP(fSales[[#This Row],[ProductID]],dProduct[ProductID],dProduct[CratePrice])-_xlfn.XLOOKUP(fSales[[#This Row],[ProductID]],dProduct[ProductID],dProduct[CrateCost])</f>
        <v>9.8999999999999986</v>
      </c>
      <c r="R368">
        <f>_xlfn.XLOOKUP(fSales[[#This Row],[ProductID]],dProduct[ProductID],dProduct[CratePrice])</f>
        <v>22.5</v>
      </c>
      <c r="S368">
        <f>_xlfn.XLOOKUP(fSales[[#This Row],[ProductID]],dProduct[ProductID],dProduct[CrateCost])</f>
        <v>12.600000000000001</v>
      </c>
    </row>
    <row r="369" spans="7:19" x14ac:dyDescent="0.25">
      <c r="G369" s="2">
        <v>45544</v>
      </c>
      <c r="H369">
        <v>264</v>
      </c>
      <c r="I369" t="s">
        <v>19</v>
      </c>
      <c r="J369" t="s">
        <v>29</v>
      </c>
      <c r="K369">
        <f>_xlfn.XLOOKUP(fSales[[#This Row],[ProductID]],dProduct[ProductID],dProduct[CratePrice])*fSales[[#This Row],[Units]]</f>
        <v>9240</v>
      </c>
      <c r="L369">
        <f>fSales[[#This Row],[Total sales]]-_xlfn.XLOOKUP(fSales[[#This Row],[ProductID]],dProduct[ProductID],dProduct[CrateCost])*fSales[[#This Row],[Units]]</f>
        <v>5174.3999999999996</v>
      </c>
      <c r="M369">
        <f>(_xlfn.XLOOKUP(fSales[[#This Row],[ProductID]],dProduct[ProductID],dProduct[CratePrice])-_xlfn.XLOOKUP(fSales[[#This Row],[ProductID]],dProduct[ProductID],dProduct[CrateCost]))/_xlfn.XLOOKUP(fSales[[#This Row],[ProductID]],dProduct[ProductID],dProduct[CratePrice])</f>
        <v>0.56000000000000005</v>
      </c>
      <c r="N369" t="str">
        <f>_xlfn.XLOOKUP(fSales[[#This Row],[SalesRepID]],dPSalesRep[SalesRepID],dPSalesRep[SalesRep])</f>
        <v>Sioux Best</v>
      </c>
      <c r="O369" t="str">
        <f>_xlfn.XLOOKUP(fSales[[#This Row],[SalesRepID]],dPSalesRep[SalesRepID],dPSalesRep[Region])</f>
        <v>West</v>
      </c>
      <c r="P369" t="str">
        <f>_xlfn.XLOOKUP(fSales[[#This Row],[ProductID]],dProduct[ProductID],dProduct[Product])</f>
        <v>Apple</v>
      </c>
      <c r="Q369">
        <f>_xlfn.XLOOKUP(fSales[[#This Row],[ProductID]],dProduct[ProductID],dProduct[CratePrice])-_xlfn.XLOOKUP(fSales[[#This Row],[ProductID]],dProduct[ProductID],dProduct[CrateCost])</f>
        <v>19.600000000000001</v>
      </c>
      <c r="R369">
        <f>_xlfn.XLOOKUP(fSales[[#This Row],[ProductID]],dProduct[ProductID],dProduct[CratePrice])</f>
        <v>35</v>
      </c>
      <c r="S369">
        <f>_xlfn.XLOOKUP(fSales[[#This Row],[ProductID]],dProduct[ProductID],dProduct[CrateCost])</f>
        <v>15.4</v>
      </c>
    </row>
    <row r="370" spans="7:19" x14ac:dyDescent="0.25">
      <c r="G370" s="2">
        <v>45545</v>
      </c>
      <c r="H370">
        <v>264</v>
      </c>
      <c r="I370" t="s">
        <v>28</v>
      </c>
      <c r="J370" t="s">
        <v>29</v>
      </c>
      <c r="K370">
        <f>_xlfn.XLOOKUP(fSales[[#This Row],[ProductID]],dProduct[ProductID],dProduct[CratePrice])*fSales[[#This Row],[Units]]</f>
        <v>11536.800000000001</v>
      </c>
      <c r="L370">
        <f>fSales[[#This Row],[Total sales]]-_xlfn.XLOOKUP(fSales[[#This Row],[ProductID]],dProduct[ProductID],dProduct[CrateCost])*fSales[[#This Row],[Units]]</f>
        <v>4845.456000000001</v>
      </c>
      <c r="M370">
        <f>(_xlfn.XLOOKUP(fSales[[#This Row],[ProductID]],dProduct[ProductID],dProduct[CratePrice])-_xlfn.XLOOKUP(fSales[[#This Row],[ProductID]],dProduct[ProductID],dProduct[CrateCost]))/_xlfn.XLOOKUP(fSales[[#This Row],[ProductID]],dProduct[ProductID],dProduct[CratePrice])</f>
        <v>0.42000000000000004</v>
      </c>
      <c r="N370" t="str">
        <f>_xlfn.XLOOKUP(fSales[[#This Row],[SalesRepID]],dPSalesRep[SalesRepID],dPSalesRep[SalesRep])</f>
        <v>Sioux Best</v>
      </c>
      <c r="O370" t="str">
        <f>_xlfn.XLOOKUP(fSales[[#This Row],[SalesRepID]],dPSalesRep[SalesRepID],dPSalesRep[Region])</f>
        <v>West</v>
      </c>
      <c r="P370" t="str">
        <f>_xlfn.XLOOKUP(fSales[[#This Row],[ProductID]],dProduct[ProductID],dProduct[Product])</f>
        <v>Cherry</v>
      </c>
      <c r="Q370">
        <f>_xlfn.XLOOKUP(fSales[[#This Row],[ProductID]],dProduct[ProductID],dProduct[CratePrice])-_xlfn.XLOOKUP(fSales[[#This Row],[ProductID]],dProduct[ProductID],dProduct[CrateCost])</f>
        <v>18.354000000000003</v>
      </c>
      <c r="R370">
        <f>_xlfn.XLOOKUP(fSales[[#This Row],[ProductID]],dProduct[ProductID],dProduct[CratePrice])</f>
        <v>43.7</v>
      </c>
      <c r="S370">
        <f>_xlfn.XLOOKUP(fSales[[#This Row],[ProductID]],dProduct[ProductID],dProduct[CrateCost])</f>
        <v>25.346</v>
      </c>
    </row>
    <row r="371" spans="7:19" x14ac:dyDescent="0.25">
      <c r="G371" s="2">
        <v>45545</v>
      </c>
      <c r="H371">
        <v>192</v>
      </c>
      <c r="I371" t="s">
        <v>28</v>
      </c>
      <c r="J371" t="s">
        <v>22</v>
      </c>
      <c r="K371">
        <f>_xlfn.XLOOKUP(fSales[[#This Row],[ProductID]],dProduct[ProductID],dProduct[CratePrice])*fSales[[#This Row],[Units]]</f>
        <v>8390.4000000000015</v>
      </c>
      <c r="L371">
        <f>fSales[[#This Row],[Total sales]]-_xlfn.XLOOKUP(fSales[[#This Row],[ProductID]],dProduct[ProductID],dProduct[CrateCost])*fSales[[#This Row],[Units]]</f>
        <v>3523.9680000000017</v>
      </c>
      <c r="M371">
        <f>(_xlfn.XLOOKUP(fSales[[#This Row],[ProductID]],dProduct[ProductID],dProduct[CratePrice])-_xlfn.XLOOKUP(fSales[[#This Row],[ProductID]],dProduct[ProductID],dProduct[CrateCost]))/_xlfn.XLOOKUP(fSales[[#This Row],[ProductID]],dProduct[ProductID],dProduct[CratePrice])</f>
        <v>0.42000000000000004</v>
      </c>
      <c r="N371" t="str">
        <f>_xlfn.XLOOKUP(fSales[[#This Row],[SalesRepID]],dPSalesRep[SalesRepID],dPSalesRep[SalesRep])</f>
        <v>Timmy Kips</v>
      </c>
      <c r="O371" t="str">
        <f>_xlfn.XLOOKUP(fSales[[#This Row],[SalesRepID]],dPSalesRep[SalesRepID],dPSalesRep[Region])</f>
        <v>East</v>
      </c>
      <c r="P371" t="str">
        <f>_xlfn.XLOOKUP(fSales[[#This Row],[ProductID]],dProduct[ProductID],dProduct[Product])</f>
        <v>Cherry</v>
      </c>
      <c r="Q371">
        <f>_xlfn.XLOOKUP(fSales[[#This Row],[ProductID]],dProduct[ProductID],dProduct[CratePrice])-_xlfn.XLOOKUP(fSales[[#This Row],[ProductID]],dProduct[ProductID],dProduct[CrateCost])</f>
        <v>18.354000000000003</v>
      </c>
      <c r="R371">
        <f>_xlfn.XLOOKUP(fSales[[#This Row],[ProductID]],dProduct[ProductID],dProduct[CratePrice])</f>
        <v>43.7</v>
      </c>
      <c r="S371">
        <f>_xlfn.XLOOKUP(fSales[[#This Row],[ProductID]],dProduct[ProductID],dProduct[CrateCost])</f>
        <v>25.346</v>
      </c>
    </row>
    <row r="372" spans="7:19" x14ac:dyDescent="0.25">
      <c r="G372" s="2">
        <v>45545</v>
      </c>
      <c r="H372">
        <v>120</v>
      </c>
      <c r="I372" t="s">
        <v>21</v>
      </c>
      <c r="J372" t="s">
        <v>22</v>
      </c>
      <c r="K372">
        <f>_xlfn.XLOOKUP(fSales[[#This Row],[ProductID]],dProduct[ProductID],dProduct[CratePrice])*fSales[[#This Row],[Units]]</f>
        <v>2700</v>
      </c>
      <c r="L372">
        <f>fSales[[#This Row],[Total sales]]-_xlfn.XLOOKUP(fSales[[#This Row],[ProductID]],dProduct[ProductID],dProduct[CrateCost])*fSales[[#This Row],[Units]]</f>
        <v>1187.9999999999998</v>
      </c>
      <c r="M372">
        <f>(_xlfn.XLOOKUP(fSales[[#This Row],[ProductID]],dProduct[ProductID],dProduct[CratePrice])-_xlfn.XLOOKUP(fSales[[#This Row],[ProductID]],dProduct[ProductID],dProduct[CrateCost]))/_xlfn.XLOOKUP(fSales[[#This Row],[ProductID]],dProduct[ProductID],dProduct[CratePrice])</f>
        <v>0.43999999999999995</v>
      </c>
      <c r="N372" t="str">
        <f>_xlfn.XLOOKUP(fSales[[#This Row],[SalesRepID]],dPSalesRep[SalesRepID],dPSalesRep[SalesRep])</f>
        <v>Timmy Kips</v>
      </c>
      <c r="O372" t="str">
        <f>_xlfn.XLOOKUP(fSales[[#This Row],[SalesRepID]],dPSalesRep[SalesRepID],dPSalesRep[Region])</f>
        <v>East</v>
      </c>
      <c r="P372" t="str">
        <f>_xlfn.XLOOKUP(fSales[[#This Row],[ProductID]],dProduct[ProductID],dProduct[Product])</f>
        <v>Kiwi</v>
      </c>
      <c r="Q372">
        <f>_xlfn.XLOOKUP(fSales[[#This Row],[ProductID]],dProduct[ProductID],dProduct[CratePrice])-_xlfn.XLOOKUP(fSales[[#This Row],[ProductID]],dProduct[ProductID],dProduct[CrateCost])</f>
        <v>9.8999999999999986</v>
      </c>
      <c r="R372">
        <f>_xlfn.XLOOKUP(fSales[[#This Row],[ProductID]],dProduct[ProductID],dProduct[CratePrice])</f>
        <v>22.5</v>
      </c>
      <c r="S372">
        <f>_xlfn.XLOOKUP(fSales[[#This Row],[ProductID]],dProduct[ProductID],dProduct[CrateCost])</f>
        <v>12.600000000000001</v>
      </c>
    </row>
    <row r="373" spans="7:19" x14ac:dyDescent="0.25">
      <c r="G373" s="2">
        <v>45546</v>
      </c>
      <c r="H373">
        <v>192</v>
      </c>
      <c r="I373" t="s">
        <v>28</v>
      </c>
      <c r="J373" t="s">
        <v>52</v>
      </c>
      <c r="K373">
        <f>_xlfn.XLOOKUP(fSales[[#This Row],[ProductID]],dProduct[ProductID],dProduct[CratePrice])*fSales[[#This Row],[Units]]</f>
        <v>8390.4000000000015</v>
      </c>
      <c r="L373">
        <f>fSales[[#This Row],[Total sales]]-_xlfn.XLOOKUP(fSales[[#This Row],[ProductID]],dProduct[ProductID],dProduct[CrateCost])*fSales[[#This Row],[Units]]</f>
        <v>3523.9680000000017</v>
      </c>
      <c r="M373">
        <f>(_xlfn.XLOOKUP(fSales[[#This Row],[ProductID]],dProduct[ProductID],dProduct[CratePrice])-_xlfn.XLOOKUP(fSales[[#This Row],[ProductID]],dProduct[ProductID],dProduct[CrateCost]))/_xlfn.XLOOKUP(fSales[[#This Row],[ProductID]],dProduct[ProductID],dProduct[CratePrice])</f>
        <v>0.42000000000000004</v>
      </c>
      <c r="N373" t="str">
        <f>_xlfn.XLOOKUP(fSales[[#This Row],[SalesRepID]],dPSalesRep[SalesRepID],dPSalesRep[SalesRep])</f>
        <v>Smitty Rad</v>
      </c>
      <c r="O373" t="str">
        <f>_xlfn.XLOOKUP(fSales[[#This Row],[SalesRepID]],dPSalesRep[SalesRepID],dPSalesRep[Region])</f>
        <v>MidWest</v>
      </c>
      <c r="P373" t="str">
        <f>_xlfn.XLOOKUP(fSales[[#This Row],[ProductID]],dProduct[ProductID],dProduct[Product])</f>
        <v>Cherry</v>
      </c>
      <c r="Q373">
        <f>_xlfn.XLOOKUP(fSales[[#This Row],[ProductID]],dProduct[ProductID],dProduct[CratePrice])-_xlfn.XLOOKUP(fSales[[#This Row],[ProductID]],dProduct[ProductID],dProduct[CrateCost])</f>
        <v>18.354000000000003</v>
      </c>
      <c r="R373">
        <f>_xlfn.XLOOKUP(fSales[[#This Row],[ProductID]],dProduct[ProductID],dProduct[CratePrice])</f>
        <v>43.7</v>
      </c>
      <c r="S373">
        <f>_xlfn.XLOOKUP(fSales[[#This Row],[ProductID]],dProduct[ProductID],dProduct[CrateCost])</f>
        <v>25.346</v>
      </c>
    </row>
    <row r="374" spans="7:19" x14ac:dyDescent="0.25">
      <c r="G374" s="2">
        <v>45547</v>
      </c>
      <c r="H374">
        <v>264</v>
      </c>
      <c r="I374" t="s">
        <v>19</v>
      </c>
      <c r="J374" t="s">
        <v>29</v>
      </c>
      <c r="K374">
        <f>_xlfn.XLOOKUP(fSales[[#This Row],[ProductID]],dProduct[ProductID],dProduct[CratePrice])*fSales[[#This Row],[Units]]</f>
        <v>9240</v>
      </c>
      <c r="L374">
        <f>fSales[[#This Row],[Total sales]]-_xlfn.XLOOKUP(fSales[[#This Row],[ProductID]],dProduct[ProductID],dProduct[CrateCost])*fSales[[#This Row],[Units]]</f>
        <v>5174.3999999999996</v>
      </c>
      <c r="M374">
        <f>(_xlfn.XLOOKUP(fSales[[#This Row],[ProductID]],dProduct[ProductID],dProduct[CratePrice])-_xlfn.XLOOKUP(fSales[[#This Row],[ProductID]],dProduct[ProductID],dProduct[CrateCost]))/_xlfn.XLOOKUP(fSales[[#This Row],[ProductID]],dProduct[ProductID],dProduct[CratePrice])</f>
        <v>0.56000000000000005</v>
      </c>
      <c r="N374" t="str">
        <f>_xlfn.XLOOKUP(fSales[[#This Row],[SalesRepID]],dPSalesRep[SalesRepID],dPSalesRep[SalesRep])</f>
        <v>Sioux Best</v>
      </c>
      <c r="O374" t="str">
        <f>_xlfn.XLOOKUP(fSales[[#This Row],[SalesRepID]],dPSalesRep[SalesRepID],dPSalesRep[Region])</f>
        <v>West</v>
      </c>
      <c r="P374" t="str">
        <f>_xlfn.XLOOKUP(fSales[[#This Row],[ProductID]],dProduct[ProductID],dProduct[Product])</f>
        <v>Apple</v>
      </c>
      <c r="Q374">
        <f>_xlfn.XLOOKUP(fSales[[#This Row],[ProductID]],dProduct[ProductID],dProduct[CratePrice])-_xlfn.XLOOKUP(fSales[[#This Row],[ProductID]],dProduct[ProductID],dProduct[CrateCost])</f>
        <v>19.600000000000001</v>
      </c>
      <c r="R374">
        <f>_xlfn.XLOOKUP(fSales[[#This Row],[ProductID]],dProduct[ProductID],dProduct[CratePrice])</f>
        <v>35</v>
      </c>
      <c r="S374">
        <f>_xlfn.XLOOKUP(fSales[[#This Row],[ProductID]],dProduct[ProductID],dProduct[CrateCost])</f>
        <v>15.4</v>
      </c>
    </row>
    <row r="375" spans="7:19" x14ac:dyDescent="0.25">
      <c r="G375" s="2">
        <v>45547</v>
      </c>
      <c r="H375">
        <v>180</v>
      </c>
      <c r="I375" t="s">
        <v>28</v>
      </c>
      <c r="J375" t="s">
        <v>37</v>
      </c>
      <c r="K375">
        <f>_xlfn.XLOOKUP(fSales[[#This Row],[ProductID]],dProduct[ProductID],dProduct[CratePrice])*fSales[[#This Row],[Units]]</f>
        <v>7866.0000000000009</v>
      </c>
      <c r="L375">
        <f>fSales[[#This Row],[Total sales]]-_xlfn.XLOOKUP(fSales[[#This Row],[ProductID]],dProduct[ProductID],dProduct[CrateCost])*fSales[[#This Row],[Units]]</f>
        <v>3303.7200000000012</v>
      </c>
      <c r="M375">
        <f>(_xlfn.XLOOKUP(fSales[[#This Row],[ProductID]],dProduct[ProductID],dProduct[CratePrice])-_xlfn.XLOOKUP(fSales[[#This Row],[ProductID]],dProduct[ProductID],dProduct[CrateCost]))/_xlfn.XLOOKUP(fSales[[#This Row],[ProductID]],dProduct[ProductID],dProduct[CratePrice])</f>
        <v>0.42000000000000004</v>
      </c>
      <c r="N375" t="str">
        <f>_xlfn.XLOOKUP(fSales[[#This Row],[SalesRepID]],dPSalesRep[SalesRepID],dPSalesRep[SalesRep])</f>
        <v>Chantel Mims</v>
      </c>
      <c r="O375" t="str">
        <f>_xlfn.XLOOKUP(fSales[[#This Row],[SalesRepID]],dPSalesRep[SalesRepID],dPSalesRep[Region])</f>
        <v>NW</v>
      </c>
      <c r="P375" t="str">
        <f>_xlfn.XLOOKUP(fSales[[#This Row],[ProductID]],dProduct[ProductID],dProduct[Product])</f>
        <v>Cherry</v>
      </c>
      <c r="Q375">
        <f>_xlfn.XLOOKUP(fSales[[#This Row],[ProductID]],dProduct[ProductID],dProduct[CratePrice])-_xlfn.XLOOKUP(fSales[[#This Row],[ProductID]],dProduct[ProductID],dProduct[CrateCost])</f>
        <v>18.354000000000003</v>
      </c>
      <c r="R375">
        <f>_xlfn.XLOOKUP(fSales[[#This Row],[ProductID]],dProduct[ProductID],dProduct[CratePrice])</f>
        <v>43.7</v>
      </c>
      <c r="S375">
        <f>_xlfn.XLOOKUP(fSales[[#This Row],[ProductID]],dProduct[ProductID],dProduct[CrateCost])</f>
        <v>25.346</v>
      </c>
    </row>
    <row r="376" spans="7:19" x14ac:dyDescent="0.25">
      <c r="G376" s="2">
        <v>45548</v>
      </c>
      <c r="H376">
        <v>96</v>
      </c>
      <c r="I376" t="s">
        <v>26</v>
      </c>
      <c r="J376" t="s">
        <v>22</v>
      </c>
      <c r="K376">
        <f>_xlfn.XLOOKUP(fSales[[#This Row],[ProductID]],dProduct[ProductID],dProduct[CratePrice])*fSales[[#This Row],[Units]]</f>
        <v>2856</v>
      </c>
      <c r="L376">
        <f>fSales[[#This Row],[Total sales]]-_xlfn.XLOOKUP(fSales[[#This Row],[ProductID]],dProduct[ProductID],dProduct[CrateCost])*fSales[[#This Row],[Units]]</f>
        <v>1199.52</v>
      </c>
      <c r="M376">
        <f>(_xlfn.XLOOKUP(fSales[[#This Row],[ProductID]],dProduct[ProductID],dProduct[CratePrice])-_xlfn.XLOOKUP(fSales[[#This Row],[ProductID]],dProduct[ProductID],dProduct[CrateCost]))/_xlfn.XLOOKUP(fSales[[#This Row],[ProductID]],dProduct[ProductID],dProduct[CratePrice])</f>
        <v>0.42000000000000004</v>
      </c>
      <c r="N376" t="str">
        <f>_xlfn.XLOOKUP(fSales[[#This Row],[SalesRepID]],dPSalesRep[SalesRepID],dPSalesRep[SalesRep])</f>
        <v>Timmy Kips</v>
      </c>
      <c r="O376" t="str">
        <f>_xlfn.XLOOKUP(fSales[[#This Row],[SalesRepID]],dPSalesRep[SalesRepID],dPSalesRep[Region])</f>
        <v>East</v>
      </c>
      <c r="P376" t="str">
        <f>_xlfn.XLOOKUP(fSales[[#This Row],[ProductID]],dProduct[ProductID],dProduct[Product])</f>
        <v>Orange</v>
      </c>
      <c r="Q376">
        <f>_xlfn.XLOOKUP(fSales[[#This Row],[ProductID]],dProduct[ProductID],dProduct[CratePrice])-_xlfn.XLOOKUP(fSales[[#This Row],[ProductID]],dProduct[ProductID],dProduct[CrateCost])</f>
        <v>12.495000000000001</v>
      </c>
      <c r="R376">
        <f>_xlfn.XLOOKUP(fSales[[#This Row],[ProductID]],dProduct[ProductID],dProduct[CratePrice])</f>
        <v>29.75</v>
      </c>
      <c r="S376">
        <f>_xlfn.XLOOKUP(fSales[[#This Row],[ProductID]],dProduct[ProductID],dProduct[CrateCost])</f>
        <v>17.254999999999999</v>
      </c>
    </row>
    <row r="377" spans="7:19" x14ac:dyDescent="0.25">
      <c r="G377" s="2">
        <v>45548</v>
      </c>
      <c r="H377">
        <v>240</v>
      </c>
      <c r="I377" t="s">
        <v>21</v>
      </c>
      <c r="J377" t="s">
        <v>22</v>
      </c>
      <c r="K377">
        <f>_xlfn.XLOOKUP(fSales[[#This Row],[ProductID]],dProduct[ProductID],dProduct[CratePrice])*fSales[[#This Row],[Units]]</f>
        <v>5400</v>
      </c>
      <c r="L377">
        <f>fSales[[#This Row],[Total sales]]-_xlfn.XLOOKUP(fSales[[#This Row],[ProductID]],dProduct[ProductID],dProduct[CrateCost])*fSales[[#This Row],[Units]]</f>
        <v>2375.9999999999995</v>
      </c>
      <c r="M377">
        <f>(_xlfn.XLOOKUP(fSales[[#This Row],[ProductID]],dProduct[ProductID],dProduct[CratePrice])-_xlfn.XLOOKUP(fSales[[#This Row],[ProductID]],dProduct[ProductID],dProduct[CrateCost]))/_xlfn.XLOOKUP(fSales[[#This Row],[ProductID]],dProduct[ProductID],dProduct[CratePrice])</f>
        <v>0.43999999999999995</v>
      </c>
      <c r="N377" t="str">
        <f>_xlfn.XLOOKUP(fSales[[#This Row],[SalesRepID]],dPSalesRep[SalesRepID],dPSalesRep[SalesRep])</f>
        <v>Timmy Kips</v>
      </c>
      <c r="O377" t="str">
        <f>_xlfn.XLOOKUP(fSales[[#This Row],[SalesRepID]],dPSalesRep[SalesRepID],dPSalesRep[Region])</f>
        <v>East</v>
      </c>
      <c r="P377" t="str">
        <f>_xlfn.XLOOKUP(fSales[[#This Row],[ProductID]],dProduct[ProductID],dProduct[Product])</f>
        <v>Kiwi</v>
      </c>
      <c r="Q377">
        <f>_xlfn.XLOOKUP(fSales[[#This Row],[ProductID]],dProduct[ProductID],dProduct[CratePrice])-_xlfn.XLOOKUP(fSales[[#This Row],[ProductID]],dProduct[ProductID],dProduct[CrateCost])</f>
        <v>9.8999999999999986</v>
      </c>
      <c r="R377">
        <f>_xlfn.XLOOKUP(fSales[[#This Row],[ProductID]],dProduct[ProductID],dProduct[CratePrice])</f>
        <v>22.5</v>
      </c>
      <c r="S377">
        <f>_xlfn.XLOOKUP(fSales[[#This Row],[ProductID]],dProduct[ProductID],dProduct[CrateCost])</f>
        <v>12.600000000000001</v>
      </c>
    </row>
    <row r="378" spans="7:19" x14ac:dyDescent="0.25">
      <c r="G378" s="2">
        <v>45548</v>
      </c>
      <c r="H378">
        <v>264</v>
      </c>
      <c r="I378" t="s">
        <v>26</v>
      </c>
      <c r="J378" t="s">
        <v>32</v>
      </c>
      <c r="K378">
        <f>_xlfn.XLOOKUP(fSales[[#This Row],[ProductID]],dProduct[ProductID],dProduct[CratePrice])*fSales[[#This Row],[Units]]</f>
        <v>7854</v>
      </c>
      <c r="L378">
        <f>fSales[[#This Row],[Total sales]]-_xlfn.XLOOKUP(fSales[[#This Row],[ProductID]],dProduct[ProductID],dProduct[CrateCost])*fSales[[#This Row],[Units]]</f>
        <v>3298.6800000000003</v>
      </c>
      <c r="M378">
        <f>(_xlfn.XLOOKUP(fSales[[#This Row],[ProductID]],dProduct[ProductID],dProduct[CratePrice])-_xlfn.XLOOKUP(fSales[[#This Row],[ProductID]],dProduct[ProductID],dProduct[CrateCost]))/_xlfn.XLOOKUP(fSales[[#This Row],[ProductID]],dProduct[ProductID],dProduct[CratePrice])</f>
        <v>0.42000000000000004</v>
      </c>
      <c r="N378" t="str">
        <f>_xlfn.XLOOKUP(fSales[[#This Row],[SalesRepID]],dPSalesRep[SalesRepID],dPSalesRep[SalesRep])</f>
        <v>Shihara Fazzaa</v>
      </c>
      <c r="O378" t="str">
        <f>_xlfn.XLOOKUP(fSales[[#This Row],[SalesRepID]],dPSalesRep[SalesRepID],dPSalesRep[Region])</f>
        <v>East</v>
      </c>
      <c r="P378" t="str">
        <f>_xlfn.XLOOKUP(fSales[[#This Row],[ProductID]],dProduct[ProductID],dProduct[Product])</f>
        <v>Orange</v>
      </c>
      <c r="Q378">
        <f>_xlfn.XLOOKUP(fSales[[#This Row],[ProductID]],dProduct[ProductID],dProduct[CratePrice])-_xlfn.XLOOKUP(fSales[[#This Row],[ProductID]],dProduct[ProductID],dProduct[CrateCost])</f>
        <v>12.495000000000001</v>
      </c>
      <c r="R378">
        <f>_xlfn.XLOOKUP(fSales[[#This Row],[ProductID]],dProduct[ProductID],dProduct[CratePrice])</f>
        <v>29.75</v>
      </c>
      <c r="S378">
        <f>_xlfn.XLOOKUP(fSales[[#This Row],[ProductID]],dProduct[ProductID],dProduct[CrateCost])</f>
        <v>17.254999999999999</v>
      </c>
    </row>
    <row r="379" spans="7:19" x14ac:dyDescent="0.25">
      <c r="G379" s="2">
        <v>45549</v>
      </c>
      <c r="H379">
        <v>168</v>
      </c>
      <c r="I379" t="s">
        <v>34</v>
      </c>
      <c r="J379" t="s">
        <v>37</v>
      </c>
      <c r="K379">
        <f>_xlfn.XLOOKUP(fSales[[#This Row],[ProductID]],dProduct[ProductID],dProduct[CratePrice])*fSales[[#This Row],[Units]]</f>
        <v>2940</v>
      </c>
      <c r="L379">
        <f>fSales[[#This Row],[Total sales]]-_xlfn.XLOOKUP(fSales[[#This Row],[ProductID]],dProduct[ProductID],dProduct[CrateCost])*fSales[[#This Row],[Units]]</f>
        <v>970.19999999999982</v>
      </c>
      <c r="M379">
        <f>(_xlfn.XLOOKUP(fSales[[#This Row],[ProductID]],dProduct[ProductID],dProduct[CratePrice])-_xlfn.XLOOKUP(fSales[[#This Row],[ProductID]],dProduct[ProductID],dProduct[CrateCost]))/_xlfn.XLOOKUP(fSales[[#This Row],[ProductID]],dProduct[ProductID],dProduct[CratePrice])</f>
        <v>0.3299999999999999</v>
      </c>
      <c r="N379" t="str">
        <f>_xlfn.XLOOKUP(fSales[[#This Row],[SalesRepID]],dPSalesRep[SalesRepID],dPSalesRep[SalesRep])</f>
        <v>Chantel Mims</v>
      </c>
      <c r="O379" t="str">
        <f>_xlfn.XLOOKUP(fSales[[#This Row],[SalesRepID]],dPSalesRep[SalesRepID],dPSalesRep[Region])</f>
        <v>NW</v>
      </c>
      <c r="P379" t="str">
        <f>_xlfn.XLOOKUP(fSales[[#This Row],[ProductID]],dProduct[ProductID],dProduct[Product])</f>
        <v>Banana</v>
      </c>
      <c r="Q379">
        <f>_xlfn.XLOOKUP(fSales[[#This Row],[ProductID]],dProduct[ProductID],dProduct[CratePrice])-_xlfn.XLOOKUP(fSales[[#This Row],[ProductID]],dProduct[ProductID],dProduct[CrateCost])</f>
        <v>5.7749999999999986</v>
      </c>
      <c r="R379">
        <f>_xlfn.XLOOKUP(fSales[[#This Row],[ProductID]],dProduct[ProductID],dProduct[CratePrice])</f>
        <v>17.5</v>
      </c>
      <c r="S379">
        <f>_xlfn.XLOOKUP(fSales[[#This Row],[ProductID]],dProduct[ProductID],dProduct[CrateCost])</f>
        <v>11.725000000000001</v>
      </c>
    </row>
    <row r="380" spans="7:19" x14ac:dyDescent="0.25">
      <c r="G380" s="2">
        <v>45550</v>
      </c>
      <c r="H380">
        <v>132</v>
      </c>
      <c r="I380" t="s">
        <v>26</v>
      </c>
      <c r="J380" t="s">
        <v>32</v>
      </c>
      <c r="K380">
        <f>_xlfn.XLOOKUP(fSales[[#This Row],[ProductID]],dProduct[ProductID],dProduct[CratePrice])*fSales[[#This Row],[Units]]</f>
        <v>3927</v>
      </c>
      <c r="L380">
        <f>fSales[[#This Row],[Total sales]]-_xlfn.XLOOKUP(fSales[[#This Row],[ProductID]],dProduct[ProductID],dProduct[CrateCost])*fSales[[#This Row],[Units]]</f>
        <v>1649.3400000000001</v>
      </c>
      <c r="M380">
        <f>(_xlfn.XLOOKUP(fSales[[#This Row],[ProductID]],dProduct[ProductID],dProduct[CratePrice])-_xlfn.XLOOKUP(fSales[[#This Row],[ProductID]],dProduct[ProductID],dProduct[CrateCost]))/_xlfn.XLOOKUP(fSales[[#This Row],[ProductID]],dProduct[ProductID],dProduct[CratePrice])</f>
        <v>0.42000000000000004</v>
      </c>
      <c r="N380" t="str">
        <f>_xlfn.XLOOKUP(fSales[[#This Row],[SalesRepID]],dPSalesRep[SalesRepID],dPSalesRep[SalesRep])</f>
        <v>Shihara Fazzaa</v>
      </c>
      <c r="O380" t="str">
        <f>_xlfn.XLOOKUP(fSales[[#This Row],[SalesRepID]],dPSalesRep[SalesRepID],dPSalesRep[Region])</f>
        <v>East</v>
      </c>
      <c r="P380" t="str">
        <f>_xlfn.XLOOKUP(fSales[[#This Row],[ProductID]],dProduct[ProductID],dProduct[Product])</f>
        <v>Orange</v>
      </c>
      <c r="Q380">
        <f>_xlfn.XLOOKUP(fSales[[#This Row],[ProductID]],dProduct[ProductID],dProduct[CratePrice])-_xlfn.XLOOKUP(fSales[[#This Row],[ProductID]],dProduct[ProductID],dProduct[CrateCost])</f>
        <v>12.495000000000001</v>
      </c>
      <c r="R380">
        <f>_xlfn.XLOOKUP(fSales[[#This Row],[ProductID]],dProduct[ProductID],dProduct[CratePrice])</f>
        <v>29.75</v>
      </c>
      <c r="S380">
        <f>_xlfn.XLOOKUP(fSales[[#This Row],[ProductID]],dProduct[ProductID],dProduct[CrateCost])</f>
        <v>17.254999999999999</v>
      </c>
    </row>
    <row r="381" spans="7:19" x14ac:dyDescent="0.25">
      <c r="G381" s="2">
        <v>45550</v>
      </c>
      <c r="H381">
        <v>252</v>
      </c>
      <c r="I381" t="s">
        <v>21</v>
      </c>
      <c r="J381" t="s">
        <v>29</v>
      </c>
      <c r="K381">
        <f>_xlfn.XLOOKUP(fSales[[#This Row],[ProductID]],dProduct[ProductID],dProduct[CratePrice])*fSales[[#This Row],[Units]]</f>
        <v>5670</v>
      </c>
      <c r="L381">
        <f>fSales[[#This Row],[Total sales]]-_xlfn.XLOOKUP(fSales[[#This Row],[ProductID]],dProduct[ProductID],dProduct[CrateCost])*fSales[[#This Row],[Units]]</f>
        <v>2494.7999999999997</v>
      </c>
      <c r="M381">
        <f>(_xlfn.XLOOKUP(fSales[[#This Row],[ProductID]],dProduct[ProductID],dProduct[CratePrice])-_xlfn.XLOOKUP(fSales[[#This Row],[ProductID]],dProduct[ProductID],dProduct[CrateCost]))/_xlfn.XLOOKUP(fSales[[#This Row],[ProductID]],dProduct[ProductID],dProduct[CratePrice])</f>
        <v>0.43999999999999995</v>
      </c>
      <c r="N381" t="str">
        <f>_xlfn.XLOOKUP(fSales[[#This Row],[SalesRepID]],dPSalesRep[SalesRepID],dPSalesRep[SalesRep])</f>
        <v>Sioux Best</v>
      </c>
      <c r="O381" t="str">
        <f>_xlfn.XLOOKUP(fSales[[#This Row],[SalesRepID]],dPSalesRep[SalesRepID],dPSalesRep[Region])</f>
        <v>West</v>
      </c>
      <c r="P381" t="str">
        <f>_xlfn.XLOOKUP(fSales[[#This Row],[ProductID]],dProduct[ProductID],dProduct[Product])</f>
        <v>Kiwi</v>
      </c>
      <c r="Q381">
        <f>_xlfn.XLOOKUP(fSales[[#This Row],[ProductID]],dProduct[ProductID],dProduct[CratePrice])-_xlfn.XLOOKUP(fSales[[#This Row],[ProductID]],dProduct[ProductID],dProduct[CrateCost])</f>
        <v>9.8999999999999986</v>
      </c>
      <c r="R381">
        <f>_xlfn.XLOOKUP(fSales[[#This Row],[ProductID]],dProduct[ProductID],dProduct[CratePrice])</f>
        <v>22.5</v>
      </c>
      <c r="S381">
        <f>_xlfn.XLOOKUP(fSales[[#This Row],[ProductID]],dProduct[ProductID],dProduct[CrateCost])</f>
        <v>12.600000000000001</v>
      </c>
    </row>
    <row r="382" spans="7:19" x14ac:dyDescent="0.25">
      <c r="G382" s="2">
        <v>45550</v>
      </c>
      <c r="H382">
        <v>36</v>
      </c>
      <c r="I382" t="s">
        <v>26</v>
      </c>
      <c r="J382" t="s">
        <v>22</v>
      </c>
      <c r="K382">
        <f>_xlfn.XLOOKUP(fSales[[#This Row],[ProductID]],dProduct[ProductID],dProduct[CratePrice])*fSales[[#This Row],[Units]]</f>
        <v>1071</v>
      </c>
      <c r="L382">
        <f>fSales[[#This Row],[Total sales]]-_xlfn.XLOOKUP(fSales[[#This Row],[ProductID]],dProduct[ProductID],dProduct[CrateCost])*fSales[[#This Row],[Units]]</f>
        <v>449.82000000000005</v>
      </c>
      <c r="M382">
        <f>(_xlfn.XLOOKUP(fSales[[#This Row],[ProductID]],dProduct[ProductID],dProduct[CratePrice])-_xlfn.XLOOKUP(fSales[[#This Row],[ProductID]],dProduct[ProductID],dProduct[CrateCost]))/_xlfn.XLOOKUP(fSales[[#This Row],[ProductID]],dProduct[ProductID],dProduct[CratePrice])</f>
        <v>0.42000000000000004</v>
      </c>
      <c r="N382" t="str">
        <f>_xlfn.XLOOKUP(fSales[[#This Row],[SalesRepID]],dPSalesRep[SalesRepID],dPSalesRep[SalesRep])</f>
        <v>Timmy Kips</v>
      </c>
      <c r="O382" t="str">
        <f>_xlfn.XLOOKUP(fSales[[#This Row],[SalesRepID]],dPSalesRep[SalesRepID],dPSalesRep[Region])</f>
        <v>East</v>
      </c>
      <c r="P382" t="str">
        <f>_xlfn.XLOOKUP(fSales[[#This Row],[ProductID]],dProduct[ProductID],dProduct[Product])</f>
        <v>Orange</v>
      </c>
      <c r="Q382">
        <f>_xlfn.XLOOKUP(fSales[[#This Row],[ProductID]],dProduct[ProductID],dProduct[CratePrice])-_xlfn.XLOOKUP(fSales[[#This Row],[ProductID]],dProduct[ProductID],dProduct[CrateCost])</f>
        <v>12.495000000000001</v>
      </c>
      <c r="R382">
        <f>_xlfn.XLOOKUP(fSales[[#This Row],[ProductID]],dProduct[ProductID],dProduct[CratePrice])</f>
        <v>29.75</v>
      </c>
      <c r="S382">
        <f>_xlfn.XLOOKUP(fSales[[#This Row],[ProductID]],dProduct[ProductID],dProduct[CrateCost])</f>
        <v>17.254999999999999</v>
      </c>
    </row>
    <row r="383" spans="7:19" x14ac:dyDescent="0.25">
      <c r="G383" s="2">
        <v>45551</v>
      </c>
      <c r="H383">
        <v>264</v>
      </c>
      <c r="I383" t="s">
        <v>19</v>
      </c>
      <c r="J383" t="s">
        <v>37</v>
      </c>
      <c r="K383">
        <f>_xlfn.XLOOKUP(fSales[[#This Row],[ProductID]],dProduct[ProductID],dProduct[CratePrice])*fSales[[#This Row],[Units]]</f>
        <v>9240</v>
      </c>
      <c r="L383">
        <f>fSales[[#This Row],[Total sales]]-_xlfn.XLOOKUP(fSales[[#This Row],[ProductID]],dProduct[ProductID],dProduct[CrateCost])*fSales[[#This Row],[Units]]</f>
        <v>5174.3999999999996</v>
      </c>
      <c r="M383">
        <f>(_xlfn.XLOOKUP(fSales[[#This Row],[ProductID]],dProduct[ProductID],dProduct[CratePrice])-_xlfn.XLOOKUP(fSales[[#This Row],[ProductID]],dProduct[ProductID],dProduct[CrateCost]))/_xlfn.XLOOKUP(fSales[[#This Row],[ProductID]],dProduct[ProductID],dProduct[CratePrice])</f>
        <v>0.56000000000000005</v>
      </c>
      <c r="N383" t="str">
        <f>_xlfn.XLOOKUP(fSales[[#This Row],[SalesRepID]],dPSalesRep[SalesRepID],dPSalesRep[SalesRep])</f>
        <v>Chantel Mims</v>
      </c>
      <c r="O383" t="str">
        <f>_xlfn.XLOOKUP(fSales[[#This Row],[SalesRepID]],dPSalesRep[SalesRepID],dPSalesRep[Region])</f>
        <v>NW</v>
      </c>
      <c r="P383" t="str">
        <f>_xlfn.XLOOKUP(fSales[[#This Row],[ProductID]],dProduct[ProductID],dProduct[Product])</f>
        <v>Apple</v>
      </c>
      <c r="Q383">
        <f>_xlfn.XLOOKUP(fSales[[#This Row],[ProductID]],dProduct[ProductID],dProduct[CratePrice])-_xlfn.XLOOKUP(fSales[[#This Row],[ProductID]],dProduct[ProductID],dProduct[CrateCost])</f>
        <v>19.600000000000001</v>
      </c>
      <c r="R383">
        <f>_xlfn.XLOOKUP(fSales[[#This Row],[ProductID]],dProduct[ProductID],dProduct[CratePrice])</f>
        <v>35</v>
      </c>
      <c r="S383">
        <f>_xlfn.XLOOKUP(fSales[[#This Row],[ProductID]],dProduct[ProductID],dProduct[CrateCost])</f>
        <v>15.4</v>
      </c>
    </row>
    <row r="384" spans="7:19" x14ac:dyDescent="0.25">
      <c r="G384" s="2">
        <v>45551</v>
      </c>
      <c r="H384">
        <v>180</v>
      </c>
      <c r="I384" t="s">
        <v>28</v>
      </c>
      <c r="J384" t="s">
        <v>52</v>
      </c>
      <c r="K384">
        <f>_xlfn.XLOOKUP(fSales[[#This Row],[ProductID]],dProduct[ProductID],dProduct[CratePrice])*fSales[[#This Row],[Units]]</f>
        <v>7866.0000000000009</v>
      </c>
      <c r="L384">
        <f>fSales[[#This Row],[Total sales]]-_xlfn.XLOOKUP(fSales[[#This Row],[ProductID]],dProduct[ProductID],dProduct[CrateCost])*fSales[[#This Row],[Units]]</f>
        <v>3303.7200000000012</v>
      </c>
      <c r="M384">
        <f>(_xlfn.XLOOKUP(fSales[[#This Row],[ProductID]],dProduct[ProductID],dProduct[CratePrice])-_xlfn.XLOOKUP(fSales[[#This Row],[ProductID]],dProduct[ProductID],dProduct[CrateCost]))/_xlfn.XLOOKUP(fSales[[#This Row],[ProductID]],dProduct[ProductID],dProduct[CratePrice])</f>
        <v>0.42000000000000004</v>
      </c>
      <c r="N384" t="str">
        <f>_xlfn.XLOOKUP(fSales[[#This Row],[SalesRepID]],dPSalesRep[SalesRepID],dPSalesRep[SalesRep])</f>
        <v>Smitty Rad</v>
      </c>
      <c r="O384" t="str">
        <f>_xlfn.XLOOKUP(fSales[[#This Row],[SalesRepID]],dPSalesRep[SalesRepID],dPSalesRep[Region])</f>
        <v>MidWest</v>
      </c>
      <c r="P384" t="str">
        <f>_xlfn.XLOOKUP(fSales[[#This Row],[ProductID]],dProduct[ProductID],dProduct[Product])</f>
        <v>Cherry</v>
      </c>
      <c r="Q384">
        <f>_xlfn.XLOOKUP(fSales[[#This Row],[ProductID]],dProduct[ProductID],dProduct[CratePrice])-_xlfn.XLOOKUP(fSales[[#This Row],[ProductID]],dProduct[ProductID],dProduct[CrateCost])</f>
        <v>18.354000000000003</v>
      </c>
      <c r="R384">
        <f>_xlfn.XLOOKUP(fSales[[#This Row],[ProductID]],dProduct[ProductID],dProduct[CratePrice])</f>
        <v>43.7</v>
      </c>
      <c r="S384">
        <f>_xlfn.XLOOKUP(fSales[[#This Row],[ProductID]],dProduct[ProductID],dProduct[CrateCost])</f>
        <v>25.346</v>
      </c>
    </row>
    <row r="385" spans="7:19" x14ac:dyDescent="0.25">
      <c r="G385" s="2">
        <v>45551</v>
      </c>
      <c r="H385">
        <v>96</v>
      </c>
      <c r="I385" t="s">
        <v>26</v>
      </c>
      <c r="J385" t="s">
        <v>29</v>
      </c>
      <c r="K385">
        <f>_xlfn.XLOOKUP(fSales[[#This Row],[ProductID]],dProduct[ProductID],dProduct[CratePrice])*fSales[[#This Row],[Units]]</f>
        <v>2856</v>
      </c>
      <c r="L385">
        <f>fSales[[#This Row],[Total sales]]-_xlfn.XLOOKUP(fSales[[#This Row],[ProductID]],dProduct[ProductID],dProduct[CrateCost])*fSales[[#This Row],[Units]]</f>
        <v>1199.52</v>
      </c>
      <c r="M385">
        <f>(_xlfn.XLOOKUP(fSales[[#This Row],[ProductID]],dProduct[ProductID],dProduct[CratePrice])-_xlfn.XLOOKUP(fSales[[#This Row],[ProductID]],dProduct[ProductID],dProduct[CrateCost]))/_xlfn.XLOOKUP(fSales[[#This Row],[ProductID]],dProduct[ProductID],dProduct[CratePrice])</f>
        <v>0.42000000000000004</v>
      </c>
      <c r="N385" t="str">
        <f>_xlfn.XLOOKUP(fSales[[#This Row],[SalesRepID]],dPSalesRep[SalesRepID],dPSalesRep[SalesRep])</f>
        <v>Sioux Best</v>
      </c>
      <c r="O385" t="str">
        <f>_xlfn.XLOOKUP(fSales[[#This Row],[SalesRepID]],dPSalesRep[SalesRepID],dPSalesRep[Region])</f>
        <v>West</v>
      </c>
      <c r="P385" t="str">
        <f>_xlfn.XLOOKUP(fSales[[#This Row],[ProductID]],dProduct[ProductID],dProduct[Product])</f>
        <v>Orange</v>
      </c>
      <c r="Q385">
        <f>_xlfn.XLOOKUP(fSales[[#This Row],[ProductID]],dProduct[ProductID],dProduct[CratePrice])-_xlfn.XLOOKUP(fSales[[#This Row],[ProductID]],dProduct[ProductID],dProduct[CrateCost])</f>
        <v>12.495000000000001</v>
      </c>
      <c r="R385">
        <f>_xlfn.XLOOKUP(fSales[[#This Row],[ProductID]],dProduct[ProductID],dProduct[CratePrice])</f>
        <v>29.75</v>
      </c>
      <c r="S385">
        <f>_xlfn.XLOOKUP(fSales[[#This Row],[ProductID]],dProduct[ProductID],dProduct[CrateCost])</f>
        <v>17.254999999999999</v>
      </c>
    </row>
    <row r="386" spans="7:19" x14ac:dyDescent="0.25">
      <c r="G386" s="2">
        <v>45552</v>
      </c>
      <c r="H386">
        <v>120</v>
      </c>
      <c r="I386" t="s">
        <v>28</v>
      </c>
      <c r="J386" t="s">
        <v>37</v>
      </c>
      <c r="K386">
        <f>_xlfn.XLOOKUP(fSales[[#This Row],[ProductID]],dProduct[ProductID],dProduct[CratePrice])*fSales[[#This Row],[Units]]</f>
        <v>5244</v>
      </c>
      <c r="L386">
        <f>fSales[[#This Row],[Total sales]]-_xlfn.XLOOKUP(fSales[[#This Row],[ProductID]],dProduct[ProductID],dProduct[CrateCost])*fSales[[#This Row],[Units]]</f>
        <v>2202.48</v>
      </c>
      <c r="M386">
        <f>(_xlfn.XLOOKUP(fSales[[#This Row],[ProductID]],dProduct[ProductID],dProduct[CratePrice])-_xlfn.XLOOKUP(fSales[[#This Row],[ProductID]],dProduct[ProductID],dProduct[CrateCost]))/_xlfn.XLOOKUP(fSales[[#This Row],[ProductID]],dProduct[ProductID],dProduct[CratePrice])</f>
        <v>0.42000000000000004</v>
      </c>
      <c r="N386" t="str">
        <f>_xlfn.XLOOKUP(fSales[[#This Row],[SalesRepID]],dPSalesRep[SalesRepID],dPSalesRep[SalesRep])</f>
        <v>Chantel Mims</v>
      </c>
      <c r="O386" t="str">
        <f>_xlfn.XLOOKUP(fSales[[#This Row],[SalesRepID]],dPSalesRep[SalesRepID],dPSalesRep[Region])</f>
        <v>NW</v>
      </c>
      <c r="P386" t="str">
        <f>_xlfn.XLOOKUP(fSales[[#This Row],[ProductID]],dProduct[ProductID],dProduct[Product])</f>
        <v>Cherry</v>
      </c>
      <c r="Q386">
        <f>_xlfn.XLOOKUP(fSales[[#This Row],[ProductID]],dProduct[ProductID],dProduct[CratePrice])-_xlfn.XLOOKUP(fSales[[#This Row],[ProductID]],dProduct[ProductID],dProduct[CrateCost])</f>
        <v>18.354000000000003</v>
      </c>
      <c r="R386">
        <f>_xlfn.XLOOKUP(fSales[[#This Row],[ProductID]],dProduct[ProductID],dProduct[CratePrice])</f>
        <v>43.7</v>
      </c>
      <c r="S386">
        <f>_xlfn.XLOOKUP(fSales[[#This Row],[ProductID]],dProduct[ProductID],dProduct[CrateCost])</f>
        <v>25.346</v>
      </c>
    </row>
    <row r="387" spans="7:19" x14ac:dyDescent="0.25">
      <c r="G387" s="2">
        <v>45552</v>
      </c>
      <c r="H387">
        <v>132</v>
      </c>
      <c r="I387" t="s">
        <v>34</v>
      </c>
      <c r="J387" t="s">
        <v>29</v>
      </c>
      <c r="K387">
        <f>_xlfn.XLOOKUP(fSales[[#This Row],[ProductID]],dProduct[ProductID],dProduct[CratePrice])*fSales[[#This Row],[Units]]</f>
        <v>2310</v>
      </c>
      <c r="L387">
        <f>fSales[[#This Row],[Total sales]]-_xlfn.XLOOKUP(fSales[[#This Row],[ProductID]],dProduct[ProductID],dProduct[CrateCost])*fSales[[#This Row],[Units]]</f>
        <v>762.29999999999973</v>
      </c>
      <c r="M387">
        <f>(_xlfn.XLOOKUP(fSales[[#This Row],[ProductID]],dProduct[ProductID],dProduct[CratePrice])-_xlfn.XLOOKUP(fSales[[#This Row],[ProductID]],dProduct[ProductID],dProduct[CrateCost]))/_xlfn.XLOOKUP(fSales[[#This Row],[ProductID]],dProduct[ProductID],dProduct[CratePrice])</f>
        <v>0.3299999999999999</v>
      </c>
      <c r="N387" t="str">
        <f>_xlfn.XLOOKUP(fSales[[#This Row],[SalesRepID]],dPSalesRep[SalesRepID],dPSalesRep[SalesRep])</f>
        <v>Sioux Best</v>
      </c>
      <c r="O387" t="str">
        <f>_xlfn.XLOOKUP(fSales[[#This Row],[SalesRepID]],dPSalesRep[SalesRepID],dPSalesRep[Region])</f>
        <v>West</v>
      </c>
      <c r="P387" t="str">
        <f>_xlfn.XLOOKUP(fSales[[#This Row],[ProductID]],dProduct[ProductID],dProduct[Product])</f>
        <v>Banana</v>
      </c>
      <c r="Q387">
        <f>_xlfn.XLOOKUP(fSales[[#This Row],[ProductID]],dProduct[ProductID],dProduct[CratePrice])-_xlfn.XLOOKUP(fSales[[#This Row],[ProductID]],dProduct[ProductID],dProduct[CrateCost])</f>
        <v>5.7749999999999986</v>
      </c>
      <c r="R387">
        <f>_xlfn.XLOOKUP(fSales[[#This Row],[ProductID]],dProduct[ProductID],dProduct[CratePrice])</f>
        <v>17.5</v>
      </c>
      <c r="S387">
        <f>_xlfn.XLOOKUP(fSales[[#This Row],[ProductID]],dProduct[ProductID],dProduct[CrateCost])</f>
        <v>11.725000000000001</v>
      </c>
    </row>
    <row r="388" spans="7:19" x14ac:dyDescent="0.25">
      <c r="G388" s="2">
        <v>45553</v>
      </c>
      <c r="H388">
        <v>204</v>
      </c>
      <c r="I388" t="s">
        <v>21</v>
      </c>
      <c r="J388" t="s">
        <v>37</v>
      </c>
      <c r="K388">
        <f>_xlfn.XLOOKUP(fSales[[#This Row],[ProductID]],dProduct[ProductID],dProduct[CratePrice])*fSales[[#This Row],[Units]]</f>
        <v>4590</v>
      </c>
      <c r="L388">
        <f>fSales[[#This Row],[Total sales]]-_xlfn.XLOOKUP(fSales[[#This Row],[ProductID]],dProduct[ProductID],dProduct[CrateCost])*fSales[[#This Row],[Units]]</f>
        <v>2019.6</v>
      </c>
      <c r="M388">
        <f>(_xlfn.XLOOKUP(fSales[[#This Row],[ProductID]],dProduct[ProductID],dProduct[CratePrice])-_xlfn.XLOOKUP(fSales[[#This Row],[ProductID]],dProduct[ProductID],dProduct[CrateCost]))/_xlfn.XLOOKUP(fSales[[#This Row],[ProductID]],dProduct[ProductID],dProduct[CratePrice])</f>
        <v>0.43999999999999995</v>
      </c>
      <c r="N388" t="str">
        <f>_xlfn.XLOOKUP(fSales[[#This Row],[SalesRepID]],dPSalesRep[SalesRepID],dPSalesRep[SalesRep])</f>
        <v>Chantel Mims</v>
      </c>
      <c r="O388" t="str">
        <f>_xlfn.XLOOKUP(fSales[[#This Row],[SalesRepID]],dPSalesRep[SalesRepID],dPSalesRep[Region])</f>
        <v>NW</v>
      </c>
      <c r="P388" t="str">
        <f>_xlfn.XLOOKUP(fSales[[#This Row],[ProductID]],dProduct[ProductID],dProduct[Product])</f>
        <v>Kiwi</v>
      </c>
      <c r="Q388">
        <f>_xlfn.XLOOKUP(fSales[[#This Row],[ProductID]],dProduct[ProductID],dProduct[CratePrice])-_xlfn.XLOOKUP(fSales[[#This Row],[ProductID]],dProduct[ProductID],dProduct[CrateCost])</f>
        <v>9.8999999999999986</v>
      </c>
      <c r="R388">
        <f>_xlfn.XLOOKUP(fSales[[#This Row],[ProductID]],dProduct[ProductID],dProduct[CratePrice])</f>
        <v>22.5</v>
      </c>
      <c r="S388">
        <f>_xlfn.XLOOKUP(fSales[[#This Row],[ProductID]],dProduct[ProductID],dProduct[CrateCost])</f>
        <v>12.600000000000001</v>
      </c>
    </row>
    <row r="389" spans="7:19" x14ac:dyDescent="0.25">
      <c r="G389" s="2">
        <v>45554</v>
      </c>
      <c r="H389">
        <v>132</v>
      </c>
      <c r="I389" t="s">
        <v>34</v>
      </c>
      <c r="J389" t="s">
        <v>22</v>
      </c>
      <c r="K389">
        <f>_xlfn.XLOOKUP(fSales[[#This Row],[ProductID]],dProduct[ProductID],dProduct[CratePrice])*fSales[[#This Row],[Units]]</f>
        <v>2310</v>
      </c>
      <c r="L389">
        <f>fSales[[#This Row],[Total sales]]-_xlfn.XLOOKUP(fSales[[#This Row],[ProductID]],dProduct[ProductID],dProduct[CrateCost])*fSales[[#This Row],[Units]]</f>
        <v>762.29999999999973</v>
      </c>
      <c r="M389">
        <f>(_xlfn.XLOOKUP(fSales[[#This Row],[ProductID]],dProduct[ProductID],dProduct[CratePrice])-_xlfn.XLOOKUP(fSales[[#This Row],[ProductID]],dProduct[ProductID],dProduct[CrateCost]))/_xlfn.XLOOKUP(fSales[[#This Row],[ProductID]],dProduct[ProductID],dProduct[CratePrice])</f>
        <v>0.3299999999999999</v>
      </c>
      <c r="N389" t="str">
        <f>_xlfn.XLOOKUP(fSales[[#This Row],[SalesRepID]],dPSalesRep[SalesRepID],dPSalesRep[SalesRep])</f>
        <v>Timmy Kips</v>
      </c>
      <c r="O389" t="str">
        <f>_xlfn.XLOOKUP(fSales[[#This Row],[SalesRepID]],dPSalesRep[SalesRepID],dPSalesRep[Region])</f>
        <v>East</v>
      </c>
      <c r="P389" t="str">
        <f>_xlfn.XLOOKUP(fSales[[#This Row],[ProductID]],dProduct[ProductID],dProduct[Product])</f>
        <v>Banana</v>
      </c>
      <c r="Q389">
        <f>_xlfn.XLOOKUP(fSales[[#This Row],[ProductID]],dProduct[ProductID],dProduct[CratePrice])-_xlfn.XLOOKUP(fSales[[#This Row],[ProductID]],dProduct[ProductID],dProduct[CrateCost])</f>
        <v>5.7749999999999986</v>
      </c>
      <c r="R389">
        <f>_xlfn.XLOOKUP(fSales[[#This Row],[ProductID]],dProduct[ProductID],dProduct[CratePrice])</f>
        <v>17.5</v>
      </c>
      <c r="S389">
        <f>_xlfn.XLOOKUP(fSales[[#This Row],[ProductID]],dProduct[ProductID],dProduct[CrateCost])</f>
        <v>11.725000000000001</v>
      </c>
    </row>
    <row r="390" spans="7:19" x14ac:dyDescent="0.25">
      <c r="G390" s="2">
        <v>45555</v>
      </c>
      <c r="H390">
        <v>276</v>
      </c>
      <c r="I390" t="s">
        <v>28</v>
      </c>
      <c r="J390" t="s">
        <v>29</v>
      </c>
      <c r="K390">
        <f>_xlfn.XLOOKUP(fSales[[#This Row],[ProductID]],dProduct[ProductID],dProduct[CratePrice])*fSales[[#This Row],[Units]]</f>
        <v>12061.2</v>
      </c>
      <c r="L390">
        <f>fSales[[#This Row],[Total sales]]-_xlfn.XLOOKUP(fSales[[#This Row],[ProductID]],dProduct[ProductID],dProduct[CrateCost])*fSales[[#This Row],[Units]]</f>
        <v>5065.7040000000006</v>
      </c>
      <c r="M390">
        <f>(_xlfn.XLOOKUP(fSales[[#This Row],[ProductID]],dProduct[ProductID],dProduct[CratePrice])-_xlfn.XLOOKUP(fSales[[#This Row],[ProductID]],dProduct[ProductID],dProduct[CrateCost]))/_xlfn.XLOOKUP(fSales[[#This Row],[ProductID]],dProduct[ProductID],dProduct[CratePrice])</f>
        <v>0.42000000000000004</v>
      </c>
      <c r="N390" t="str">
        <f>_xlfn.XLOOKUP(fSales[[#This Row],[SalesRepID]],dPSalesRep[SalesRepID],dPSalesRep[SalesRep])</f>
        <v>Sioux Best</v>
      </c>
      <c r="O390" t="str">
        <f>_xlfn.XLOOKUP(fSales[[#This Row],[SalesRepID]],dPSalesRep[SalesRepID],dPSalesRep[Region])</f>
        <v>West</v>
      </c>
      <c r="P390" t="str">
        <f>_xlfn.XLOOKUP(fSales[[#This Row],[ProductID]],dProduct[ProductID],dProduct[Product])</f>
        <v>Cherry</v>
      </c>
      <c r="Q390">
        <f>_xlfn.XLOOKUP(fSales[[#This Row],[ProductID]],dProduct[ProductID],dProduct[CratePrice])-_xlfn.XLOOKUP(fSales[[#This Row],[ProductID]],dProduct[ProductID],dProduct[CrateCost])</f>
        <v>18.354000000000003</v>
      </c>
      <c r="R390">
        <f>_xlfn.XLOOKUP(fSales[[#This Row],[ProductID]],dProduct[ProductID],dProduct[CratePrice])</f>
        <v>43.7</v>
      </c>
      <c r="S390">
        <f>_xlfn.XLOOKUP(fSales[[#This Row],[ProductID]],dProduct[ProductID],dProduct[CrateCost])</f>
        <v>25.346</v>
      </c>
    </row>
    <row r="391" spans="7:19" x14ac:dyDescent="0.25">
      <c r="G391" s="2">
        <v>45556</v>
      </c>
      <c r="H391">
        <v>108</v>
      </c>
      <c r="I391" t="s">
        <v>26</v>
      </c>
      <c r="J391" t="s">
        <v>29</v>
      </c>
      <c r="K391">
        <f>_xlfn.XLOOKUP(fSales[[#This Row],[ProductID]],dProduct[ProductID],dProduct[CratePrice])*fSales[[#This Row],[Units]]</f>
        <v>3213</v>
      </c>
      <c r="L391">
        <f>fSales[[#This Row],[Total sales]]-_xlfn.XLOOKUP(fSales[[#This Row],[ProductID]],dProduct[ProductID],dProduct[CrateCost])*fSales[[#This Row],[Units]]</f>
        <v>1349.46</v>
      </c>
      <c r="M391">
        <f>(_xlfn.XLOOKUP(fSales[[#This Row],[ProductID]],dProduct[ProductID],dProduct[CratePrice])-_xlfn.XLOOKUP(fSales[[#This Row],[ProductID]],dProduct[ProductID],dProduct[CrateCost]))/_xlfn.XLOOKUP(fSales[[#This Row],[ProductID]],dProduct[ProductID],dProduct[CratePrice])</f>
        <v>0.42000000000000004</v>
      </c>
      <c r="N391" t="str">
        <f>_xlfn.XLOOKUP(fSales[[#This Row],[SalesRepID]],dPSalesRep[SalesRepID],dPSalesRep[SalesRep])</f>
        <v>Sioux Best</v>
      </c>
      <c r="O391" t="str">
        <f>_xlfn.XLOOKUP(fSales[[#This Row],[SalesRepID]],dPSalesRep[SalesRepID],dPSalesRep[Region])</f>
        <v>West</v>
      </c>
      <c r="P391" t="str">
        <f>_xlfn.XLOOKUP(fSales[[#This Row],[ProductID]],dProduct[ProductID],dProduct[Product])</f>
        <v>Orange</v>
      </c>
      <c r="Q391">
        <f>_xlfn.XLOOKUP(fSales[[#This Row],[ProductID]],dProduct[ProductID],dProduct[CratePrice])-_xlfn.XLOOKUP(fSales[[#This Row],[ProductID]],dProduct[ProductID],dProduct[CrateCost])</f>
        <v>12.495000000000001</v>
      </c>
      <c r="R391">
        <f>_xlfn.XLOOKUP(fSales[[#This Row],[ProductID]],dProduct[ProductID],dProduct[CratePrice])</f>
        <v>29.75</v>
      </c>
      <c r="S391">
        <f>_xlfn.XLOOKUP(fSales[[#This Row],[ProductID]],dProduct[ProductID],dProduct[CrateCost])</f>
        <v>17.254999999999999</v>
      </c>
    </row>
    <row r="392" spans="7:19" x14ac:dyDescent="0.25">
      <c r="G392" s="2">
        <v>45556</v>
      </c>
      <c r="H392">
        <v>144</v>
      </c>
      <c r="I392" t="s">
        <v>21</v>
      </c>
      <c r="J392" t="s">
        <v>22</v>
      </c>
      <c r="K392">
        <f>_xlfn.XLOOKUP(fSales[[#This Row],[ProductID]],dProduct[ProductID],dProduct[CratePrice])*fSales[[#This Row],[Units]]</f>
        <v>3240</v>
      </c>
      <c r="L392">
        <f>fSales[[#This Row],[Total sales]]-_xlfn.XLOOKUP(fSales[[#This Row],[ProductID]],dProduct[ProductID],dProduct[CrateCost])*fSales[[#This Row],[Units]]</f>
        <v>1425.6</v>
      </c>
      <c r="M392">
        <f>(_xlfn.XLOOKUP(fSales[[#This Row],[ProductID]],dProduct[ProductID],dProduct[CratePrice])-_xlfn.XLOOKUP(fSales[[#This Row],[ProductID]],dProduct[ProductID],dProduct[CrateCost]))/_xlfn.XLOOKUP(fSales[[#This Row],[ProductID]],dProduct[ProductID],dProduct[CratePrice])</f>
        <v>0.43999999999999995</v>
      </c>
      <c r="N392" t="str">
        <f>_xlfn.XLOOKUP(fSales[[#This Row],[SalesRepID]],dPSalesRep[SalesRepID],dPSalesRep[SalesRep])</f>
        <v>Timmy Kips</v>
      </c>
      <c r="O392" t="str">
        <f>_xlfn.XLOOKUP(fSales[[#This Row],[SalesRepID]],dPSalesRep[SalesRepID],dPSalesRep[Region])</f>
        <v>East</v>
      </c>
      <c r="P392" t="str">
        <f>_xlfn.XLOOKUP(fSales[[#This Row],[ProductID]],dProduct[ProductID],dProduct[Product])</f>
        <v>Kiwi</v>
      </c>
      <c r="Q392">
        <f>_xlfn.XLOOKUP(fSales[[#This Row],[ProductID]],dProduct[ProductID],dProduct[CratePrice])-_xlfn.XLOOKUP(fSales[[#This Row],[ProductID]],dProduct[ProductID],dProduct[CrateCost])</f>
        <v>9.8999999999999986</v>
      </c>
      <c r="R392">
        <f>_xlfn.XLOOKUP(fSales[[#This Row],[ProductID]],dProduct[ProductID],dProduct[CratePrice])</f>
        <v>22.5</v>
      </c>
      <c r="S392">
        <f>_xlfn.XLOOKUP(fSales[[#This Row],[ProductID]],dProduct[ProductID],dProduct[CrateCost])</f>
        <v>12.600000000000001</v>
      </c>
    </row>
    <row r="393" spans="7:19" x14ac:dyDescent="0.25">
      <c r="G393" s="2">
        <v>45556</v>
      </c>
      <c r="H393">
        <v>276</v>
      </c>
      <c r="I393" t="s">
        <v>19</v>
      </c>
      <c r="J393" t="s">
        <v>37</v>
      </c>
      <c r="K393">
        <f>_xlfn.XLOOKUP(fSales[[#This Row],[ProductID]],dProduct[ProductID],dProduct[CratePrice])*fSales[[#This Row],[Units]]</f>
        <v>9660</v>
      </c>
      <c r="L393">
        <f>fSales[[#This Row],[Total sales]]-_xlfn.XLOOKUP(fSales[[#This Row],[ProductID]],dProduct[ProductID],dProduct[CrateCost])*fSales[[#This Row],[Units]]</f>
        <v>5409.5999999999995</v>
      </c>
      <c r="M393">
        <f>(_xlfn.XLOOKUP(fSales[[#This Row],[ProductID]],dProduct[ProductID],dProduct[CratePrice])-_xlfn.XLOOKUP(fSales[[#This Row],[ProductID]],dProduct[ProductID],dProduct[CrateCost]))/_xlfn.XLOOKUP(fSales[[#This Row],[ProductID]],dProduct[ProductID],dProduct[CratePrice])</f>
        <v>0.56000000000000005</v>
      </c>
      <c r="N393" t="str">
        <f>_xlfn.XLOOKUP(fSales[[#This Row],[SalesRepID]],dPSalesRep[SalesRepID],dPSalesRep[SalesRep])</f>
        <v>Chantel Mims</v>
      </c>
      <c r="O393" t="str">
        <f>_xlfn.XLOOKUP(fSales[[#This Row],[SalesRepID]],dPSalesRep[SalesRepID],dPSalesRep[Region])</f>
        <v>NW</v>
      </c>
      <c r="P393" t="str">
        <f>_xlfn.XLOOKUP(fSales[[#This Row],[ProductID]],dProduct[ProductID],dProduct[Product])</f>
        <v>Apple</v>
      </c>
      <c r="Q393">
        <f>_xlfn.XLOOKUP(fSales[[#This Row],[ProductID]],dProduct[ProductID],dProduct[CratePrice])-_xlfn.XLOOKUP(fSales[[#This Row],[ProductID]],dProduct[ProductID],dProduct[CrateCost])</f>
        <v>19.600000000000001</v>
      </c>
      <c r="R393">
        <f>_xlfn.XLOOKUP(fSales[[#This Row],[ProductID]],dProduct[ProductID],dProduct[CratePrice])</f>
        <v>35</v>
      </c>
      <c r="S393">
        <f>_xlfn.XLOOKUP(fSales[[#This Row],[ProductID]],dProduct[ProductID],dProduct[CrateCost])</f>
        <v>15.4</v>
      </c>
    </row>
    <row r="394" spans="7:19" x14ac:dyDescent="0.25">
      <c r="G394" s="2">
        <v>45556</v>
      </c>
      <c r="H394">
        <v>288</v>
      </c>
      <c r="I394" t="s">
        <v>21</v>
      </c>
      <c r="J394" t="s">
        <v>22</v>
      </c>
      <c r="K394">
        <f>_xlfn.XLOOKUP(fSales[[#This Row],[ProductID]],dProduct[ProductID],dProduct[CratePrice])*fSales[[#This Row],[Units]]</f>
        <v>6480</v>
      </c>
      <c r="L394">
        <f>fSales[[#This Row],[Total sales]]-_xlfn.XLOOKUP(fSales[[#This Row],[ProductID]],dProduct[ProductID],dProduct[CrateCost])*fSales[[#This Row],[Units]]</f>
        <v>2851.2</v>
      </c>
      <c r="M394">
        <f>(_xlfn.XLOOKUP(fSales[[#This Row],[ProductID]],dProduct[ProductID],dProduct[CratePrice])-_xlfn.XLOOKUP(fSales[[#This Row],[ProductID]],dProduct[ProductID],dProduct[CrateCost]))/_xlfn.XLOOKUP(fSales[[#This Row],[ProductID]],dProduct[ProductID],dProduct[CratePrice])</f>
        <v>0.43999999999999995</v>
      </c>
      <c r="N394" t="str">
        <f>_xlfn.XLOOKUP(fSales[[#This Row],[SalesRepID]],dPSalesRep[SalesRepID],dPSalesRep[SalesRep])</f>
        <v>Timmy Kips</v>
      </c>
      <c r="O394" t="str">
        <f>_xlfn.XLOOKUP(fSales[[#This Row],[SalesRepID]],dPSalesRep[SalesRepID],dPSalesRep[Region])</f>
        <v>East</v>
      </c>
      <c r="P394" t="str">
        <f>_xlfn.XLOOKUP(fSales[[#This Row],[ProductID]],dProduct[ProductID],dProduct[Product])</f>
        <v>Kiwi</v>
      </c>
      <c r="Q394">
        <f>_xlfn.XLOOKUP(fSales[[#This Row],[ProductID]],dProduct[ProductID],dProduct[CratePrice])-_xlfn.XLOOKUP(fSales[[#This Row],[ProductID]],dProduct[ProductID],dProduct[CrateCost])</f>
        <v>9.8999999999999986</v>
      </c>
      <c r="R394">
        <f>_xlfn.XLOOKUP(fSales[[#This Row],[ProductID]],dProduct[ProductID],dProduct[CratePrice])</f>
        <v>22.5</v>
      </c>
      <c r="S394">
        <f>_xlfn.XLOOKUP(fSales[[#This Row],[ProductID]],dProduct[ProductID],dProduct[CrateCost])</f>
        <v>12.600000000000001</v>
      </c>
    </row>
    <row r="395" spans="7:19" x14ac:dyDescent="0.25">
      <c r="G395" s="2">
        <v>45557</v>
      </c>
      <c r="H395">
        <v>264</v>
      </c>
      <c r="I395" t="s">
        <v>28</v>
      </c>
      <c r="J395" t="s">
        <v>52</v>
      </c>
      <c r="K395">
        <f>_xlfn.XLOOKUP(fSales[[#This Row],[ProductID]],dProduct[ProductID],dProduct[CratePrice])*fSales[[#This Row],[Units]]</f>
        <v>11536.800000000001</v>
      </c>
      <c r="L395">
        <f>fSales[[#This Row],[Total sales]]-_xlfn.XLOOKUP(fSales[[#This Row],[ProductID]],dProduct[ProductID],dProduct[CrateCost])*fSales[[#This Row],[Units]]</f>
        <v>4845.456000000001</v>
      </c>
      <c r="M395">
        <f>(_xlfn.XLOOKUP(fSales[[#This Row],[ProductID]],dProduct[ProductID],dProduct[CratePrice])-_xlfn.XLOOKUP(fSales[[#This Row],[ProductID]],dProduct[ProductID],dProduct[CrateCost]))/_xlfn.XLOOKUP(fSales[[#This Row],[ProductID]],dProduct[ProductID],dProduct[CratePrice])</f>
        <v>0.42000000000000004</v>
      </c>
      <c r="N395" t="str">
        <f>_xlfn.XLOOKUP(fSales[[#This Row],[SalesRepID]],dPSalesRep[SalesRepID],dPSalesRep[SalesRep])</f>
        <v>Smitty Rad</v>
      </c>
      <c r="O395" t="str">
        <f>_xlfn.XLOOKUP(fSales[[#This Row],[SalesRepID]],dPSalesRep[SalesRepID],dPSalesRep[Region])</f>
        <v>MidWest</v>
      </c>
      <c r="P395" t="str">
        <f>_xlfn.XLOOKUP(fSales[[#This Row],[ProductID]],dProduct[ProductID],dProduct[Product])</f>
        <v>Cherry</v>
      </c>
      <c r="Q395">
        <f>_xlfn.XLOOKUP(fSales[[#This Row],[ProductID]],dProduct[ProductID],dProduct[CratePrice])-_xlfn.XLOOKUP(fSales[[#This Row],[ProductID]],dProduct[ProductID],dProduct[CrateCost])</f>
        <v>18.354000000000003</v>
      </c>
      <c r="R395">
        <f>_xlfn.XLOOKUP(fSales[[#This Row],[ProductID]],dProduct[ProductID],dProduct[CratePrice])</f>
        <v>43.7</v>
      </c>
      <c r="S395">
        <f>_xlfn.XLOOKUP(fSales[[#This Row],[ProductID]],dProduct[ProductID],dProduct[CrateCost])</f>
        <v>25.346</v>
      </c>
    </row>
    <row r="396" spans="7:19" x14ac:dyDescent="0.25">
      <c r="G396" s="2">
        <v>45558</v>
      </c>
      <c r="H396">
        <v>108</v>
      </c>
      <c r="I396" t="s">
        <v>26</v>
      </c>
      <c r="J396" t="s">
        <v>29</v>
      </c>
      <c r="K396">
        <f>_xlfn.XLOOKUP(fSales[[#This Row],[ProductID]],dProduct[ProductID],dProduct[CratePrice])*fSales[[#This Row],[Units]]</f>
        <v>3213</v>
      </c>
      <c r="L396">
        <f>fSales[[#This Row],[Total sales]]-_xlfn.XLOOKUP(fSales[[#This Row],[ProductID]],dProduct[ProductID],dProduct[CrateCost])*fSales[[#This Row],[Units]]</f>
        <v>1349.46</v>
      </c>
      <c r="M396">
        <f>(_xlfn.XLOOKUP(fSales[[#This Row],[ProductID]],dProduct[ProductID],dProduct[CratePrice])-_xlfn.XLOOKUP(fSales[[#This Row],[ProductID]],dProduct[ProductID],dProduct[CrateCost]))/_xlfn.XLOOKUP(fSales[[#This Row],[ProductID]],dProduct[ProductID],dProduct[CratePrice])</f>
        <v>0.42000000000000004</v>
      </c>
      <c r="N396" t="str">
        <f>_xlfn.XLOOKUP(fSales[[#This Row],[SalesRepID]],dPSalesRep[SalesRepID],dPSalesRep[SalesRep])</f>
        <v>Sioux Best</v>
      </c>
      <c r="O396" t="str">
        <f>_xlfn.XLOOKUP(fSales[[#This Row],[SalesRepID]],dPSalesRep[SalesRepID],dPSalesRep[Region])</f>
        <v>West</v>
      </c>
      <c r="P396" t="str">
        <f>_xlfn.XLOOKUP(fSales[[#This Row],[ProductID]],dProduct[ProductID],dProduct[Product])</f>
        <v>Orange</v>
      </c>
      <c r="Q396">
        <f>_xlfn.XLOOKUP(fSales[[#This Row],[ProductID]],dProduct[ProductID],dProduct[CratePrice])-_xlfn.XLOOKUP(fSales[[#This Row],[ProductID]],dProduct[ProductID],dProduct[CrateCost])</f>
        <v>12.495000000000001</v>
      </c>
      <c r="R396">
        <f>_xlfn.XLOOKUP(fSales[[#This Row],[ProductID]],dProduct[ProductID],dProduct[CratePrice])</f>
        <v>29.75</v>
      </c>
      <c r="S396">
        <f>_xlfn.XLOOKUP(fSales[[#This Row],[ProductID]],dProduct[ProductID],dProduct[CrateCost])</f>
        <v>17.254999999999999</v>
      </c>
    </row>
    <row r="397" spans="7:19" x14ac:dyDescent="0.25">
      <c r="G397" s="2">
        <v>45559</v>
      </c>
      <c r="H397">
        <v>108</v>
      </c>
      <c r="I397" t="s">
        <v>34</v>
      </c>
      <c r="J397" t="s">
        <v>37</v>
      </c>
      <c r="K397">
        <f>_xlfn.XLOOKUP(fSales[[#This Row],[ProductID]],dProduct[ProductID],dProduct[CratePrice])*fSales[[#This Row],[Units]]</f>
        <v>1890</v>
      </c>
      <c r="L397">
        <f>fSales[[#This Row],[Total sales]]-_xlfn.XLOOKUP(fSales[[#This Row],[ProductID]],dProduct[ProductID],dProduct[CrateCost])*fSales[[#This Row],[Units]]</f>
        <v>623.69999999999982</v>
      </c>
      <c r="M397">
        <f>(_xlfn.XLOOKUP(fSales[[#This Row],[ProductID]],dProduct[ProductID],dProduct[CratePrice])-_xlfn.XLOOKUP(fSales[[#This Row],[ProductID]],dProduct[ProductID],dProduct[CrateCost]))/_xlfn.XLOOKUP(fSales[[#This Row],[ProductID]],dProduct[ProductID],dProduct[CratePrice])</f>
        <v>0.3299999999999999</v>
      </c>
      <c r="N397" t="str">
        <f>_xlfn.XLOOKUP(fSales[[#This Row],[SalesRepID]],dPSalesRep[SalesRepID],dPSalesRep[SalesRep])</f>
        <v>Chantel Mims</v>
      </c>
      <c r="O397" t="str">
        <f>_xlfn.XLOOKUP(fSales[[#This Row],[SalesRepID]],dPSalesRep[SalesRepID],dPSalesRep[Region])</f>
        <v>NW</v>
      </c>
      <c r="P397" t="str">
        <f>_xlfn.XLOOKUP(fSales[[#This Row],[ProductID]],dProduct[ProductID],dProduct[Product])</f>
        <v>Banana</v>
      </c>
      <c r="Q397">
        <f>_xlfn.XLOOKUP(fSales[[#This Row],[ProductID]],dProduct[ProductID],dProduct[CratePrice])-_xlfn.XLOOKUP(fSales[[#This Row],[ProductID]],dProduct[ProductID],dProduct[CrateCost])</f>
        <v>5.7749999999999986</v>
      </c>
      <c r="R397">
        <f>_xlfn.XLOOKUP(fSales[[#This Row],[ProductID]],dProduct[ProductID],dProduct[CratePrice])</f>
        <v>17.5</v>
      </c>
      <c r="S397">
        <f>_xlfn.XLOOKUP(fSales[[#This Row],[ProductID]],dProduct[ProductID],dProduct[CrateCost])</f>
        <v>11.725000000000001</v>
      </c>
    </row>
    <row r="398" spans="7:19" x14ac:dyDescent="0.25">
      <c r="G398" s="2">
        <v>45560</v>
      </c>
      <c r="H398">
        <v>204</v>
      </c>
      <c r="I398" t="s">
        <v>26</v>
      </c>
      <c r="J398" t="s">
        <v>37</v>
      </c>
      <c r="K398">
        <f>_xlfn.XLOOKUP(fSales[[#This Row],[ProductID]],dProduct[ProductID],dProduct[CratePrice])*fSales[[#This Row],[Units]]</f>
        <v>6069</v>
      </c>
      <c r="L398">
        <f>fSales[[#This Row],[Total sales]]-_xlfn.XLOOKUP(fSales[[#This Row],[ProductID]],dProduct[ProductID],dProduct[CrateCost])*fSales[[#This Row],[Units]]</f>
        <v>2548.98</v>
      </c>
      <c r="M398">
        <f>(_xlfn.XLOOKUP(fSales[[#This Row],[ProductID]],dProduct[ProductID],dProduct[CratePrice])-_xlfn.XLOOKUP(fSales[[#This Row],[ProductID]],dProduct[ProductID],dProduct[CrateCost]))/_xlfn.XLOOKUP(fSales[[#This Row],[ProductID]],dProduct[ProductID],dProduct[CratePrice])</f>
        <v>0.42000000000000004</v>
      </c>
      <c r="N398" t="str">
        <f>_xlfn.XLOOKUP(fSales[[#This Row],[SalesRepID]],dPSalesRep[SalesRepID],dPSalesRep[SalesRep])</f>
        <v>Chantel Mims</v>
      </c>
      <c r="O398" t="str">
        <f>_xlfn.XLOOKUP(fSales[[#This Row],[SalesRepID]],dPSalesRep[SalesRepID],dPSalesRep[Region])</f>
        <v>NW</v>
      </c>
      <c r="P398" t="str">
        <f>_xlfn.XLOOKUP(fSales[[#This Row],[ProductID]],dProduct[ProductID],dProduct[Product])</f>
        <v>Orange</v>
      </c>
      <c r="Q398">
        <f>_xlfn.XLOOKUP(fSales[[#This Row],[ProductID]],dProduct[ProductID],dProduct[CratePrice])-_xlfn.XLOOKUP(fSales[[#This Row],[ProductID]],dProduct[ProductID],dProduct[CrateCost])</f>
        <v>12.495000000000001</v>
      </c>
      <c r="R398">
        <f>_xlfn.XLOOKUP(fSales[[#This Row],[ProductID]],dProduct[ProductID],dProduct[CratePrice])</f>
        <v>29.75</v>
      </c>
      <c r="S398">
        <f>_xlfn.XLOOKUP(fSales[[#This Row],[ProductID]],dProduct[ProductID],dProduct[CrateCost])</f>
        <v>17.254999999999999</v>
      </c>
    </row>
    <row r="399" spans="7:19" x14ac:dyDescent="0.25">
      <c r="G399" s="2">
        <v>45560</v>
      </c>
      <c r="H399">
        <v>132</v>
      </c>
      <c r="I399" t="s">
        <v>28</v>
      </c>
      <c r="J399" t="s">
        <v>52</v>
      </c>
      <c r="K399">
        <f>_xlfn.XLOOKUP(fSales[[#This Row],[ProductID]],dProduct[ProductID],dProduct[CratePrice])*fSales[[#This Row],[Units]]</f>
        <v>5768.4000000000005</v>
      </c>
      <c r="L399">
        <f>fSales[[#This Row],[Total sales]]-_xlfn.XLOOKUP(fSales[[#This Row],[ProductID]],dProduct[ProductID],dProduct[CrateCost])*fSales[[#This Row],[Units]]</f>
        <v>2422.7280000000005</v>
      </c>
      <c r="M399">
        <f>(_xlfn.XLOOKUP(fSales[[#This Row],[ProductID]],dProduct[ProductID],dProduct[CratePrice])-_xlfn.XLOOKUP(fSales[[#This Row],[ProductID]],dProduct[ProductID],dProduct[CrateCost]))/_xlfn.XLOOKUP(fSales[[#This Row],[ProductID]],dProduct[ProductID],dProduct[CratePrice])</f>
        <v>0.42000000000000004</v>
      </c>
      <c r="N399" t="str">
        <f>_xlfn.XLOOKUP(fSales[[#This Row],[SalesRepID]],dPSalesRep[SalesRepID],dPSalesRep[SalesRep])</f>
        <v>Smitty Rad</v>
      </c>
      <c r="O399" t="str">
        <f>_xlfn.XLOOKUP(fSales[[#This Row],[SalesRepID]],dPSalesRep[SalesRepID],dPSalesRep[Region])</f>
        <v>MidWest</v>
      </c>
      <c r="P399" t="str">
        <f>_xlfn.XLOOKUP(fSales[[#This Row],[ProductID]],dProduct[ProductID],dProduct[Product])</f>
        <v>Cherry</v>
      </c>
      <c r="Q399">
        <f>_xlfn.XLOOKUP(fSales[[#This Row],[ProductID]],dProduct[ProductID],dProduct[CratePrice])-_xlfn.XLOOKUP(fSales[[#This Row],[ProductID]],dProduct[ProductID],dProduct[CrateCost])</f>
        <v>18.354000000000003</v>
      </c>
      <c r="R399">
        <f>_xlfn.XLOOKUP(fSales[[#This Row],[ProductID]],dProduct[ProductID],dProduct[CratePrice])</f>
        <v>43.7</v>
      </c>
      <c r="S399">
        <f>_xlfn.XLOOKUP(fSales[[#This Row],[ProductID]],dProduct[ProductID],dProduct[CrateCost])</f>
        <v>25.346</v>
      </c>
    </row>
    <row r="400" spans="7:19" x14ac:dyDescent="0.25">
      <c r="G400" s="2">
        <v>45560</v>
      </c>
      <c r="H400">
        <v>108</v>
      </c>
      <c r="I400" t="s">
        <v>26</v>
      </c>
      <c r="J400" t="s">
        <v>37</v>
      </c>
      <c r="K400">
        <f>_xlfn.XLOOKUP(fSales[[#This Row],[ProductID]],dProduct[ProductID],dProduct[CratePrice])*fSales[[#This Row],[Units]]</f>
        <v>3213</v>
      </c>
      <c r="L400">
        <f>fSales[[#This Row],[Total sales]]-_xlfn.XLOOKUP(fSales[[#This Row],[ProductID]],dProduct[ProductID],dProduct[CrateCost])*fSales[[#This Row],[Units]]</f>
        <v>1349.46</v>
      </c>
      <c r="M400">
        <f>(_xlfn.XLOOKUP(fSales[[#This Row],[ProductID]],dProduct[ProductID],dProduct[CratePrice])-_xlfn.XLOOKUP(fSales[[#This Row],[ProductID]],dProduct[ProductID],dProduct[CrateCost]))/_xlfn.XLOOKUP(fSales[[#This Row],[ProductID]],dProduct[ProductID],dProduct[CratePrice])</f>
        <v>0.42000000000000004</v>
      </c>
      <c r="N400" t="str">
        <f>_xlfn.XLOOKUP(fSales[[#This Row],[SalesRepID]],dPSalesRep[SalesRepID],dPSalesRep[SalesRep])</f>
        <v>Chantel Mims</v>
      </c>
      <c r="O400" t="str">
        <f>_xlfn.XLOOKUP(fSales[[#This Row],[SalesRepID]],dPSalesRep[SalesRepID],dPSalesRep[Region])</f>
        <v>NW</v>
      </c>
      <c r="P400" t="str">
        <f>_xlfn.XLOOKUP(fSales[[#This Row],[ProductID]],dProduct[ProductID],dProduct[Product])</f>
        <v>Orange</v>
      </c>
      <c r="Q400">
        <f>_xlfn.XLOOKUP(fSales[[#This Row],[ProductID]],dProduct[ProductID],dProduct[CratePrice])-_xlfn.XLOOKUP(fSales[[#This Row],[ProductID]],dProduct[ProductID],dProduct[CrateCost])</f>
        <v>12.495000000000001</v>
      </c>
      <c r="R400">
        <f>_xlfn.XLOOKUP(fSales[[#This Row],[ProductID]],dProduct[ProductID],dProduct[CratePrice])</f>
        <v>29.75</v>
      </c>
      <c r="S400">
        <f>_xlfn.XLOOKUP(fSales[[#This Row],[ProductID]],dProduct[ProductID],dProduct[CrateCost])</f>
        <v>17.254999999999999</v>
      </c>
    </row>
    <row r="401" spans="7:19" x14ac:dyDescent="0.25">
      <c r="G401" s="2">
        <v>45561</v>
      </c>
      <c r="H401">
        <v>168</v>
      </c>
      <c r="I401" t="s">
        <v>19</v>
      </c>
      <c r="J401" t="s">
        <v>32</v>
      </c>
      <c r="K401">
        <f>_xlfn.XLOOKUP(fSales[[#This Row],[ProductID]],dProduct[ProductID],dProduct[CratePrice])*fSales[[#This Row],[Units]]</f>
        <v>5880</v>
      </c>
      <c r="L401">
        <f>fSales[[#This Row],[Total sales]]-_xlfn.XLOOKUP(fSales[[#This Row],[ProductID]],dProduct[ProductID],dProduct[CrateCost])*fSales[[#This Row],[Units]]</f>
        <v>3292.7999999999997</v>
      </c>
      <c r="M401">
        <f>(_xlfn.XLOOKUP(fSales[[#This Row],[ProductID]],dProduct[ProductID],dProduct[CratePrice])-_xlfn.XLOOKUP(fSales[[#This Row],[ProductID]],dProduct[ProductID],dProduct[CrateCost]))/_xlfn.XLOOKUP(fSales[[#This Row],[ProductID]],dProduct[ProductID],dProduct[CratePrice])</f>
        <v>0.56000000000000005</v>
      </c>
      <c r="N401" t="str">
        <f>_xlfn.XLOOKUP(fSales[[#This Row],[SalesRepID]],dPSalesRep[SalesRepID],dPSalesRep[SalesRep])</f>
        <v>Shihara Fazzaa</v>
      </c>
      <c r="O401" t="str">
        <f>_xlfn.XLOOKUP(fSales[[#This Row],[SalesRepID]],dPSalesRep[SalesRepID],dPSalesRep[Region])</f>
        <v>East</v>
      </c>
      <c r="P401" t="str">
        <f>_xlfn.XLOOKUP(fSales[[#This Row],[ProductID]],dProduct[ProductID],dProduct[Product])</f>
        <v>Apple</v>
      </c>
      <c r="Q401">
        <f>_xlfn.XLOOKUP(fSales[[#This Row],[ProductID]],dProduct[ProductID],dProduct[CratePrice])-_xlfn.XLOOKUP(fSales[[#This Row],[ProductID]],dProduct[ProductID],dProduct[CrateCost])</f>
        <v>19.600000000000001</v>
      </c>
      <c r="R401">
        <f>_xlfn.XLOOKUP(fSales[[#This Row],[ProductID]],dProduct[ProductID],dProduct[CratePrice])</f>
        <v>35</v>
      </c>
      <c r="S401">
        <f>_xlfn.XLOOKUP(fSales[[#This Row],[ProductID]],dProduct[ProductID],dProduct[CrateCost])</f>
        <v>15.4</v>
      </c>
    </row>
    <row r="402" spans="7:19" x14ac:dyDescent="0.25">
      <c r="G402" s="2">
        <v>45562</v>
      </c>
      <c r="H402">
        <v>60</v>
      </c>
      <c r="I402" t="s">
        <v>34</v>
      </c>
      <c r="J402" t="s">
        <v>52</v>
      </c>
      <c r="K402">
        <f>_xlfn.XLOOKUP(fSales[[#This Row],[ProductID]],dProduct[ProductID],dProduct[CratePrice])*fSales[[#This Row],[Units]]</f>
        <v>1050</v>
      </c>
      <c r="L402">
        <f>fSales[[#This Row],[Total sales]]-_xlfn.XLOOKUP(fSales[[#This Row],[ProductID]],dProduct[ProductID],dProduct[CrateCost])*fSales[[#This Row],[Units]]</f>
        <v>346.49999999999989</v>
      </c>
      <c r="M402">
        <f>(_xlfn.XLOOKUP(fSales[[#This Row],[ProductID]],dProduct[ProductID],dProduct[CratePrice])-_xlfn.XLOOKUP(fSales[[#This Row],[ProductID]],dProduct[ProductID],dProduct[CrateCost]))/_xlfn.XLOOKUP(fSales[[#This Row],[ProductID]],dProduct[ProductID],dProduct[CratePrice])</f>
        <v>0.3299999999999999</v>
      </c>
      <c r="N402" t="str">
        <f>_xlfn.XLOOKUP(fSales[[#This Row],[SalesRepID]],dPSalesRep[SalesRepID],dPSalesRep[SalesRep])</f>
        <v>Smitty Rad</v>
      </c>
      <c r="O402" t="str">
        <f>_xlfn.XLOOKUP(fSales[[#This Row],[SalesRepID]],dPSalesRep[SalesRepID],dPSalesRep[Region])</f>
        <v>MidWest</v>
      </c>
      <c r="P402" t="str">
        <f>_xlfn.XLOOKUP(fSales[[#This Row],[ProductID]],dProduct[ProductID],dProduct[Product])</f>
        <v>Banana</v>
      </c>
      <c r="Q402">
        <f>_xlfn.XLOOKUP(fSales[[#This Row],[ProductID]],dProduct[ProductID],dProduct[CratePrice])-_xlfn.XLOOKUP(fSales[[#This Row],[ProductID]],dProduct[ProductID],dProduct[CrateCost])</f>
        <v>5.7749999999999986</v>
      </c>
      <c r="R402">
        <f>_xlfn.XLOOKUP(fSales[[#This Row],[ProductID]],dProduct[ProductID],dProduct[CratePrice])</f>
        <v>17.5</v>
      </c>
      <c r="S402">
        <f>_xlfn.XLOOKUP(fSales[[#This Row],[ProductID]],dProduct[ProductID],dProduct[CrateCost])</f>
        <v>11.725000000000001</v>
      </c>
    </row>
    <row r="403" spans="7:19" x14ac:dyDescent="0.25">
      <c r="G403" s="2">
        <v>45562</v>
      </c>
      <c r="H403">
        <v>216</v>
      </c>
      <c r="I403" t="s">
        <v>21</v>
      </c>
      <c r="J403" t="s">
        <v>29</v>
      </c>
      <c r="K403">
        <f>_xlfn.XLOOKUP(fSales[[#This Row],[ProductID]],dProduct[ProductID],dProduct[CratePrice])*fSales[[#This Row],[Units]]</f>
        <v>4860</v>
      </c>
      <c r="L403">
        <f>fSales[[#This Row],[Total sales]]-_xlfn.XLOOKUP(fSales[[#This Row],[ProductID]],dProduct[ProductID],dProduct[CrateCost])*fSales[[#This Row],[Units]]</f>
        <v>2138.3999999999996</v>
      </c>
      <c r="M403">
        <f>(_xlfn.XLOOKUP(fSales[[#This Row],[ProductID]],dProduct[ProductID],dProduct[CratePrice])-_xlfn.XLOOKUP(fSales[[#This Row],[ProductID]],dProduct[ProductID],dProduct[CrateCost]))/_xlfn.XLOOKUP(fSales[[#This Row],[ProductID]],dProduct[ProductID],dProduct[CratePrice])</f>
        <v>0.43999999999999995</v>
      </c>
      <c r="N403" t="str">
        <f>_xlfn.XLOOKUP(fSales[[#This Row],[SalesRepID]],dPSalesRep[SalesRepID],dPSalesRep[SalesRep])</f>
        <v>Sioux Best</v>
      </c>
      <c r="O403" t="str">
        <f>_xlfn.XLOOKUP(fSales[[#This Row],[SalesRepID]],dPSalesRep[SalesRepID],dPSalesRep[Region])</f>
        <v>West</v>
      </c>
      <c r="P403" t="str">
        <f>_xlfn.XLOOKUP(fSales[[#This Row],[ProductID]],dProduct[ProductID],dProduct[Product])</f>
        <v>Kiwi</v>
      </c>
      <c r="Q403">
        <f>_xlfn.XLOOKUP(fSales[[#This Row],[ProductID]],dProduct[ProductID],dProduct[CratePrice])-_xlfn.XLOOKUP(fSales[[#This Row],[ProductID]],dProduct[ProductID],dProduct[CrateCost])</f>
        <v>9.8999999999999986</v>
      </c>
      <c r="R403">
        <f>_xlfn.XLOOKUP(fSales[[#This Row],[ProductID]],dProduct[ProductID],dProduct[CratePrice])</f>
        <v>22.5</v>
      </c>
      <c r="S403">
        <f>_xlfn.XLOOKUP(fSales[[#This Row],[ProductID]],dProduct[ProductID],dProduct[CrateCost])</f>
        <v>12.600000000000001</v>
      </c>
    </row>
    <row r="404" spans="7:19" x14ac:dyDescent="0.25">
      <c r="G404" s="2">
        <v>45563</v>
      </c>
      <c r="H404">
        <v>240</v>
      </c>
      <c r="I404" t="s">
        <v>21</v>
      </c>
      <c r="J404" t="s">
        <v>37</v>
      </c>
      <c r="K404">
        <f>_xlfn.XLOOKUP(fSales[[#This Row],[ProductID]],dProduct[ProductID],dProduct[CratePrice])*fSales[[#This Row],[Units]]</f>
        <v>5400</v>
      </c>
      <c r="L404">
        <f>fSales[[#This Row],[Total sales]]-_xlfn.XLOOKUP(fSales[[#This Row],[ProductID]],dProduct[ProductID],dProduct[CrateCost])*fSales[[#This Row],[Units]]</f>
        <v>2375.9999999999995</v>
      </c>
      <c r="M404">
        <f>(_xlfn.XLOOKUP(fSales[[#This Row],[ProductID]],dProduct[ProductID],dProduct[CratePrice])-_xlfn.XLOOKUP(fSales[[#This Row],[ProductID]],dProduct[ProductID],dProduct[CrateCost]))/_xlfn.XLOOKUP(fSales[[#This Row],[ProductID]],dProduct[ProductID],dProduct[CratePrice])</f>
        <v>0.43999999999999995</v>
      </c>
      <c r="N404" t="str">
        <f>_xlfn.XLOOKUP(fSales[[#This Row],[SalesRepID]],dPSalesRep[SalesRepID],dPSalesRep[SalesRep])</f>
        <v>Chantel Mims</v>
      </c>
      <c r="O404" t="str">
        <f>_xlfn.XLOOKUP(fSales[[#This Row],[SalesRepID]],dPSalesRep[SalesRepID],dPSalesRep[Region])</f>
        <v>NW</v>
      </c>
      <c r="P404" t="str">
        <f>_xlfn.XLOOKUP(fSales[[#This Row],[ProductID]],dProduct[ProductID],dProduct[Product])</f>
        <v>Kiwi</v>
      </c>
      <c r="Q404">
        <f>_xlfn.XLOOKUP(fSales[[#This Row],[ProductID]],dProduct[ProductID],dProduct[CratePrice])-_xlfn.XLOOKUP(fSales[[#This Row],[ProductID]],dProduct[ProductID],dProduct[CrateCost])</f>
        <v>9.8999999999999986</v>
      </c>
      <c r="R404">
        <f>_xlfn.XLOOKUP(fSales[[#This Row],[ProductID]],dProduct[ProductID],dProduct[CratePrice])</f>
        <v>22.5</v>
      </c>
      <c r="S404">
        <f>_xlfn.XLOOKUP(fSales[[#This Row],[ProductID]],dProduct[ProductID],dProduct[CrateCost])</f>
        <v>12.600000000000001</v>
      </c>
    </row>
    <row r="405" spans="7:19" x14ac:dyDescent="0.25">
      <c r="G405" s="2">
        <v>45563</v>
      </c>
      <c r="H405">
        <v>264</v>
      </c>
      <c r="I405" t="s">
        <v>34</v>
      </c>
      <c r="J405" t="s">
        <v>37</v>
      </c>
      <c r="K405">
        <f>_xlfn.XLOOKUP(fSales[[#This Row],[ProductID]],dProduct[ProductID],dProduct[CratePrice])*fSales[[#This Row],[Units]]</f>
        <v>4620</v>
      </c>
      <c r="L405">
        <f>fSales[[#This Row],[Total sales]]-_xlfn.XLOOKUP(fSales[[#This Row],[ProductID]],dProduct[ProductID],dProduct[CrateCost])*fSales[[#This Row],[Units]]</f>
        <v>1524.5999999999995</v>
      </c>
      <c r="M405">
        <f>(_xlfn.XLOOKUP(fSales[[#This Row],[ProductID]],dProduct[ProductID],dProduct[CratePrice])-_xlfn.XLOOKUP(fSales[[#This Row],[ProductID]],dProduct[ProductID],dProduct[CrateCost]))/_xlfn.XLOOKUP(fSales[[#This Row],[ProductID]],dProduct[ProductID],dProduct[CratePrice])</f>
        <v>0.3299999999999999</v>
      </c>
      <c r="N405" t="str">
        <f>_xlfn.XLOOKUP(fSales[[#This Row],[SalesRepID]],dPSalesRep[SalesRepID],dPSalesRep[SalesRep])</f>
        <v>Chantel Mims</v>
      </c>
      <c r="O405" t="str">
        <f>_xlfn.XLOOKUP(fSales[[#This Row],[SalesRepID]],dPSalesRep[SalesRepID],dPSalesRep[Region])</f>
        <v>NW</v>
      </c>
      <c r="P405" t="str">
        <f>_xlfn.XLOOKUP(fSales[[#This Row],[ProductID]],dProduct[ProductID],dProduct[Product])</f>
        <v>Banana</v>
      </c>
      <c r="Q405">
        <f>_xlfn.XLOOKUP(fSales[[#This Row],[ProductID]],dProduct[ProductID],dProduct[CratePrice])-_xlfn.XLOOKUP(fSales[[#This Row],[ProductID]],dProduct[ProductID],dProduct[CrateCost])</f>
        <v>5.7749999999999986</v>
      </c>
      <c r="R405">
        <f>_xlfn.XLOOKUP(fSales[[#This Row],[ProductID]],dProduct[ProductID],dProduct[CratePrice])</f>
        <v>17.5</v>
      </c>
      <c r="S405">
        <f>_xlfn.XLOOKUP(fSales[[#This Row],[ProductID]],dProduct[ProductID],dProduct[CrateCost])</f>
        <v>11.725000000000001</v>
      </c>
    </row>
    <row r="406" spans="7:19" x14ac:dyDescent="0.25">
      <c r="G406" s="2">
        <v>45563</v>
      </c>
      <c r="H406">
        <v>156</v>
      </c>
      <c r="I406" t="s">
        <v>26</v>
      </c>
      <c r="J406" t="s">
        <v>29</v>
      </c>
      <c r="K406">
        <f>_xlfn.XLOOKUP(fSales[[#This Row],[ProductID]],dProduct[ProductID],dProduct[CratePrice])*fSales[[#This Row],[Units]]</f>
        <v>4641</v>
      </c>
      <c r="L406">
        <f>fSales[[#This Row],[Total sales]]-_xlfn.XLOOKUP(fSales[[#This Row],[ProductID]],dProduct[ProductID],dProduct[CrateCost])*fSales[[#This Row],[Units]]</f>
        <v>1949.2200000000003</v>
      </c>
      <c r="M406">
        <f>(_xlfn.XLOOKUP(fSales[[#This Row],[ProductID]],dProduct[ProductID],dProduct[CratePrice])-_xlfn.XLOOKUP(fSales[[#This Row],[ProductID]],dProduct[ProductID],dProduct[CrateCost]))/_xlfn.XLOOKUP(fSales[[#This Row],[ProductID]],dProduct[ProductID],dProduct[CratePrice])</f>
        <v>0.42000000000000004</v>
      </c>
      <c r="N406" t="str">
        <f>_xlfn.XLOOKUP(fSales[[#This Row],[SalesRepID]],dPSalesRep[SalesRepID],dPSalesRep[SalesRep])</f>
        <v>Sioux Best</v>
      </c>
      <c r="O406" t="str">
        <f>_xlfn.XLOOKUP(fSales[[#This Row],[SalesRepID]],dPSalesRep[SalesRepID],dPSalesRep[Region])</f>
        <v>West</v>
      </c>
      <c r="P406" t="str">
        <f>_xlfn.XLOOKUP(fSales[[#This Row],[ProductID]],dProduct[ProductID],dProduct[Product])</f>
        <v>Orange</v>
      </c>
      <c r="Q406">
        <f>_xlfn.XLOOKUP(fSales[[#This Row],[ProductID]],dProduct[ProductID],dProduct[CratePrice])-_xlfn.XLOOKUP(fSales[[#This Row],[ProductID]],dProduct[ProductID],dProduct[CrateCost])</f>
        <v>12.495000000000001</v>
      </c>
      <c r="R406">
        <f>_xlfn.XLOOKUP(fSales[[#This Row],[ProductID]],dProduct[ProductID],dProduct[CratePrice])</f>
        <v>29.75</v>
      </c>
      <c r="S406">
        <f>_xlfn.XLOOKUP(fSales[[#This Row],[ProductID]],dProduct[ProductID],dProduct[CrateCost])</f>
        <v>17.254999999999999</v>
      </c>
    </row>
    <row r="407" spans="7:19" x14ac:dyDescent="0.25">
      <c r="G407" s="2">
        <v>45565</v>
      </c>
      <c r="H407">
        <v>180</v>
      </c>
      <c r="I407" t="s">
        <v>19</v>
      </c>
      <c r="J407" t="s">
        <v>32</v>
      </c>
      <c r="K407">
        <f>_xlfn.XLOOKUP(fSales[[#This Row],[ProductID]],dProduct[ProductID],dProduct[CratePrice])*fSales[[#This Row],[Units]]</f>
        <v>6300</v>
      </c>
      <c r="L407">
        <f>fSales[[#This Row],[Total sales]]-_xlfn.XLOOKUP(fSales[[#This Row],[ProductID]],dProduct[ProductID],dProduct[CrateCost])*fSales[[#This Row],[Units]]</f>
        <v>3528</v>
      </c>
      <c r="M407">
        <f>(_xlfn.XLOOKUP(fSales[[#This Row],[ProductID]],dProduct[ProductID],dProduct[CratePrice])-_xlfn.XLOOKUP(fSales[[#This Row],[ProductID]],dProduct[ProductID],dProduct[CrateCost]))/_xlfn.XLOOKUP(fSales[[#This Row],[ProductID]],dProduct[ProductID],dProduct[CratePrice])</f>
        <v>0.56000000000000005</v>
      </c>
      <c r="N407" t="str">
        <f>_xlfn.XLOOKUP(fSales[[#This Row],[SalesRepID]],dPSalesRep[SalesRepID],dPSalesRep[SalesRep])</f>
        <v>Shihara Fazzaa</v>
      </c>
      <c r="O407" t="str">
        <f>_xlfn.XLOOKUP(fSales[[#This Row],[SalesRepID]],dPSalesRep[SalesRepID],dPSalesRep[Region])</f>
        <v>East</v>
      </c>
      <c r="P407" t="str">
        <f>_xlfn.XLOOKUP(fSales[[#This Row],[ProductID]],dProduct[ProductID],dProduct[Product])</f>
        <v>Apple</v>
      </c>
      <c r="Q407">
        <f>_xlfn.XLOOKUP(fSales[[#This Row],[ProductID]],dProduct[ProductID],dProduct[CratePrice])-_xlfn.XLOOKUP(fSales[[#This Row],[ProductID]],dProduct[ProductID],dProduct[CrateCost])</f>
        <v>19.600000000000001</v>
      </c>
      <c r="R407">
        <f>_xlfn.XLOOKUP(fSales[[#This Row],[ProductID]],dProduct[ProductID],dProduct[CratePrice])</f>
        <v>35</v>
      </c>
      <c r="S407">
        <f>_xlfn.XLOOKUP(fSales[[#This Row],[ProductID]],dProduct[ProductID],dProduct[CrateCost])</f>
        <v>15.4</v>
      </c>
    </row>
    <row r="408" spans="7:19" x14ac:dyDescent="0.25">
      <c r="G408" s="2">
        <v>45565</v>
      </c>
      <c r="H408">
        <v>36</v>
      </c>
      <c r="I408" t="s">
        <v>28</v>
      </c>
      <c r="J408" t="s">
        <v>32</v>
      </c>
      <c r="K408">
        <f>_xlfn.XLOOKUP(fSales[[#This Row],[ProductID]],dProduct[ProductID],dProduct[CratePrice])*fSales[[#This Row],[Units]]</f>
        <v>1573.2</v>
      </c>
      <c r="L408">
        <f>fSales[[#This Row],[Total sales]]-_xlfn.XLOOKUP(fSales[[#This Row],[ProductID]],dProduct[ProductID],dProduct[CrateCost])*fSales[[#This Row],[Units]]</f>
        <v>660.74400000000003</v>
      </c>
      <c r="M408">
        <f>(_xlfn.XLOOKUP(fSales[[#This Row],[ProductID]],dProduct[ProductID],dProduct[CratePrice])-_xlfn.XLOOKUP(fSales[[#This Row],[ProductID]],dProduct[ProductID],dProduct[CrateCost]))/_xlfn.XLOOKUP(fSales[[#This Row],[ProductID]],dProduct[ProductID],dProduct[CratePrice])</f>
        <v>0.42000000000000004</v>
      </c>
      <c r="N408" t="str">
        <f>_xlfn.XLOOKUP(fSales[[#This Row],[SalesRepID]],dPSalesRep[SalesRepID],dPSalesRep[SalesRep])</f>
        <v>Shihara Fazzaa</v>
      </c>
      <c r="O408" t="str">
        <f>_xlfn.XLOOKUP(fSales[[#This Row],[SalesRepID]],dPSalesRep[SalesRepID],dPSalesRep[Region])</f>
        <v>East</v>
      </c>
      <c r="P408" t="str">
        <f>_xlfn.XLOOKUP(fSales[[#This Row],[ProductID]],dProduct[ProductID],dProduct[Product])</f>
        <v>Cherry</v>
      </c>
      <c r="Q408">
        <f>_xlfn.XLOOKUP(fSales[[#This Row],[ProductID]],dProduct[ProductID],dProduct[CratePrice])-_xlfn.XLOOKUP(fSales[[#This Row],[ProductID]],dProduct[ProductID],dProduct[CrateCost])</f>
        <v>18.354000000000003</v>
      </c>
      <c r="R408">
        <f>_xlfn.XLOOKUP(fSales[[#This Row],[ProductID]],dProduct[ProductID],dProduct[CratePrice])</f>
        <v>43.7</v>
      </c>
      <c r="S408">
        <f>_xlfn.XLOOKUP(fSales[[#This Row],[ProductID]],dProduct[ProductID],dProduct[CrateCost])</f>
        <v>25.346</v>
      </c>
    </row>
    <row r="409" spans="7:19" x14ac:dyDescent="0.25">
      <c r="G409" s="2">
        <v>45565</v>
      </c>
      <c r="H409">
        <v>108</v>
      </c>
      <c r="I409" t="s">
        <v>26</v>
      </c>
      <c r="J409" t="s">
        <v>32</v>
      </c>
      <c r="K409">
        <f>_xlfn.XLOOKUP(fSales[[#This Row],[ProductID]],dProduct[ProductID],dProduct[CratePrice])*fSales[[#This Row],[Units]]</f>
        <v>3213</v>
      </c>
      <c r="L409">
        <f>fSales[[#This Row],[Total sales]]-_xlfn.XLOOKUP(fSales[[#This Row],[ProductID]],dProduct[ProductID],dProduct[CrateCost])*fSales[[#This Row],[Units]]</f>
        <v>1349.46</v>
      </c>
      <c r="M409">
        <f>(_xlfn.XLOOKUP(fSales[[#This Row],[ProductID]],dProduct[ProductID],dProduct[CratePrice])-_xlfn.XLOOKUP(fSales[[#This Row],[ProductID]],dProduct[ProductID],dProduct[CrateCost]))/_xlfn.XLOOKUP(fSales[[#This Row],[ProductID]],dProduct[ProductID],dProduct[CratePrice])</f>
        <v>0.42000000000000004</v>
      </c>
      <c r="N409" t="str">
        <f>_xlfn.XLOOKUP(fSales[[#This Row],[SalesRepID]],dPSalesRep[SalesRepID],dPSalesRep[SalesRep])</f>
        <v>Shihara Fazzaa</v>
      </c>
      <c r="O409" t="str">
        <f>_xlfn.XLOOKUP(fSales[[#This Row],[SalesRepID]],dPSalesRep[SalesRepID],dPSalesRep[Region])</f>
        <v>East</v>
      </c>
      <c r="P409" t="str">
        <f>_xlfn.XLOOKUP(fSales[[#This Row],[ProductID]],dProduct[ProductID],dProduct[Product])</f>
        <v>Orange</v>
      </c>
      <c r="Q409">
        <f>_xlfn.XLOOKUP(fSales[[#This Row],[ProductID]],dProduct[ProductID],dProduct[CratePrice])-_xlfn.XLOOKUP(fSales[[#This Row],[ProductID]],dProduct[ProductID],dProduct[CrateCost])</f>
        <v>12.495000000000001</v>
      </c>
      <c r="R409">
        <f>_xlfn.XLOOKUP(fSales[[#This Row],[ProductID]],dProduct[ProductID],dProduct[CratePrice])</f>
        <v>29.75</v>
      </c>
      <c r="S409">
        <f>_xlfn.XLOOKUP(fSales[[#This Row],[ProductID]],dProduct[ProductID],dProduct[CrateCost])</f>
        <v>17.254999999999999</v>
      </c>
    </row>
    <row r="410" spans="7:19" x14ac:dyDescent="0.25">
      <c r="G410" s="2">
        <v>45565</v>
      </c>
      <c r="H410">
        <v>216</v>
      </c>
      <c r="I410" t="s">
        <v>28</v>
      </c>
      <c r="J410" t="s">
        <v>22</v>
      </c>
      <c r="K410">
        <f>_xlfn.XLOOKUP(fSales[[#This Row],[ProductID]],dProduct[ProductID],dProduct[CratePrice])*fSales[[#This Row],[Units]]</f>
        <v>9439.2000000000007</v>
      </c>
      <c r="L410">
        <f>fSales[[#This Row],[Total sales]]-_xlfn.XLOOKUP(fSales[[#This Row],[ProductID]],dProduct[ProductID],dProduct[CrateCost])*fSales[[#This Row],[Units]]</f>
        <v>3964.4640000000009</v>
      </c>
      <c r="M410">
        <f>(_xlfn.XLOOKUP(fSales[[#This Row],[ProductID]],dProduct[ProductID],dProduct[CratePrice])-_xlfn.XLOOKUP(fSales[[#This Row],[ProductID]],dProduct[ProductID],dProduct[CrateCost]))/_xlfn.XLOOKUP(fSales[[#This Row],[ProductID]],dProduct[ProductID],dProduct[CratePrice])</f>
        <v>0.42000000000000004</v>
      </c>
      <c r="N410" t="str">
        <f>_xlfn.XLOOKUP(fSales[[#This Row],[SalesRepID]],dPSalesRep[SalesRepID],dPSalesRep[SalesRep])</f>
        <v>Timmy Kips</v>
      </c>
      <c r="O410" t="str">
        <f>_xlfn.XLOOKUP(fSales[[#This Row],[SalesRepID]],dPSalesRep[SalesRepID],dPSalesRep[Region])</f>
        <v>East</v>
      </c>
      <c r="P410" t="str">
        <f>_xlfn.XLOOKUP(fSales[[#This Row],[ProductID]],dProduct[ProductID],dProduct[Product])</f>
        <v>Cherry</v>
      </c>
      <c r="Q410">
        <f>_xlfn.XLOOKUP(fSales[[#This Row],[ProductID]],dProduct[ProductID],dProduct[CratePrice])-_xlfn.XLOOKUP(fSales[[#This Row],[ProductID]],dProduct[ProductID],dProduct[CrateCost])</f>
        <v>18.354000000000003</v>
      </c>
      <c r="R410">
        <f>_xlfn.XLOOKUP(fSales[[#This Row],[ProductID]],dProduct[ProductID],dProduct[CratePrice])</f>
        <v>43.7</v>
      </c>
      <c r="S410">
        <f>_xlfn.XLOOKUP(fSales[[#This Row],[ProductID]],dProduct[ProductID],dProduct[CrateCost])</f>
        <v>25.346</v>
      </c>
    </row>
    <row r="411" spans="7:19" x14ac:dyDescent="0.25">
      <c r="G411" s="2">
        <v>45565</v>
      </c>
      <c r="H411">
        <v>156</v>
      </c>
      <c r="I411" t="s">
        <v>28</v>
      </c>
      <c r="J411" t="s">
        <v>32</v>
      </c>
      <c r="K411">
        <f>_xlfn.XLOOKUP(fSales[[#This Row],[ProductID]],dProduct[ProductID],dProduct[CratePrice])*fSales[[#This Row],[Units]]</f>
        <v>6817.2000000000007</v>
      </c>
      <c r="L411">
        <f>fSales[[#This Row],[Total sales]]-_xlfn.XLOOKUP(fSales[[#This Row],[ProductID]],dProduct[ProductID],dProduct[CrateCost])*fSales[[#This Row],[Units]]</f>
        <v>2863.2240000000006</v>
      </c>
      <c r="M411">
        <f>(_xlfn.XLOOKUP(fSales[[#This Row],[ProductID]],dProduct[ProductID],dProduct[CratePrice])-_xlfn.XLOOKUP(fSales[[#This Row],[ProductID]],dProduct[ProductID],dProduct[CrateCost]))/_xlfn.XLOOKUP(fSales[[#This Row],[ProductID]],dProduct[ProductID],dProduct[CratePrice])</f>
        <v>0.42000000000000004</v>
      </c>
      <c r="N411" t="str">
        <f>_xlfn.XLOOKUP(fSales[[#This Row],[SalesRepID]],dPSalesRep[SalesRepID],dPSalesRep[SalesRep])</f>
        <v>Shihara Fazzaa</v>
      </c>
      <c r="O411" t="str">
        <f>_xlfn.XLOOKUP(fSales[[#This Row],[SalesRepID]],dPSalesRep[SalesRepID],dPSalesRep[Region])</f>
        <v>East</v>
      </c>
      <c r="P411" t="str">
        <f>_xlfn.XLOOKUP(fSales[[#This Row],[ProductID]],dProduct[ProductID],dProduct[Product])</f>
        <v>Cherry</v>
      </c>
      <c r="Q411">
        <f>_xlfn.XLOOKUP(fSales[[#This Row],[ProductID]],dProduct[ProductID],dProduct[CratePrice])-_xlfn.XLOOKUP(fSales[[#This Row],[ProductID]],dProduct[ProductID],dProduct[CrateCost])</f>
        <v>18.354000000000003</v>
      </c>
      <c r="R411">
        <f>_xlfn.XLOOKUP(fSales[[#This Row],[ProductID]],dProduct[ProductID],dProduct[CratePrice])</f>
        <v>43.7</v>
      </c>
      <c r="S411">
        <f>_xlfn.XLOOKUP(fSales[[#This Row],[ProductID]],dProduct[ProductID],dProduct[CrateCost])</f>
        <v>25.346</v>
      </c>
    </row>
    <row r="412" spans="7:19" x14ac:dyDescent="0.25">
      <c r="G412" s="2">
        <v>45566</v>
      </c>
      <c r="H412">
        <v>276</v>
      </c>
      <c r="I412" t="s">
        <v>26</v>
      </c>
      <c r="J412" t="s">
        <v>29</v>
      </c>
      <c r="K412">
        <f>_xlfn.XLOOKUP(fSales[[#This Row],[ProductID]],dProduct[ProductID],dProduct[CratePrice])*fSales[[#This Row],[Units]]</f>
        <v>8211</v>
      </c>
      <c r="L412">
        <f>fSales[[#This Row],[Total sales]]-_xlfn.XLOOKUP(fSales[[#This Row],[ProductID]],dProduct[ProductID],dProduct[CrateCost])*fSales[[#This Row],[Units]]</f>
        <v>3448.62</v>
      </c>
      <c r="M412">
        <f>(_xlfn.XLOOKUP(fSales[[#This Row],[ProductID]],dProduct[ProductID],dProduct[CratePrice])-_xlfn.XLOOKUP(fSales[[#This Row],[ProductID]],dProduct[ProductID],dProduct[CrateCost]))/_xlfn.XLOOKUP(fSales[[#This Row],[ProductID]],dProduct[ProductID],dProduct[CratePrice])</f>
        <v>0.42000000000000004</v>
      </c>
      <c r="N412" t="str">
        <f>_xlfn.XLOOKUP(fSales[[#This Row],[SalesRepID]],dPSalesRep[SalesRepID],dPSalesRep[SalesRep])</f>
        <v>Sioux Best</v>
      </c>
      <c r="O412" t="str">
        <f>_xlfn.XLOOKUP(fSales[[#This Row],[SalesRepID]],dPSalesRep[SalesRepID],dPSalesRep[Region])</f>
        <v>West</v>
      </c>
      <c r="P412" t="str">
        <f>_xlfn.XLOOKUP(fSales[[#This Row],[ProductID]],dProduct[ProductID],dProduct[Product])</f>
        <v>Orange</v>
      </c>
      <c r="Q412">
        <f>_xlfn.XLOOKUP(fSales[[#This Row],[ProductID]],dProduct[ProductID],dProduct[CratePrice])-_xlfn.XLOOKUP(fSales[[#This Row],[ProductID]],dProduct[ProductID],dProduct[CrateCost])</f>
        <v>12.495000000000001</v>
      </c>
      <c r="R412">
        <f>_xlfn.XLOOKUP(fSales[[#This Row],[ProductID]],dProduct[ProductID],dProduct[CratePrice])</f>
        <v>29.75</v>
      </c>
      <c r="S412">
        <f>_xlfn.XLOOKUP(fSales[[#This Row],[ProductID]],dProduct[ProductID],dProduct[CrateCost])</f>
        <v>17.254999999999999</v>
      </c>
    </row>
    <row r="413" spans="7:19" x14ac:dyDescent="0.25">
      <c r="G413" s="2">
        <v>45567</v>
      </c>
      <c r="H413">
        <v>300</v>
      </c>
      <c r="I413" t="s">
        <v>28</v>
      </c>
      <c r="J413" t="s">
        <v>22</v>
      </c>
      <c r="K413">
        <f>_xlfn.XLOOKUP(fSales[[#This Row],[ProductID]],dProduct[ProductID],dProduct[CratePrice])*fSales[[#This Row],[Units]]</f>
        <v>13110</v>
      </c>
      <c r="L413">
        <f>fSales[[#This Row],[Total sales]]-_xlfn.XLOOKUP(fSales[[#This Row],[ProductID]],dProduct[ProductID],dProduct[CrateCost])*fSales[[#This Row],[Units]]</f>
        <v>5506.2</v>
      </c>
      <c r="M413">
        <f>(_xlfn.XLOOKUP(fSales[[#This Row],[ProductID]],dProduct[ProductID],dProduct[CratePrice])-_xlfn.XLOOKUP(fSales[[#This Row],[ProductID]],dProduct[ProductID],dProduct[CrateCost]))/_xlfn.XLOOKUP(fSales[[#This Row],[ProductID]],dProduct[ProductID],dProduct[CratePrice])</f>
        <v>0.42000000000000004</v>
      </c>
      <c r="N413" t="str">
        <f>_xlfn.XLOOKUP(fSales[[#This Row],[SalesRepID]],dPSalesRep[SalesRepID],dPSalesRep[SalesRep])</f>
        <v>Timmy Kips</v>
      </c>
      <c r="O413" t="str">
        <f>_xlfn.XLOOKUP(fSales[[#This Row],[SalesRepID]],dPSalesRep[SalesRepID],dPSalesRep[Region])</f>
        <v>East</v>
      </c>
      <c r="P413" t="str">
        <f>_xlfn.XLOOKUP(fSales[[#This Row],[ProductID]],dProduct[ProductID],dProduct[Product])</f>
        <v>Cherry</v>
      </c>
      <c r="Q413">
        <f>_xlfn.XLOOKUP(fSales[[#This Row],[ProductID]],dProduct[ProductID],dProduct[CratePrice])-_xlfn.XLOOKUP(fSales[[#This Row],[ProductID]],dProduct[ProductID],dProduct[CrateCost])</f>
        <v>18.354000000000003</v>
      </c>
      <c r="R413">
        <f>_xlfn.XLOOKUP(fSales[[#This Row],[ProductID]],dProduct[ProductID],dProduct[CratePrice])</f>
        <v>43.7</v>
      </c>
      <c r="S413">
        <f>_xlfn.XLOOKUP(fSales[[#This Row],[ProductID]],dProduct[ProductID],dProduct[CrateCost])</f>
        <v>25.346</v>
      </c>
    </row>
    <row r="414" spans="7:19" x14ac:dyDescent="0.25">
      <c r="G414" s="2">
        <v>45567</v>
      </c>
      <c r="H414">
        <v>276</v>
      </c>
      <c r="I414" t="s">
        <v>19</v>
      </c>
      <c r="J414" t="s">
        <v>32</v>
      </c>
      <c r="K414">
        <f>_xlfn.XLOOKUP(fSales[[#This Row],[ProductID]],dProduct[ProductID],dProduct[CratePrice])*fSales[[#This Row],[Units]]</f>
        <v>9660</v>
      </c>
      <c r="L414">
        <f>fSales[[#This Row],[Total sales]]-_xlfn.XLOOKUP(fSales[[#This Row],[ProductID]],dProduct[ProductID],dProduct[CrateCost])*fSales[[#This Row],[Units]]</f>
        <v>5409.5999999999995</v>
      </c>
      <c r="M414">
        <f>(_xlfn.XLOOKUP(fSales[[#This Row],[ProductID]],dProduct[ProductID],dProduct[CratePrice])-_xlfn.XLOOKUP(fSales[[#This Row],[ProductID]],dProduct[ProductID],dProduct[CrateCost]))/_xlfn.XLOOKUP(fSales[[#This Row],[ProductID]],dProduct[ProductID],dProduct[CratePrice])</f>
        <v>0.56000000000000005</v>
      </c>
      <c r="N414" t="str">
        <f>_xlfn.XLOOKUP(fSales[[#This Row],[SalesRepID]],dPSalesRep[SalesRepID],dPSalesRep[SalesRep])</f>
        <v>Shihara Fazzaa</v>
      </c>
      <c r="O414" t="str">
        <f>_xlfn.XLOOKUP(fSales[[#This Row],[SalesRepID]],dPSalesRep[SalesRepID],dPSalesRep[Region])</f>
        <v>East</v>
      </c>
      <c r="P414" t="str">
        <f>_xlfn.XLOOKUP(fSales[[#This Row],[ProductID]],dProduct[ProductID],dProduct[Product])</f>
        <v>Apple</v>
      </c>
      <c r="Q414">
        <f>_xlfn.XLOOKUP(fSales[[#This Row],[ProductID]],dProduct[ProductID],dProduct[CratePrice])-_xlfn.XLOOKUP(fSales[[#This Row],[ProductID]],dProduct[ProductID],dProduct[CrateCost])</f>
        <v>19.600000000000001</v>
      </c>
      <c r="R414">
        <f>_xlfn.XLOOKUP(fSales[[#This Row],[ProductID]],dProduct[ProductID],dProduct[CratePrice])</f>
        <v>35</v>
      </c>
      <c r="S414">
        <f>_xlfn.XLOOKUP(fSales[[#This Row],[ProductID]],dProduct[ProductID],dProduct[CrateCost])</f>
        <v>15.4</v>
      </c>
    </row>
    <row r="415" spans="7:19" x14ac:dyDescent="0.25">
      <c r="G415" s="2">
        <v>45568</v>
      </c>
      <c r="H415">
        <v>264</v>
      </c>
      <c r="I415" t="s">
        <v>19</v>
      </c>
      <c r="J415" t="s">
        <v>32</v>
      </c>
      <c r="K415">
        <f>_xlfn.XLOOKUP(fSales[[#This Row],[ProductID]],dProduct[ProductID],dProduct[CratePrice])*fSales[[#This Row],[Units]]</f>
        <v>9240</v>
      </c>
      <c r="L415">
        <f>fSales[[#This Row],[Total sales]]-_xlfn.XLOOKUP(fSales[[#This Row],[ProductID]],dProduct[ProductID],dProduct[CrateCost])*fSales[[#This Row],[Units]]</f>
        <v>5174.3999999999996</v>
      </c>
      <c r="M415">
        <f>(_xlfn.XLOOKUP(fSales[[#This Row],[ProductID]],dProduct[ProductID],dProduct[CratePrice])-_xlfn.XLOOKUP(fSales[[#This Row],[ProductID]],dProduct[ProductID],dProduct[CrateCost]))/_xlfn.XLOOKUP(fSales[[#This Row],[ProductID]],dProduct[ProductID],dProduct[CratePrice])</f>
        <v>0.56000000000000005</v>
      </c>
      <c r="N415" t="str">
        <f>_xlfn.XLOOKUP(fSales[[#This Row],[SalesRepID]],dPSalesRep[SalesRepID],dPSalesRep[SalesRep])</f>
        <v>Shihara Fazzaa</v>
      </c>
      <c r="O415" t="str">
        <f>_xlfn.XLOOKUP(fSales[[#This Row],[SalesRepID]],dPSalesRep[SalesRepID],dPSalesRep[Region])</f>
        <v>East</v>
      </c>
      <c r="P415" t="str">
        <f>_xlfn.XLOOKUP(fSales[[#This Row],[ProductID]],dProduct[ProductID],dProduct[Product])</f>
        <v>Apple</v>
      </c>
      <c r="Q415">
        <f>_xlfn.XLOOKUP(fSales[[#This Row],[ProductID]],dProduct[ProductID],dProduct[CratePrice])-_xlfn.XLOOKUP(fSales[[#This Row],[ProductID]],dProduct[ProductID],dProduct[CrateCost])</f>
        <v>19.600000000000001</v>
      </c>
      <c r="R415">
        <f>_xlfn.XLOOKUP(fSales[[#This Row],[ProductID]],dProduct[ProductID],dProduct[CratePrice])</f>
        <v>35</v>
      </c>
      <c r="S415">
        <f>_xlfn.XLOOKUP(fSales[[#This Row],[ProductID]],dProduct[ProductID],dProduct[CrateCost])</f>
        <v>15.4</v>
      </c>
    </row>
    <row r="416" spans="7:19" x14ac:dyDescent="0.25">
      <c r="G416" s="2">
        <v>45569</v>
      </c>
      <c r="H416">
        <v>120</v>
      </c>
      <c r="I416" t="s">
        <v>28</v>
      </c>
      <c r="J416" t="s">
        <v>52</v>
      </c>
      <c r="K416">
        <f>_xlfn.XLOOKUP(fSales[[#This Row],[ProductID]],dProduct[ProductID],dProduct[CratePrice])*fSales[[#This Row],[Units]]</f>
        <v>5244</v>
      </c>
      <c r="L416">
        <f>fSales[[#This Row],[Total sales]]-_xlfn.XLOOKUP(fSales[[#This Row],[ProductID]],dProduct[ProductID],dProduct[CrateCost])*fSales[[#This Row],[Units]]</f>
        <v>2202.48</v>
      </c>
      <c r="M416">
        <f>(_xlfn.XLOOKUP(fSales[[#This Row],[ProductID]],dProduct[ProductID],dProduct[CratePrice])-_xlfn.XLOOKUP(fSales[[#This Row],[ProductID]],dProduct[ProductID],dProduct[CrateCost]))/_xlfn.XLOOKUP(fSales[[#This Row],[ProductID]],dProduct[ProductID],dProduct[CratePrice])</f>
        <v>0.42000000000000004</v>
      </c>
      <c r="N416" t="str">
        <f>_xlfn.XLOOKUP(fSales[[#This Row],[SalesRepID]],dPSalesRep[SalesRepID],dPSalesRep[SalesRep])</f>
        <v>Smitty Rad</v>
      </c>
      <c r="O416" t="str">
        <f>_xlfn.XLOOKUP(fSales[[#This Row],[SalesRepID]],dPSalesRep[SalesRepID],dPSalesRep[Region])</f>
        <v>MidWest</v>
      </c>
      <c r="P416" t="str">
        <f>_xlfn.XLOOKUP(fSales[[#This Row],[ProductID]],dProduct[ProductID],dProduct[Product])</f>
        <v>Cherry</v>
      </c>
      <c r="Q416">
        <f>_xlfn.XLOOKUP(fSales[[#This Row],[ProductID]],dProduct[ProductID],dProduct[CratePrice])-_xlfn.XLOOKUP(fSales[[#This Row],[ProductID]],dProduct[ProductID],dProduct[CrateCost])</f>
        <v>18.354000000000003</v>
      </c>
      <c r="R416">
        <f>_xlfn.XLOOKUP(fSales[[#This Row],[ProductID]],dProduct[ProductID],dProduct[CratePrice])</f>
        <v>43.7</v>
      </c>
      <c r="S416">
        <f>_xlfn.XLOOKUP(fSales[[#This Row],[ProductID]],dProduct[ProductID],dProduct[CrateCost])</f>
        <v>25.346</v>
      </c>
    </row>
    <row r="417" spans="7:19" x14ac:dyDescent="0.25">
      <c r="G417" s="2">
        <v>45569</v>
      </c>
      <c r="H417">
        <v>36</v>
      </c>
      <c r="I417" t="s">
        <v>26</v>
      </c>
      <c r="J417" t="s">
        <v>52</v>
      </c>
      <c r="K417">
        <f>_xlfn.XLOOKUP(fSales[[#This Row],[ProductID]],dProduct[ProductID],dProduct[CratePrice])*fSales[[#This Row],[Units]]</f>
        <v>1071</v>
      </c>
      <c r="L417">
        <f>fSales[[#This Row],[Total sales]]-_xlfn.XLOOKUP(fSales[[#This Row],[ProductID]],dProduct[ProductID],dProduct[CrateCost])*fSales[[#This Row],[Units]]</f>
        <v>449.82000000000005</v>
      </c>
      <c r="M417">
        <f>(_xlfn.XLOOKUP(fSales[[#This Row],[ProductID]],dProduct[ProductID],dProduct[CratePrice])-_xlfn.XLOOKUP(fSales[[#This Row],[ProductID]],dProduct[ProductID],dProduct[CrateCost]))/_xlfn.XLOOKUP(fSales[[#This Row],[ProductID]],dProduct[ProductID],dProduct[CratePrice])</f>
        <v>0.42000000000000004</v>
      </c>
      <c r="N417" t="str">
        <f>_xlfn.XLOOKUP(fSales[[#This Row],[SalesRepID]],dPSalesRep[SalesRepID],dPSalesRep[SalesRep])</f>
        <v>Smitty Rad</v>
      </c>
      <c r="O417" t="str">
        <f>_xlfn.XLOOKUP(fSales[[#This Row],[SalesRepID]],dPSalesRep[SalesRepID],dPSalesRep[Region])</f>
        <v>MidWest</v>
      </c>
      <c r="P417" t="str">
        <f>_xlfn.XLOOKUP(fSales[[#This Row],[ProductID]],dProduct[ProductID],dProduct[Product])</f>
        <v>Orange</v>
      </c>
      <c r="Q417">
        <f>_xlfn.XLOOKUP(fSales[[#This Row],[ProductID]],dProduct[ProductID],dProduct[CratePrice])-_xlfn.XLOOKUP(fSales[[#This Row],[ProductID]],dProduct[ProductID],dProduct[CrateCost])</f>
        <v>12.495000000000001</v>
      </c>
      <c r="R417">
        <f>_xlfn.XLOOKUP(fSales[[#This Row],[ProductID]],dProduct[ProductID],dProduct[CratePrice])</f>
        <v>29.75</v>
      </c>
      <c r="S417">
        <f>_xlfn.XLOOKUP(fSales[[#This Row],[ProductID]],dProduct[ProductID],dProduct[CrateCost])</f>
        <v>17.254999999999999</v>
      </c>
    </row>
    <row r="418" spans="7:19" x14ac:dyDescent="0.25">
      <c r="G418" s="2">
        <v>45570</v>
      </c>
      <c r="H418">
        <v>24</v>
      </c>
      <c r="I418" t="s">
        <v>34</v>
      </c>
      <c r="J418" t="s">
        <v>32</v>
      </c>
      <c r="K418">
        <f>_xlfn.XLOOKUP(fSales[[#This Row],[ProductID]],dProduct[ProductID],dProduct[CratePrice])*fSales[[#This Row],[Units]]</f>
        <v>420</v>
      </c>
      <c r="L418">
        <f>fSales[[#This Row],[Total sales]]-_xlfn.XLOOKUP(fSales[[#This Row],[ProductID]],dProduct[ProductID],dProduct[CrateCost])*fSales[[#This Row],[Units]]</f>
        <v>138.59999999999997</v>
      </c>
      <c r="M418">
        <f>(_xlfn.XLOOKUP(fSales[[#This Row],[ProductID]],dProduct[ProductID],dProduct[CratePrice])-_xlfn.XLOOKUP(fSales[[#This Row],[ProductID]],dProduct[ProductID],dProduct[CrateCost]))/_xlfn.XLOOKUP(fSales[[#This Row],[ProductID]],dProduct[ProductID],dProduct[CratePrice])</f>
        <v>0.3299999999999999</v>
      </c>
      <c r="N418" t="str">
        <f>_xlfn.XLOOKUP(fSales[[#This Row],[SalesRepID]],dPSalesRep[SalesRepID],dPSalesRep[SalesRep])</f>
        <v>Shihara Fazzaa</v>
      </c>
      <c r="O418" t="str">
        <f>_xlfn.XLOOKUP(fSales[[#This Row],[SalesRepID]],dPSalesRep[SalesRepID],dPSalesRep[Region])</f>
        <v>East</v>
      </c>
      <c r="P418" t="str">
        <f>_xlfn.XLOOKUP(fSales[[#This Row],[ProductID]],dProduct[ProductID],dProduct[Product])</f>
        <v>Banana</v>
      </c>
      <c r="Q418">
        <f>_xlfn.XLOOKUP(fSales[[#This Row],[ProductID]],dProduct[ProductID],dProduct[CratePrice])-_xlfn.XLOOKUP(fSales[[#This Row],[ProductID]],dProduct[ProductID],dProduct[CrateCost])</f>
        <v>5.7749999999999986</v>
      </c>
      <c r="R418">
        <f>_xlfn.XLOOKUP(fSales[[#This Row],[ProductID]],dProduct[ProductID],dProduct[CratePrice])</f>
        <v>17.5</v>
      </c>
      <c r="S418">
        <f>_xlfn.XLOOKUP(fSales[[#This Row],[ProductID]],dProduct[ProductID],dProduct[CrateCost])</f>
        <v>11.725000000000001</v>
      </c>
    </row>
    <row r="419" spans="7:19" x14ac:dyDescent="0.25">
      <c r="G419" s="2">
        <v>45571</v>
      </c>
      <c r="H419">
        <v>96</v>
      </c>
      <c r="I419" t="s">
        <v>34</v>
      </c>
      <c r="J419" t="s">
        <v>32</v>
      </c>
      <c r="K419">
        <f>_xlfn.XLOOKUP(fSales[[#This Row],[ProductID]],dProduct[ProductID],dProduct[CratePrice])*fSales[[#This Row],[Units]]</f>
        <v>1680</v>
      </c>
      <c r="L419">
        <f>fSales[[#This Row],[Total sales]]-_xlfn.XLOOKUP(fSales[[#This Row],[ProductID]],dProduct[ProductID],dProduct[CrateCost])*fSales[[#This Row],[Units]]</f>
        <v>554.39999999999986</v>
      </c>
      <c r="M419">
        <f>(_xlfn.XLOOKUP(fSales[[#This Row],[ProductID]],dProduct[ProductID],dProduct[CratePrice])-_xlfn.XLOOKUP(fSales[[#This Row],[ProductID]],dProduct[ProductID],dProduct[CrateCost]))/_xlfn.XLOOKUP(fSales[[#This Row],[ProductID]],dProduct[ProductID],dProduct[CratePrice])</f>
        <v>0.3299999999999999</v>
      </c>
      <c r="N419" t="str">
        <f>_xlfn.XLOOKUP(fSales[[#This Row],[SalesRepID]],dPSalesRep[SalesRepID],dPSalesRep[SalesRep])</f>
        <v>Shihara Fazzaa</v>
      </c>
      <c r="O419" t="str">
        <f>_xlfn.XLOOKUP(fSales[[#This Row],[SalesRepID]],dPSalesRep[SalesRepID],dPSalesRep[Region])</f>
        <v>East</v>
      </c>
      <c r="P419" t="str">
        <f>_xlfn.XLOOKUP(fSales[[#This Row],[ProductID]],dProduct[ProductID],dProduct[Product])</f>
        <v>Banana</v>
      </c>
      <c r="Q419">
        <f>_xlfn.XLOOKUP(fSales[[#This Row],[ProductID]],dProduct[ProductID],dProduct[CratePrice])-_xlfn.XLOOKUP(fSales[[#This Row],[ProductID]],dProduct[ProductID],dProduct[CrateCost])</f>
        <v>5.7749999999999986</v>
      </c>
      <c r="R419">
        <f>_xlfn.XLOOKUP(fSales[[#This Row],[ProductID]],dProduct[ProductID],dProduct[CratePrice])</f>
        <v>17.5</v>
      </c>
      <c r="S419">
        <f>_xlfn.XLOOKUP(fSales[[#This Row],[ProductID]],dProduct[ProductID],dProduct[CrateCost])</f>
        <v>11.725000000000001</v>
      </c>
    </row>
    <row r="420" spans="7:19" x14ac:dyDescent="0.25">
      <c r="G420" s="2">
        <v>45571</v>
      </c>
      <c r="H420">
        <v>228</v>
      </c>
      <c r="I420" t="s">
        <v>34</v>
      </c>
      <c r="J420" t="s">
        <v>22</v>
      </c>
      <c r="K420">
        <f>_xlfn.XLOOKUP(fSales[[#This Row],[ProductID]],dProduct[ProductID],dProduct[CratePrice])*fSales[[#This Row],[Units]]</f>
        <v>3990</v>
      </c>
      <c r="L420">
        <f>fSales[[#This Row],[Total sales]]-_xlfn.XLOOKUP(fSales[[#This Row],[ProductID]],dProduct[ProductID],dProduct[CrateCost])*fSales[[#This Row],[Units]]</f>
        <v>1316.6999999999998</v>
      </c>
      <c r="M420">
        <f>(_xlfn.XLOOKUP(fSales[[#This Row],[ProductID]],dProduct[ProductID],dProduct[CratePrice])-_xlfn.XLOOKUP(fSales[[#This Row],[ProductID]],dProduct[ProductID],dProduct[CrateCost]))/_xlfn.XLOOKUP(fSales[[#This Row],[ProductID]],dProduct[ProductID],dProduct[CratePrice])</f>
        <v>0.3299999999999999</v>
      </c>
      <c r="N420" t="str">
        <f>_xlfn.XLOOKUP(fSales[[#This Row],[SalesRepID]],dPSalesRep[SalesRepID],dPSalesRep[SalesRep])</f>
        <v>Timmy Kips</v>
      </c>
      <c r="O420" t="str">
        <f>_xlfn.XLOOKUP(fSales[[#This Row],[SalesRepID]],dPSalesRep[SalesRepID],dPSalesRep[Region])</f>
        <v>East</v>
      </c>
      <c r="P420" t="str">
        <f>_xlfn.XLOOKUP(fSales[[#This Row],[ProductID]],dProduct[ProductID],dProduct[Product])</f>
        <v>Banana</v>
      </c>
      <c r="Q420">
        <f>_xlfn.XLOOKUP(fSales[[#This Row],[ProductID]],dProduct[ProductID],dProduct[CratePrice])-_xlfn.XLOOKUP(fSales[[#This Row],[ProductID]],dProduct[ProductID],dProduct[CrateCost])</f>
        <v>5.7749999999999986</v>
      </c>
      <c r="R420">
        <f>_xlfn.XLOOKUP(fSales[[#This Row],[ProductID]],dProduct[ProductID],dProduct[CratePrice])</f>
        <v>17.5</v>
      </c>
      <c r="S420">
        <f>_xlfn.XLOOKUP(fSales[[#This Row],[ProductID]],dProduct[ProductID],dProduct[CrateCost])</f>
        <v>11.725000000000001</v>
      </c>
    </row>
    <row r="421" spans="7:19" x14ac:dyDescent="0.25">
      <c r="G421" s="2">
        <v>45571</v>
      </c>
      <c r="H421">
        <v>156</v>
      </c>
      <c r="I421" t="s">
        <v>21</v>
      </c>
      <c r="J421" t="s">
        <v>32</v>
      </c>
      <c r="K421">
        <f>_xlfn.XLOOKUP(fSales[[#This Row],[ProductID]],dProduct[ProductID],dProduct[CratePrice])*fSales[[#This Row],[Units]]</f>
        <v>3510</v>
      </c>
      <c r="L421">
        <f>fSales[[#This Row],[Total sales]]-_xlfn.XLOOKUP(fSales[[#This Row],[ProductID]],dProduct[ProductID],dProduct[CrateCost])*fSales[[#This Row],[Units]]</f>
        <v>1544.3999999999999</v>
      </c>
      <c r="M421">
        <f>(_xlfn.XLOOKUP(fSales[[#This Row],[ProductID]],dProduct[ProductID],dProduct[CratePrice])-_xlfn.XLOOKUP(fSales[[#This Row],[ProductID]],dProduct[ProductID],dProduct[CrateCost]))/_xlfn.XLOOKUP(fSales[[#This Row],[ProductID]],dProduct[ProductID],dProduct[CratePrice])</f>
        <v>0.43999999999999995</v>
      </c>
      <c r="N421" t="str">
        <f>_xlfn.XLOOKUP(fSales[[#This Row],[SalesRepID]],dPSalesRep[SalesRepID],dPSalesRep[SalesRep])</f>
        <v>Shihara Fazzaa</v>
      </c>
      <c r="O421" t="str">
        <f>_xlfn.XLOOKUP(fSales[[#This Row],[SalesRepID]],dPSalesRep[SalesRepID],dPSalesRep[Region])</f>
        <v>East</v>
      </c>
      <c r="P421" t="str">
        <f>_xlfn.XLOOKUP(fSales[[#This Row],[ProductID]],dProduct[ProductID],dProduct[Product])</f>
        <v>Kiwi</v>
      </c>
      <c r="Q421">
        <f>_xlfn.XLOOKUP(fSales[[#This Row],[ProductID]],dProduct[ProductID],dProduct[CratePrice])-_xlfn.XLOOKUP(fSales[[#This Row],[ProductID]],dProduct[ProductID],dProduct[CrateCost])</f>
        <v>9.8999999999999986</v>
      </c>
      <c r="R421">
        <f>_xlfn.XLOOKUP(fSales[[#This Row],[ProductID]],dProduct[ProductID],dProduct[CratePrice])</f>
        <v>22.5</v>
      </c>
      <c r="S421">
        <f>_xlfn.XLOOKUP(fSales[[#This Row],[ProductID]],dProduct[ProductID],dProduct[CrateCost])</f>
        <v>12.600000000000001</v>
      </c>
    </row>
    <row r="422" spans="7:19" x14ac:dyDescent="0.25">
      <c r="G422" s="2">
        <v>45571</v>
      </c>
      <c r="H422">
        <v>48</v>
      </c>
      <c r="I422" t="s">
        <v>19</v>
      </c>
      <c r="J422" t="s">
        <v>29</v>
      </c>
      <c r="K422">
        <f>_xlfn.XLOOKUP(fSales[[#This Row],[ProductID]],dProduct[ProductID],dProduct[CratePrice])*fSales[[#This Row],[Units]]</f>
        <v>1680</v>
      </c>
      <c r="L422">
        <f>fSales[[#This Row],[Total sales]]-_xlfn.XLOOKUP(fSales[[#This Row],[ProductID]],dProduct[ProductID],dProduct[CrateCost])*fSales[[#This Row],[Units]]</f>
        <v>940.8</v>
      </c>
      <c r="M422">
        <f>(_xlfn.XLOOKUP(fSales[[#This Row],[ProductID]],dProduct[ProductID],dProduct[CratePrice])-_xlfn.XLOOKUP(fSales[[#This Row],[ProductID]],dProduct[ProductID],dProduct[CrateCost]))/_xlfn.XLOOKUP(fSales[[#This Row],[ProductID]],dProduct[ProductID],dProduct[CratePrice])</f>
        <v>0.56000000000000005</v>
      </c>
      <c r="N422" t="str">
        <f>_xlfn.XLOOKUP(fSales[[#This Row],[SalesRepID]],dPSalesRep[SalesRepID],dPSalesRep[SalesRep])</f>
        <v>Sioux Best</v>
      </c>
      <c r="O422" t="str">
        <f>_xlfn.XLOOKUP(fSales[[#This Row],[SalesRepID]],dPSalesRep[SalesRepID],dPSalesRep[Region])</f>
        <v>West</v>
      </c>
      <c r="P422" t="str">
        <f>_xlfn.XLOOKUP(fSales[[#This Row],[ProductID]],dProduct[ProductID],dProduct[Product])</f>
        <v>Apple</v>
      </c>
      <c r="Q422">
        <f>_xlfn.XLOOKUP(fSales[[#This Row],[ProductID]],dProduct[ProductID],dProduct[CratePrice])-_xlfn.XLOOKUP(fSales[[#This Row],[ProductID]],dProduct[ProductID],dProduct[CrateCost])</f>
        <v>19.600000000000001</v>
      </c>
      <c r="R422">
        <f>_xlfn.XLOOKUP(fSales[[#This Row],[ProductID]],dProduct[ProductID],dProduct[CratePrice])</f>
        <v>35</v>
      </c>
      <c r="S422">
        <f>_xlfn.XLOOKUP(fSales[[#This Row],[ProductID]],dProduct[ProductID],dProduct[CrateCost])</f>
        <v>15.4</v>
      </c>
    </row>
    <row r="423" spans="7:19" x14ac:dyDescent="0.25">
      <c r="G423" s="2">
        <v>45572</v>
      </c>
      <c r="H423">
        <v>48</v>
      </c>
      <c r="I423" t="s">
        <v>28</v>
      </c>
      <c r="J423" t="s">
        <v>52</v>
      </c>
      <c r="K423">
        <f>_xlfn.XLOOKUP(fSales[[#This Row],[ProductID]],dProduct[ProductID],dProduct[CratePrice])*fSales[[#This Row],[Units]]</f>
        <v>2097.6000000000004</v>
      </c>
      <c r="L423">
        <f>fSales[[#This Row],[Total sales]]-_xlfn.XLOOKUP(fSales[[#This Row],[ProductID]],dProduct[ProductID],dProduct[CrateCost])*fSales[[#This Row],[Units]]</f>
        <v>880.99200000000042</v>
      </c>
      <c r="M423">
        <f>(_xlfn.XLOOKUP(fSales[[#This Row],[ProductID]],dProduct[ProductID],dProduct[CratePrice])-_xlfn.XLOOKUP(fSales[[#This Row],[ProductID]],dProduct[ProductID],dProduct[CrateCost]))/_xlfn.XLOOKUP(fSales[[#This Row],[ProductID]],dProduct[ProductID],dProduct[CratePrice])</f>
        <v>0.42000000000000004</v>
      </c>
      <c r="N423" t="str">
        <f>_xlfn.XLOOKUP(fSales[[#This Row],[SalesRepID]],dPSalesRep[SalesRepID],dPSalesRep[SalesRep])</f>
        <v>Smitty Rad</v>
      </c>
      <c r="O423" t="str">
        <f>_xlfn.XLOOKUP(fSales[[#This Row],[SalesRepID]],dPSalesRep[SalesRepID],dPSalesRep[Region])</f>
        <v>MidWest</v>
      </c>
      <c r="P423" t="str">
        <f>_xlfn.XLOOKUP(fSales[[#This Row],[ProductID]],dProduct[ProductID],dProduct[Product])</f>
        <v>Cherry</v>
      </c>
      <c r="Q423">
        <f>_xlfn.XLOOKUP(fSales[[#This Row],[ProductID]],dProduct[ProductID],dProduct[CratePrice])-_xlfn.XLOOKUP(fSales[[#This Row],[ProductID]],dProduct[ProductID],dProduct[CrateCost])</f>
        <v>18.354000000000003</v>
      </c>
      <c r="R423">
        <f>_xlfn.XLOOKUP(fSales[[#This Row],[ProductID]],dProduct[ProductID],dProduct[CratePrice])</f>
        <v>43.7</v>
      </c>
      <c r="S423">
        <f>_xlfn.XLOOKUP(fSales[[#This Row],[ProductID]],dProduct[ProductID],dProduct[CrateCost])</f>
        <v>25.346</v>
      </c>
    </row>
    <row r="424" spans="7:19" x14ac:dyDescent="0.25">
      <c r="G424" s="2">
        <v>45572</v>
      </c>
      <c r="H424">
        <v>264</v>
      </c>
      <c r="I424" t="s">
        <v>26</v>
      </c>
      <c r="J424" t="s">
        <v>32</v>
      </c>
      <c r="K424">
        <f>_xlfn.XLOOKUP(fSales[[#This Row],[ProductID]],dProduct[ProductID],dProduct[CratePrice])*fSales[[#This Row],[Units]]</f>
        <v>7854</v>
      </c>
      <c r="L424">
        <f>fSales[[#This Row],[Total sales]]-_xlfn.XLOOKUP(fSales[[#This Row],[ProductID]],dProduct[ProductID],dProduct[CrateCost])*fSales[[#This Row],[Units]]</f>
        <v>3298.6800000000003</v>
      </c>
      <c r="M424">
        <f>(_xlfn.XLOOKUP(fSales[[#This Row],[ProductID]],dProduct[ProductID],dProduct[CratePrice])-_xlfn.XLOOKUP(fSales[[#This Row],[ProductID]],dProduct[ProductID],dProduct[CrateCost]))/_xlfn.XLOOKUP(fSales[[#This Row],[ProductID]],dProduct[ProductID],dProduct[CratePrice])</f>
        <v>0.42000000000000004</v>
      </c>
      <c r="N424" t="str">
        <f>_xlfn.XLOOKUP(fSales[[#This Row],[SalesRepID]],dPSalesRep[SalesRepID],dPSalesRep[SalesRep])</f>
        <v>Shihara Fazzaa</v>
      </c>
      <c r="O424" t="str">
        <f>_xlfn.XLOOKUP(fSales[[#This Row],[SalesRepID]],dPSalesRep[SalesRepID],dPSalesRep[Region])</f>
        <v>East</v>
      </c>
      <c r="P424" t="str">
        <f>_xlfn.XLOOKUP(fSales[[#This Row],[ProductID]],dProduct[ProductID],dProduct[Product])</f>
        <v>Orange</v>
      </c>
      <c r="Q424">
        <f>_xlfn.XLOOKUP(fSales[[#This Row],[ProductID]],dProduct[ProductID],dProduct[CratePrice])-_xlfn.XLOOKUP(fSales[[#This Row],[ProductID]],dProduct[ProductID],dProduct[CrateCost])</f>
        <v>12.495000000000001</v>
      </c>
      <c r="R424">
        <f>_xlfn.XLOOKUP(fSales[[#This Row],[ProductID]],dProduct[ProductID],dProduct[CratePrice])</f>
        <v>29.75</v>
      </c>
      <c r="S424">
        <f>_xlfn.XLOOKUP(fSales[[#This Row],[ProductID]],dProduct[ProductID],dProduct[CrateCost])</f>
        <v>17.254999999999999</v>
      </c>
    </row>
    <row r="425" spans="7:19" x14ac:dyDescent="0.25">
      <c r="G425" s="2">
        <v>45573</v>
      </c>
      <c r="H425">
        <v>96</v>
      </c>
      <c r="I425" t="s">
        <v>21</v>
      </c>
      <c r="J425" t="s">
        <v>22</v>
      </c>
      <c r="K425">
        <f>_xlfn.XLOOKUP(fSales[[#This Row],[ProductID]],dProduct[ProductID],dProduct[CratePrice])*fSales[[#This Row],[Units]]</f>
        <v>2160</v>
      </c>
      <c r="L425">
        <f>fSales[[#This Row],[Total sales]]-_xlfn.XLOOKUP(fSales[[#This Row],[ProductID]],dProduct[ProductID],dProduct[CrateCost])*fSales[[#This Row],[Units]]</f>
        <v>950.39999999999986</v>
      </c>
      <c r="M425">
        <f>(_xlfn.XLOOKUP(fSales[[#This Row],[ProductID]],dProduct[ProductID],dProduct[CratePrice])-_xlfn.XLOOKUP(fSales[[#This Row],[ProductID]],dProduct[ProductID],dProduct[CrateCost]))/_xlfn.XLOOKUP(fSales[[#This Row],[ProductID]],dProduct[ProductID],dProduct[CratePrice])</f>
        <v>0.43999999999999995</v>
      </c>
      <c r="N425" t="str">
        <f>_xlfn.XLOOKUP(fSales[[#This Row],[SalesRepID]],dPSalesRep[SalesRepID],dPSalesRep[SalesRep])</f>
        <v>Timmy Kips</v>
      </c>
      <c r="O425" t="str">
        <f>_xlfn.XLOOKUP(fSales[[#This Row],[SalesRepID]],dPSalesRep[SalesRepID],dPSalesRep[Region])</f>
        <v>East</v>
      </c>
      <c r="P425" t="str">
        <f>_xlfn.XLOOKUP(fSales[[#This Row],[ProductID]],dProduct[ProductID],dProduct[Product])</f>
        <v>Kiwi</v>
      </c>
      <c r="Q425">
        <f>_xlfn.XLOOKUP(fSales[[#This Row],[ProductID]],dProduct[ProductID],dProduct[CratePrice])-_xlfn.XLOOKUP(fSales[[#This Row],[ProductID]],dProduct[ProductID],dProduct[CrateCost])</f>
        <v>9.8999999999999986</v>
      </c>
      <c r="R425">
        <f>_xlfn.XLOOKUP(fSales[[#This Row],[ProductID]],dProduct[ProductID],dProduct[CratePrice])</f>
        <v>22.5</v>
      </c>
      <c r="S425">
        <f>_xlfn.XLOOKUP(fSales[[#This Row],[ProductID]],dProduct[ProductID],dProduct[CrateCost])</f>
        <v>12.600000000000001</v>
      </c>
    </row>
    <row r="426" spans="7:19" x14ac:dyDescent="0.25">
      <c r="G426" s="2">
        <v>45574</v>
      </c>
      <c r="H426">
        <v>228</v>
      </c>
      <c r="I426" t="s">
        <v>19</v>
      </c>
      <c r="J426" t="s">
        <v>37</v>
      </c>
      <c r="K426">
        <f>_xlfn.XLOOKUP(fSales[[#This Row],[ProductID]],dProduct[ProductID],dProduct[CratePrice])*fSales[[#This Row],[Units]]</f>
        <v>7980</v>
      </c>
      <c r="L426">
        <f>fSales[[#This Row],[Total sales]]-_xlfn.XLOOKUP(fSales[[#This Row],[ProductID]],dProduct[ProductID],dProduct[CrateCost])*fSales[[#This Row],[Units]]</f>
        <v>4468.7999999999993</v>
      </c>
      <c r="M426">
        <f>(_xlfn.XLOOKUP(fSales[[#This Row],[ProductID]],dProduct[ProductID],dProduct[CratePrice])-_xlfn.XLOOKUP(fSales[[#This Row],[ProductID]],dProduct[ProductID],dProduct[CrateCost]))/_xlfn.XLOOKUP(fSales[[#This Row],[ProductID]],dProduct[ProductID],dProduct[CratePrice])</f>
        <v>0.56000000000000005</v>
      </c>
      <c r="N426" t="str">
        <f>_xlfn.XLOOKUP(fSales[[#This Row],[SalesRepID]],dPSalesRep[SalesRepID],dPSalesRep[SalesRep])</f>
        <v>Chantel Mims</v>
      </c>
      <c r="O426" t="str">
        <f>_xlfn.XLOOKUP(fSales[[#This Row],[SalesRepID]],dPSalesRep[SalesRepID],dPSalesRep[Region])</f>
        <v>NW</v>
      </c>
      <c r="P426" t="str">
        <f>_xlfn.XLOOKUP(fSales[[#This Row],[ProductID]],dProduct[ProductID],dProduct[Product])</f>
        <v>Apple</v>
      </c>
      <c r="Q426">
        <f>_xlfn.XLOOKUP(fSales[[#This Row],[ProductID]],dProduct[ProductID],dProduct[CratePrice])-_xlfn.XLOOKUP(fSales[[#This Row],[ProductID]],dProduct[ProductID],dProduct[CrateCost])</f>
        <v>19.600000000000001</v>
      </c>
      <c r="R426">
        <f>_xlfn.XLOOKUP(fSales[[#This Row],[ProductID]],dProduct[ProductID],dProduct[CratePrice])</f>
        <v>35</v>
      </c>
      <c r="S426">
        <f>_xlfn.XLOOKUP(fSales[[#This Row],[ProductID]],dProduct[ProductID],dProduct[CrateCost])</f>
        <v>15.4</v>
      </c>
    </row>
    <row r="427" spans="7:19" x14ac:dyDescent="0.25">
      <c r="G427" s="2">
        <v>45574</v>
      </c>
      <c r="H427">
        <v>168</v>
      </c>
      <c r="I427" t="s">
        <v>28</v>
      </c>
      <c r="J427" t="s">
        <v>22</v>
      </c>
      <c r="K427">
        <f>_xlfn.XLOOKUP(fSales[[#This Row],[ProductID]],dProduct[ProductID],dProduct[CratePrice])*fSales[[#This Row],[Units]]</f>
        <v>7341.6</v>
      </c>
      <c r="L427">
        <f>fSales[[#This Row],[Total sales]]-_xlfn.XLOOKUP(fSales[[#This Row],[ProductID]],dProduct[ProductID],dProduct[CrateCost])*fSales[[#This Row],[Units]]</f>
        <v>3083.4720000000007</v>
      </c>
      <c r="M427">
        <f>(_xlfn.XLOOKUP(fSales[[#This Row],[ProductID]],dProduct[ProductID],dProduct[CratePrice])-_xlfn.XLOOKUP(fSales[[#This Row],[ProductID]],dProduct[ProductID],dProduct[CrateCost]))/_xlfn.XLOOKUP(fSales[[#This Row],[ProductID]],dProduct[ProductID],dProduct[CratePrice])</f>
        <v>0.42000000000000004</v>
      </c>
      <c r="N427" t="str">
        <f>_xlfn.XLOOKUP(fSales[[#This Row],[SalesRepID]],dPSalesRep[SalesRepID],dPSalesRep[SalesRep])</f>
        <v>Timmy Kips</v>
      </c>
      <c r="O427" t="str">
        <f>_xlfn.XLOOKUP(fSales[[#This Row],[SalesRepID]],dPSalesRep[SalesRepID],dPSalesRep[Region])</f>
        <v>East</v>
      </c>
      <c r="P427" t="str">
        <f>_xlfn.XLOOKUP(fSales[[#This Row],[ProductID]],dProduct[ProductID],dProduct[Product])</f>
        <v>Cherry</v>
      </c>
      <c r="Q427">
        <f>_xlfn.XLOOKUP(fSales[[#This Row],[ProductID]],dProduct[ProductID],dProduct[CratePrice])-_xlfn.XLOOKUP(fSales[[#This Row],[ProductID]],dProduct[ProductID],dProduct[CrateCost])</f>
        <v>18.354000000000003</v>
      </c>
      <c r="R427">
        <f>_xlfn.XLOOKUP(fSales[[#This Row],[ProductID]],dProduct[ProductID],dProduct[CratePrice])</f>
        <v>43.7</v>
      </c>
      <c r="S427">
        <f>_xlfn.XLOOKUP(fSales[[#This Row],[ProductID]],dProduct[ProductID],dProduct[CrateCost])</f>
        <v>25.346</v>
      </c>
    </row>
    <row r="428" spans="7:19" x14ac:dyDescent="0.25">
      <c r="G428" s="2">
        <v>45577</v>
      </c>
      <c r="H428">
        <v>156</v>
      </c>
      <c r="I428" t="s">
        <v>28</v>
      </c>
      <c r="J428" t="s">
        <v>22</v>
      </c>
      <c r="K428">
        <f>_xlfn.XLOOKUP(fSales[[#This Row],[ProductID]],dProduct[ProductID],dProduct[CratePrice])*fSales[[#This Row],[Units]]</f>
        <v>6817.2000000000007</v>
      </c>
      <c r="L428">
        <f>fSales[[#This Row],[Total sales]]-_xlfn.XLOOKUP(fSales[[#This Row],[ProductID]],dProduct[ProductID],dProduct[CrateCost])*fSales[[#This Row],[Units]]</f>
        <v>2863.2240000000006</v>
      </c>
      <c r="M428">
        <f>(_xlfn.XLOOKUP(fSales[[#This Row],[ProductID]],dProduct[ProductID],dProduct[CratePrice])-_xlfn.XLOOKUP(fSales[[#This Row],[ProductID]],dProduct[ProductID],dProduct[CrateCost]))/_xlfn.XLOOKUP(fSales[[#This Row],[ProductID]],dProduct[ProductID],dProduct[CratePrice])</f>
        <v>0.42000000000000004</v>
      </c>
      <c r="N428" t="str">
        <f>_xlfn.XLOOKUP(fSales[[#This Row],[SalesRepID]],dPSalesRep[SalesRepID],dPSalesRep[SalesRep])</f>
        <v>Timmy Kips</v>
      </c>
      <c r="O428" t="str">
        <f>_xlfn.XLOOKUP(fSales[[#This Row],[SalesRepID]],dPSalesRep[SalesRepID],dPSalesRep[Region])</f>
        <v>East</v>
      </c>
      <c r="P428" t="str">
        <f>_xlfn.XLOOKUP(fSales[[#This Row],[ProductID]],dProduct[ProductID],dProduct[Product])</f>
        <v>Cherry</v>
      </c>
      <c r="Q428">
        <f>_xlfn.XLOOKUP(fSales[[#This Row],[ProductID]],dProduct[ProductID],dProduct[CratePrice])-_xlfn.XLOOKUP(fSales[[#This Row],[ProductID]],dProduct[ProductID],dProduct[CrateCost])</f>
        <v>18.354000000000003</v>
      </c>
      <c r="R428">
        <f>_xlfn.XLOOKUP(fSales[[#This Row],[ProductID]],dProduct[ProductID],dProduct[CratePrice])</f>
        <v>43.7</v>
      </c>
      <c r="S428">
        <f>_xlfn.XLOOKUP(fSales[[#This Row],[ProductID]],dProduct[ProductID],dProduct[CrateCost])</f>
        <v>25.346</v>
      </c>
    </row>
    <row r="429" spans="7:19" x14ac:dyDescent="0.25">
      <c r="G429" s="2">
        <v>45577</v>
      </c>
      <c r="H429">
        <v>300</v>
      </c>
      <c r="I429" t="s">
        <v>34</v>
      </c>
      <c r="J429" t="s">
        <v>22</v>
      </c>
      <c r="K429">
        <f>_xlfn.XLOOKUP(fSales[[#This Row],[ProductID]],dProduct[ProductID],dProduct[CratePrice])*fSales[[#This Row],[Units]]</f>
        <v>5250</v>
      </c>
      <c r="L429">
        <f>fSales[[#This Row],[Total sales]]-_xlfn.XLOOKUP(fSales[[#This Row],[ProductID]],dProduct[ProductID],dProduct[CrateCost])*fSales[[#This Row],[Units]]</f>
        <v>1732.4999999999995</v>
      </c>
      <c r="M429">
        <f>(_xlfn.XLOOKUP(fSales[[#This Row],[ProductID]],dProduct[ProductID],dProduct[CratePrice])-_xlfn.XLOOKUP(fSales[[#This Row],[ProductID]],dProduct[ProductID],dProduct[CrateCost]))/_xlfn.XLOOKUP(fSales[[#This Row],[ProductID]],dProduct[ProductID],dProduct[CratePrice])</f>
        <v>0.3299999999999999</v>
      </c>
      <c r="N429" t="str">
        <f>_xlfn.XLOOKUP(fSales[[#This Row],[SalesRepID]],dPSalesRep[SalesRepID],dPSalesRep[SalesRep])</f>
        <v>Timmy Kips</v>
      </c>
      <c r="O429" t="str">
        <f>_xlfn.XLOOKUP(fSales[[#This Row],[SalesRepID]],dPSalesRep[SalesRepID],dPSalesRep[Region])</f>
        <v>East</v>
      </c>
      <c r="P429" t="str">
        <f>_xlfn.XLOOKUP(fSales[[#This Row],[ProductID]],dProduct[ProductID],dProduct[Product])</f>
        <v>Banana</v>
      </c>
      <c r="Q429">
        <f>_xlfn.XLOOKUP(fSales[[#This Row],[ProductID]],dProduct[ProductID],dProduct[CratePrice])-_xlfn.XLOOKUP(fSales[[#This Row],[ProductID]],dProduct[ProductID],dProduct[CrateCost])</f>
        <v>5.7749999999999986</v>
      </c>
      <c r="R429">
        <f>_xlfn.XLOOKUP(fSales[[#This Row],[ProductID]],dProduct[ProductID],dProduct[CratePrice])</f>
        <v>17.5</v>
      </c>
      <c r="S429">
        <f>_xlfn.XLOOKUP(fSales[[#This Row],[ProductID]],dProduct[ProductID],dProduct[CrateCost])</f>
        <v>11.725000000000001</v>
      </c>
    </row>
    <row r="430" spans="7:19" x14ac:dyDescent="0.25">
      <c r="G430" s="2">
        <v>45578</v>
      </c>
      <c r="H430">
        <v>168</v>
      </c>
      <c r="I430" t="s">
        <v>26</v>
      </c>
      <c r="J430" t="s">
        <v>32</v>
      </c>
      <c r="K430">
        <f>_xlfn.XLOOKUP(fSales[[#This Row],[ProductID]],dProduct[ProductID],dProduct[CratePrice])*fSales[[#This Row],[Units]]</f>
        <v>4998</v>
      </c>
      <c r="L430">
        <f>fSales[[#This Row],[Total sales]]-_xlfn.XLOOKUP(fSales[[#This Row],[ProductID]],dProduct[ProductID],dProduct[CrateCost])*fSales[[#This Row],[Units]]</f>
        <v>2099.1600000000003</v>
      </c>
      <c r="M430">
        <f>(_xlfn.XLOOKUP(fSales[[#This Row],[ProductID]],dProduct[ProductID],dProduct[CratePrice])-_xlfn.XLOOKUP(fSales[[#This Row],[ProductID]],dProduct[ProductID],dProduct[CrateCost]))/_xlfn.XLOOKUP(fSales[[#This Row],[ProductID]],dProduct[ProductID],dProduct[CratePrice])</f>
        <v>0.42000000000000004</v>
      </c>
      <c r="N430" t="str">
        <f>_xlfn.XLOOKUP(fSales[[#This Row],[SalesRepID]],dPSalesRep[SalesRepID],dPSalesRep[SalesRep])</f>
        <v>Shihara Fazzaa</v>
      </c>
      <c r="O430" t="str">
        <f>_xlfn.XLOOKUP(fSales[[#This Row],[SalesRepID]],dPSalesRep[SalesRepID],dPSalesRep[Region])</f>
        <v>East</v>
      </c>
      <c r="P430" t="str">
        <f>_xlfn.XLOOKUP(fSales[[#This Row],[ProductID]],dProduct[ProductID],dProduct[Product])</f>
        <v>Orange</v>
      </c>
      <c r="Q430">
        <f>_xlfn.XLOOKUP(fSales[[#This Row],[ProductID]],dProduct[ProductID],dProduct[CratePrice])-_xlfn.XLOOKUP(fSales[[#This Row],[ProductID]],dProduct[ProductID],dProduct[CrateCost])</f>
        <v>12.495000000000001</v>
      </c>
      <c r="R430">
        <f>_xlfn.XLOOKUP(fSales[[#This Row],[ProductID]],dProduct[ProductID],dProduct[CratePrice])</f>
        <v>29.75</v>
      </c>
      <c r="S430">
        <f>_xlfn.XLOOKUP(fSales[[#This Row],[ProductID]],dProduct[ProductID],dProduct[CrateCost])</f>
        <v>17.254999999999999</v>
      </c>
    </row>
    <row r="431" spans="7:19" x14ac:dyDescent="0.25">
      <c r="G431" s="2">
        <v>45579</v>
      </c>
      <c r="H431">
        <v>204</v>
      </c>
      <c r="I431" t="s">
        <v>19</v>
      </c>
      <c r="J431" t="s">
        <v>29</v>
      </c>
      <c r="K431">
        <f>_xlfn.XLOOKUP(fSales[[#This Row],[ProductID]],dProduct[ProductID],dProduct[CratePrice])*fSales[[#This Row],[Units]]</f>
        <v>7140</v>
      </c>
      <c r="L431">
        <f>fSales[[#This Row],[Total sales]]-_xlfn.XLOOKUP(fSales[[#This Row],[ProductID]],dProduct[ProductID],dProduct[CrateCost])*fSales[[#This Row],[Units]]</f>
        <v>3998.4</v>
      </c>
      <c r="M431">
        <f>(_xlfn.XLOOKUP(fSales[[#This Row],[ProductID]],dProduct[ProductID],dProduct[CratePrice])-_xlfn.XLOOKUP(fSales[[#This Row],[ProductID]],dProduct[ProductID],dProduct[CrateCost]))/_xlfn.XLOOKUP(fSales[[#This Row],[ProductID]],dProduct[ProductID],dProduct[CratePrice])</f>
        <v>0.56000000000000005</v>
      </c>
      <c r="N431" t="str">
        <f>_xlfn.XLOOKUP(fSales[[#This Row],[SalesRepID]],dPSalesRep[SalesRepID],dPSalesRep[SalesRep])</f>
        <v>Sioux Best</v>
      </c>
      <c r="O431" t="str">
        <f>_xlfn.XLOOKUP(fSales[[#This Row],[SalesRepID]],dPSalesRep[SalesRepID],dPSalesRep[Region])</f>
        <v>West</v>
      </c>
      <c r="P431" t="str">
        <f>_xlfn.XLOOKUP(fSales[[#This Row],[ProductID]],dProduct[ProductID],dProduct[Product])</f>
        <v>Apple</v>
      </c>
      <c r="Q431">
        <f>_xlfn.XLOOKUP(fSales[[#This Row],[ProductID]],dProduct[ProductID],dProduct[CratePrice])-_xlfn.XLOOKUP(fSales[[#This Row],[ProductID]],dProduct[ProductID],dProduct[CrateCost])</f>
        <v>19.600000000000001</v>
      </c>
      <c r="R431">
        <f>_xlfn.XLOOKUP(fSales[[#This Row],[ProductID]],dProduct[ProductID],dProduct[CratePrice])</f>
        <v>35</v>
      </c>
      <c r="S431">
        <f>_xlfn.XLOOKUP(fSales[[#This Row],[ProductID]],dProduct[ProductID],dProduct[CrateCost])</f>
        <v>15.4</v>
      </c>
    </row>
    <row r="432" spans="7:19" x14ac:dyDescent="0.25">
      <c r="G432" s="2">
        <v>45579</v>
      </c>
      <c r="H432">
        <v>180</v>
      </c>
      <c r="I432" t="s">
        <v>34</v>
      </c>
      <c r="J432" t="s">
        <v>37</v>
      </c>
      <c r="K432">
        <f>_xlfn.XLOOKUP(fSales[[#This Row],[ProductID]],dProduct[ProductID],dProduct[CratePrice])*fSales[[#This Row],[Units]]</f>
        <v>3150</v>
      </c>
      <c r="L432">
        <f>fSales[[#This Row],[Total sales]]-_xlfn.XLOOKUP(fSales[[#This Row],[ProductID]],dProduct[ProductID],dProduct[CrateCost])*fSales[[#This Row],[Units]]</f>
        <v>1039.4999999999995</v>
      </c>
      <c r="M432">
        <f>(_xlfn.XLOOKUP(fSales[[#This Row],[ProductID]],dProduct[ProductID],dProduct[CratePrice])-_xlfn.XLOOKUP(fSales[[#This Row],[ProductID]],dProduct[ProductID],dProduct[CrateCost]))/_xlfn.XLOOKUP(fSales[[#This Row],[ProductID]],dProduct[ProductID],dProduct[CratePrice])</f>
        <v>0.3299999999999999</v>
      </c>
      <c r="N432" t="str">
        <f>_xlfn.XLOOKUP(fSales[[#This Row],[SalesRepID]],dPSalesRep[SalesRepID],dPSalesRep[SalesRep])</f>
        <v>Chantel Mims</v>
      </c>
      <c r="O432" t="str">
        <f>_xlfn.XLOOKUP(fSales[[#This Row],[SalesRepID]],dPSalesRep[SalesRepID],dPSalesRep[Region])</f>
        <v>NW</v>
      </c>
      <c r="P432" t="str">
        <f>_xlfn.XLOOKUP(fSales[[#This Row],[ProductID]],dProduct[ProductID],dProduct[Product])</f>
        <v>Banana</v>
      </c>
      <c r="Q432">
        <f>_xlfn.XLOOKUP(fSales[[#This Row],[ProductID]],dProduct[ProductID],dProduct[CratePrice])-_xlfn.XLOOKUP(fSales[[#This Row],[ProductID]],dProduct[ProductID],dProduct[CrateCost])</f>
        <v>5.7749999999999986</v>
      </c>
      <c r="R432">
        <f>_xlfn.XLOOKUP(fSales[[#This Row],[ProductID]],dProduct[ProductID],dProduct[CratePrice])</f>
        <v>17.5</v>
      </c>
      <c r="S432">
        <f>_xlfn.XLOOKUP(fSales[[#This Row],[ProductID]],dProduct[ProductID],dProduct[CrateCost])</f>
        <v>11.725000000000001</v>
      </c>
    </row>
    <row r="433" spans="7:19" x14ac:dyDescent="0.25">
      <c r="G433" s="2">
        <v>45579</v>
      </c>
      <c r="H433">
        <v>300</v>
      </c>
      <c r="I433" t="s">
        <v>19</v>
      </c>
      <c r="J433" t="s">
        <v>52</v>
      </c>
      <c r="K433">
        <f>_xlfn.XLOOKUP(fSales[[#This Row],[ProductID]],dProduct[ProductID],dProduct[CratePrice])*fSales[[#This Row],[Units]]</f>
        <v>10500</v>
      </c>
      <c r="L433">
        <f>fSales[[#This Row],[Total sales]]-_xlfn.XLOOKUP(fSales[[#This Row],[ProductID]],dProduct[ProductID],dProduct[CrateCost])*fSales[[#This Row],[Units]]</f>
        <v>5880</v>
      </c>
      <c r="M433">
        <f>(_xlfn.XLOOKUP(fSales[[#This Row],[ProductID]],dProduct[ProductID],dProduct[CratePrice])-_xlfn.XLOOKUP(fSales[[#This Row],[ProductID]],dProduct[ProductID],dProduct[CrateCost]))/_xlfn.XLOOKUP(fSales[[#This Row],[ProductID]],dProduct[ProductID],dProduct[CratePrice])</f>
        <v>0.56000000000000005</v>
      </c>
      <c r="N433" t="str">
        <f>_xlfn.XLOOKUP(fSales[[#This Row],[SalesRepID]],dPSalesRep[SalesRepID],dPSalesRep[SalesRep])</f>
        <v>Smitty Rad</v>
      </c>
      <c r="O433" t="str">
        <f>_xlfn.XLOOKUP(fSales[[#This Row],[SalesRepID]],dPSalesRep[SalesRepID],dPSalesRep[Region])</f>
        <v>MidWest</v>
      </c>
      <c r="P433" t="str">
        <f>_xlfn.XLOOKUP(fSales[[#This Row],[ProductID]],dProduct[ProductID],dProduct[Product])</f>
        <v>Apple</v>
      </c>
      <c r="Q433">
        <f>_xlfn.XLOOKUP(fSales[[#This Row],[ProductID]],dProduct[ProductID],dProduct[CratePrice])-_xlfn.XLOOKUP(fSales[[#This Row],[ProductID]],dProduct[ProductID],dProduct[CrateCost])</f>
        <v>19.600000000000001</v>
      </c>
      <c r="R433">
        <f>_xlfn.XLOOKUP(fSales[[#This Row],[ProductID]],dProduct[ProductID],dProduct[CratePrice])</f>
        <v>35</v>
      </c>
      <c r="S433">
        <f>_xlfn.XLOOKUP(fSales[[#This Row],[ProductID]],dProduct[ProductID],dProduct[CrateCost])</f>
        <v>15.4</v>
      </c>
    </row>
    <row r="434" spans="7:19" x14ac:dyDescent="0.25">
      <c r="G434" s="2">
        <v>45580</v>
      </c>
      <c r="H434">
        <v>180</v>
      </c>
      <c r="I434" t="s">
        <v>19</v>
      </c>
      <c r="J434" t="s">
        <v>37</v>
      </c>
      <c r="K434">
        <f>_xlfn.XLOOKUP(fSales[[#This Row],[ProductID]],dProduct[ProductID],dProduct[CratePrice])*fSales[[#This Row],[Units]]</f>
        <v>6300</v>
      </c>
      <c r="L434">
        <f>fSales[[#This Row],[Total sales]]-_xlfn.XLOOKUP(fSales[[#This Row],[ProductID]],dProduct[ProductID],dProduct[CrateCost])*fSales[[#This Row],[Units]]</f>
        <v>3528</v>
      </c>
      <c r="M434">
        <f>(_xlfn.XLOOKUP(fSales[[#This Row],[ProductID]],dProduct[ProductID],dProduct[CratePrice])-_xlfn.XLOOKUP(fSales[[#This Row],[ProductID]],dProduct[ProductID],dProduct[CrateCost]))/_xlfn.XLOOKUP(fSales[[#This Row],[ProductID]],dProduct[ProductID],dProduct[CratePrice])</f>
        <v>0.56000000000000005</v>
      </c>
      <c r="N434" t="str">
        <f>_xlfn.XLOOKUP(fSales[[#This Row],[SalesRepID]],dPSalesRep[SalesRepID],dPSalesRep[SalesRep])</f>
        <v>Chantel Mims</v>
      </c>
      <c r="O434" t="str">
        <f>_xlfn.XLOOKUP(fSales[[#This Row],[SalesRepID]],dPSalesRep[SalesRepID],dPSalesRep[Region])</f>
        <v>NW</v>
      </c>
      <c r="P434" t="str">
        <f>_xlfn.XLOOKUP(fSales[[#This Row],[ProductID]],dProduct[ProductID],dProduct[Product])</f>
        <v>Apple</v>
      </c>
      <c r="Q434">
        <f>_xlfn.XLOOKUP(fSales[[#This Row],[ProductID]],dProduct[ProductID],dProduct[CratePrice])-_xlfn.XLOOKUP(fSales[[#This Row],[ProductID]],dProduct[ProductID],dProduct[CrateCost])</f>
        <v>19.600000000000001</v>
      </c>
      <c r="R434">
        <f>_xlfn.XLOOKUP(fSales[[#This Row],[ProductID]],dProduct[ProductID],dProduct[CratePrice])</f>
        <v>35</v>
      </c>
      <c r="S434">
        <f>_xlfn.XLOOKUP(fSales[[#This Row],[ProductID]],dProduct[ProductID],dProduct[CrateCost])</f>
        <v>15.4</v>
      </c>
    </row>
    <row r="435" spans="7:19" x14ac:dyDescent="0.25">
      <c r="G435" s="2">
        <v>45580</v>
      </c>
      <c r="H435">
        <v>300</v>
      </c>
      <c r="I435" t="s">
        <v>26</v>
      </c>
      <c r="J435" t="s">
        <v>32</v>
      </c>
      <c r="K435">
        <f>_xlfn.XLOOKUP(fSales[[#This Row],[ProductID]],dProduct[ProductID],dProduct[CratePrice])*fSales[[#This Row],[Units]]</f>
        <v>8925</v>
      </c>
      <c r="L435">
        <f>fSales[[#This Row],[Total sales]]-_xlfn.XLOOKUP(fSales[[#This Row],[ProductID]],dProduct[ProductID],dProduct[CrateCost])*fSales[[#This Row],[Units]]</f>
        <v>3748.5</v>
      </c>
      <c r="M435">
        <f>(_xlfn.XLOOKUP(fSales[[#This Row],[ProductID]],dProduct[ProductID],dProduct[CratePrice])-_xlfn.XLOOKUP(fSales[[#This Row],[ProductID]],dProduct[ProductID],dProduct[CrateCost]))/_xlfn.XLOOKUP(fSales[[#This Row],[ProductID]],dProduct[ProductID],dProduct[CratePrice])</f>
        <v>0.42000000000000004</v>
      </c>
      <c r="N435" t="str">
        <f>_xlfn.XLOOKUP(fSales[[#This Row],[SalesRepID]],dPSalesRep[SalesRepID],dPSalesRep[SalesRep])</f>
        <v>Shihara Fazzaa</v>
      </c>
      <c r="O435" t="str">
        <f>_xlfn.XLOOKUP(fSales[[#This Row],[SalesRepID]],dPSalesRep[SalesRepID],dPSalesRep[Region])</f>
        <v>East</v>
      </c>
      <c r="P435" t="str">
        <f>_xlfn.XLOOKUP(fSales[[#This Row],[ProductID]],dProduct[ProductID],dProduct[Product])</f>
        <v>Orange</v>
      </c>
      <c r="Q435">
        <f>_xlfn.XLOOKUP(fSales[[#This Row],[ProductID]],dProduct[ProductID],dProduct[CratePrice])-_xlfn.XLOOKUP(fSales[[#This Row],[ProductID]],dProduct[ProductID],dProduct[CrateCost])</f>
        <v>12.495000000000001</v>
      </c>
      <c r="R435">
        <f>_xlfn.XLOOKUP(fSales[[#This Row],[ProductID]],dProduct[ProductID],dProduct[CratePrice])</f>
        <v>29.75</v>
      </c>
      <c r="S435">
        <f>_xlfn.XLOOKUP(fSales[[#This Row],[ProductID]],dProduct[ProductID],dProduct[CrateCost])</f>
        <v>17.254999999999999</v>
      </c>
    </row>
    <row r="436" spans="7:19" x14ac:dyDescent="0.25">
      <c r="G436" s="2">
        <v>45580</v>
      </c>
      <c r="H436">
        <v>300</v>
      </c>
      <c r="I436" t="s">
        <v>34</v>
      </c>
      <c r="J436" t="s">
        <v>22</v>
      </c>
      <c r="K436">
        <f>_xlfn.XLOOKUP(fSales[[#This Row],[ProductID]],dProduct[ProductID],dProduct[CratePrice])*fSales[[#This Row],[Units]]</f>
        <v>5250</v>
      </c>
      <c r="L436">
        <f>fSales[[#This Row],[Total sales]]-_xlfn.XLOOKUP(fSales[[#This Row],[ProductID]],dProduct[ProductID],dProduct[CrateCost])*fSales[[#This Row],[Units]]</f>
        <v>1732.4999999999995</v>
      </c>
      <c r="M436">
        <f>(_xlfn.XLOOKUP(fSales[[#This Row],[ProductID]],dProduct[ProductID],dProduct[CratePrice])-_xlfn.XLOOKUP(fSales[[#This Row],[ProductID]],dProduct[ProductID],dProduct[CrateCost]))/_xlfn.XLOOKUP(fSales[[#This Row],[ProductID]],dProduct[ProductID],dProduct[CratePrice])</f>
        <v>0.3299999999999999</v>
      </c>
      <c r="N436" t="str">
        <f>_xlfn.XLOOKUP(fSales[[#This Row],[SalesRepID]],dPSalesRep[SalesRepID],dPSalesRep[SalesRep])</f>
        <v>Timmy Kips</v>
      </c>
      <c r="O436" t="str">
        <f>_xlfn.XLOOKUP(fSales[[#This Row],[SalesRepID]],dPSalesRep[SalesRepID],dPSalesRep[Region])</f>
        <v>East</v>
      </c>
      <c r="P436" t="str">
        <f>_xlfn.XLOOKUP(fSales[[#This Row],[ProductID]],dProduct[ProductID],dProduct[Product])</f>
        <v>Banana</v>
      </c>
      <c r="Q436">
        <f>_xlfn.XLOOKUP(fSales[[#This Row],[ProductID]],dProduct[ProductID],dProduct[CratePrice])-_xlfn.XLOOKUP(fSales[[#This Row],[ProductID]],dProduct[ProductID],dProduct[CrateCost])</f>
        <v>5.7749999999999986</v>
      </c>
      <c r="R436">
        <f>_xlfn.XLOOKUP(fSales[[#This Row],[ProductID]],dProduct[ProductID],dProduct[CratePrice])</f>
        <v>17.5</v>
      </c>
      <c r="S436">
        <f>_xlfn.XLOOKUP(fSales[[#This Row],[ProductID]],dProduct[ProductID],dProduct[CrateCost])</f>
        <v>11.725000000000001</v>
      </c>
    </row>
    <row r="437" spans="7:19" x14ac:dyDescent="0.25">
      <c r="G437" s="2">
        <v>45580</v>
      </c>
      <c r="H437">
        <v>108</v>
      </c>
      <c r="I437" t="s">
        <v>21</v>
      </c>
      <c r="J437" t="s">
        <v>52</v>
      </c>
      <c r="K437">
        <f>_xlfn.XLOOKUP(fSales[[#This Row],[ProductID]],dProduct[ProductID],dProduct[CratePrice])*fSales[[#This Row],[Units]]</f>
        <v>2430</v>
      </c>
      <c r="L437">
        <f>fSales[[#This Row],[Total sales]]-_xlfn.XLOOKUP(fSales[[#This Row],[ProductID]],dProduct[ProductID],dProduct[CrateCost])*fSales[[#This Row],[Units]]</f>
        <v>1069.1999999999998</v>
      </c>
      <c r="M437">
        <f>(_xlfn.XLOOKUP(fSales[[#This Row],[ProductID]],dProduct[ProductID],dProduct[CratePrice])-_xlfn.XLOOKUP(fSales[[#This Row],[ProductID]],dProduct[ProductID],dProduct[CrateCost]))/_xlfn.XLOOKUP(fSales[[#This Row],[ProductID]],dProduct[ProductID],dProduct[CratePrice])</f>
        <v>0.43999999999999995</v>
      </c>
      <c r="N437" t="str">
        <f>_xlfn.XLOOKUP(fSales[[#This Row],[SalesRepID]],dPSalesRep[SalesRepID],dPSalesRep[SalesRep])</f>
        <v>Smitty Rad</v>
      </c>
      <c r="O437" t="str">
        <f>_xlfn.XLOOKUP(fSales[[#This Row],[SalesRepID]],dPSalesRep[SalesRepID],dPSalesRep[Region])</f>
        <v>MidWest</v>
      </c>
      <c r="P437" t="str">
        <f>_xlfn.XLOOKUP(fSales[[#This Row],[ProductID]],dProduct[ProductID],dProduct[Product])</f>
        <v>Kiwi</v>
      </c>
      <c r="Q437">
        <f>_xlfn.XLOOKUP(fSales[[#This Row],[ProductID]],dProduct[ProductID],dProduct[CratePrice])-_xlfn.XLOOKUP(fSales[[#This Row],[ProductID]],dProduct[ProductID],dProduct[CrateCost])</f>
        <v>9.8999999999999986</v>
      </c>
      <c r="R437">
        <f>_xlfn.XLOOKUP(fSales[[#This Row],[ProductID]],dProduct[ProductID],dProduct[CratePrice])</f>
        <v>22.5</v>
      </c>
      <c r="S437">
        <f>_xlfn.XLOOKUP(fSales[[#This Row],[ProductID]],dProduct[ProductID],dProduct[CrateCost])</f>
        <v>12.600000000000001</v>
      </c>
    </row>
    <row r="438" spans="7:19" x14ac:dyDescent="0.25">
      <c r="G438" s="2">
        <v>45580</v>
      </c>
      <c r="H438">
        <v>96</v>
      </c>
      <c r="I438" t="s">
        <v>28</v>
      </c>
      <c r="J438" t="s">
        <v>37</v>
      </c>
      <c r="K438">
        <f>_xlfn.XLOOKUP(fSales[[#This Row],[ProductID]],dProduct[ProductID],dProduct[CratePrice])*fSales[[#This Row],[Units]]</f>
        <v>4195.2000000000007</v>
      </c>
      <c r="L438">
        <f>fSales[[#This Row],[Total sales]]-_xlfn.XLOOKUP(fSales[[#This Row],[ProductID]],dProduct[ProductID],dProduct[CrateCost])*fSales[[#This Row],[Units]]</f>
        <v>1761.9840000000008</v>
      </c>
      <c r="M438">
        <f>(_xlfn.XLOOKUP(fSales[[#This Row],[ProductID]],dProduct[ProductID],dProduct[CratePrice])-_xlfn.XLOOKUP(fSales[[#This Row],[ProductID]],dProduct[ProductID],dProduct[CrateCost]))/_xlfn.XLOOKUP(fSales[[#This Row],[ProductID]],dProduct[ProductID],dProduct[CratePrice])</f>
        <v>0.42000000000000004</v>
      </c>
      <c r="N438" t="str">
        <f>_xlfn.XLOOKUP(fSales[[#This Row],[SalesRepID]],dPSalesRep[SalesRepID],dPSalesRep[SalesRep])</f>
        <v>Chantel Mims</v>
      </c>
      <c r="O438" t="str">
        <f>_xlfn.XLOOKUP(fSales[[#This Row],[SalesRepID]],dPSalesRep[SalesRepID],dPSalesRep[Region])</f>
        <v>NW</v>
      </c>
      <c r="P438" t="str">
        <f>_xlfn.XLOOKUP(fSales[[#This Row],[ProductID]],dProduct[ProductID],dProduct[Product])</f>
        <v>Cherry</v>
      </c>
      <c r="Q438">
        <f>_xlfn.XLOOKUP(fSales[[#This Row],[ProductID]],dProduct[ProductID],dProduct[CratePrice])-_xlfn.XLOOKUP(fSales[[#This Row],[ProductID]],dProduct[ProductID],dProduct[CrateCost])</f>
        <v>18.354000000000003</v>
      </c>
      <c r="R438">
        <f>_xlfn.XLOOKUP(fSales[[#This Row],[ProductID]],dProduct[ProductID],dProduct[CratePrice])</f>
        <v>43.7</v>
      </c>
      <c r="S438">
        <f>_xlfn.XLOOKUP(fSales[[#This Row],[ProductID]],dProduct[ProductID],dProduct[CrateCost])</f>
        <v>25.346</v>
      </c>
    </row>
    <row r="439" spans="7:19" x14ac:dyDescent="0.25">
      <c r="G439" s="2">
        <v>45581</v>
      </c>
      <c r="H439">
        <v>300</v>
      </c>
      <c r="I439" t="s">
        <v>21</v>
      </c>
      <c r="J439" t="s">
        <v>29</v>
      </c>
      <c r="K439">
        <f>_xlfn.XLOOKUP(fSales[[#This Row],[ProductID]],dProduct[ProductID],dProduct[CratePrice])*fSales[[#This Row],[Units]]</f>
        <v>6750</v>
      </c>
      <c r="L439">
        <f>fSales[[#This Row],[Total sales]]-_xlfn.XLOOKUP(fSales[[#This Row],[ProductID]],dProduct[ProductID],dProduct[CrateCost])*fSales[[#This Row],[Units]]</f>
        <v>2969.9999999999995</v>
      </c>
      <c r="M439">
        <f>(_xlfn.XLOOKUP(fSales[[#This Row],[ProductID]],dProduct[ProductID],dProduct[CratePrice])-_xlfn.XLOOKUP(fSales[[#This Row],[ProductID]],dProduct[ProductID],dProduct[CrateCost]))/_xlfn.XLOOKUP(fSales[[#This Row],[ProductID]],dProduct[ProductID],dProduct[CratePrice])</f>
        <v>0.43999999999999995</v>
      </c>
      <c r="N439" t="str">
        <f>_xlfn.XLOOKUP(fSales[[#This Row],[SalesRepID]],dPSalesRep[SalesRepID],dPSalesRep[SalesRep])</f>
        <v>Sioux Best</v>
      </c>
      <c r="O439" t="str">
        <f>_xlfn.XLOOKUP(fSales[[#This Row],[SalesRepID]],dPSalesRep[SalesRepID],dPSalesRep[Region])</f>
        <v>West</v>
      </c>
      <c r="P439" t="str">
        <f>_xlfn.XLOOKUP(fSales[[#This Row],[ProductID]],dProduct[ProductID],dProduct[Product])</f>
        <v>Kiwi</v>
      </c>
      <c r="Q439">
        <f>_xlfn.XLOOKUP(fSales[[#This Row],[ProductID]],dProduct[ProductID],dProduct[CratePrice])-_xlfn.XLOOKUP(fSales[[#This Row],[ProductID]],dProduct[ProductID],dProduct[CrateCost])</f>
        <v>9.8999999999999986</v>
      </c>
      <c r="R439">
        <f>_xlfn.XLOOKUP(fSales[[#This Row],[ProductID]],dProduct[ProductID],dProduct[CratePrice])</f>
        <v>22.5</v>
      </c>
      <c r="S439">
        <f>_xlfn.XLOOKUP(fSales[[#This Row],[ProductID]],dProduct[ProductID],dProduct[CrateCost])</f>
        <v>12.600000000000001</v>
      </c>
    </row>
    <row r="440" spans="7:19" x14ac:dyDescent="0.25">
      <c r="G440" s="2">
        <v>45581</v>
      </c>
      <c r="H440">
        <v>48</v>
      </c>
      <c r="I440" t="s">
        <v>34</v>
      </c>
      <c r="J440" t="s">
        <v>37</v>
      </c>
      <c r="K440">
        <f>_xlfn.XLOOKUP(fSales[[#This Row],[ProductID]],dProduct[ProductID],dProduct[CratePrice])*fSales[[#This Row],[Units]]</f>
        <v>840</v>
      </c>
      <c r="L440">
        <f>fSales[[#This Row],[Total sales]]-_xlfn.XLOOKUP(fSales[[#This Row],[ProductID]],dProduct[ProductID],dProduct[CrateCost])*fSales[[#This Row],[Units]]</f>
        <v>277.19999999999993</v>
      </c>
      <c r="M440">
        <f>(_xlfn.XLOOKUP(fSales[[#This Row],[ProductID]],dProduct[ProductID],dProduct[CratePrice])-_xlfn.XLOOKUP(fSales[[#This Row],[ProductID]],dProduct[ProductID],dProduct[CrateCost]))/_xlfn.XLOOKUP(fSales[[#This Row],[ProductID]],dProduct[ProductID],dProduct[CratePrice])</f>
        <v>0.3299999999999999</v>
      </c>
      <c r="N440" t="str">
        <f>_xlfn.XLOOKUP(fSales[[#This Row],[SalesRepID]],dPSalesRep[SalesRepID],dPSalesRep[SalesRep])</f>
        <v>Chantel Mims</v>
      </c>
      <c r="O440" t="str">
        <f>_xlfn.XLOOKUP(fSales[[#This Row],[SalesRepID]],dPSalesRep[SalesRepID],dPSalesRep[Region])</f>
        <v>NW</v>
      </c>
      <c r="P440" t="str">
        <f>_xlfn.XLOOKUP(fSales[[#This Row],[ProductID]],dProduct[ProductID],dProduct[Product])</f>
        <v>Banana</v>
      </c>
      <c r="Q440">
        <f>_xlfn.XLOOKUP(fSales[[#This Row],[ProductID]],dProduct[ProductID],dProduct[CratePrice])-_xlfn.XLOOKUP(fSales[[#This Row],[ProductID]],dProduct[ProductID],dProduct[CrateCost])</f>
        <v>5.7749999999999986</v>
      </c>
      <c r="R440">
        <f>_xlfn.XLOOKUP(fSales[[#This Row],[ProductID]],dProduct[ProductID],dProduct[CratePrice])</f>
        <v>17.5</v>
      </c>
      <c r="S440">
        <f>_xlfn.XLOOKUP(fSales[[#This Row],[ProductID]],dProduct[ProductID],dProduct[CrateCost])</f>
        <v>11.725000000000001</v>
      </c>
    </row>
    <row r="441" spans="7:19" x14ac:dyDescent="0.25">
      <c r="G441" s="2">
        <v>45582</v>
      </c>
      <c r="H441">
        <v>132</v>
      </c>
      <c r="I441" t="s">
        <v>19</v>
      </c>
      <c r="J441" t="s">
        <v>37</v>
      </c>
      <c r="K441">
        <f>_xlfn.XLOOKUP(fSales[[#This Row],[ProductID]],dProduct[ProductID],dProduct[CratePrice])*fSales[[#This Row],[Units]]</f>
        <v>4620</v>
      </c>
      <c r="L441">
        <f>fSales[[#This Row],[Total sales]]-_xlfn.XLOOKUP(fSales[[#This Row],[ProductID]],dProduct[ProductID],dProduct[CrateCost])*fSales[[#This Row],[Units]]</f>
        <v>2587.1999999999998</v>
      </c>
      <c r="M441">
        <f>(_xlfn.XLOOKUP(fSales[[#This Row],[ProductID]],dProduct[ProductID],dProduct[CratePrice])-_xlfn.XLOOKUP(fSales[[#This Row],[ProductID]],dProduct[ProductID],dProduct[CrateCost]))/_xlfn.XLOOKUP(fSales[[#This Row],[ProductID]],dProduct[ProductID],dProduct[CratePrice])</f>
        <v>0.56000000000000005</v>
      </c>
      <c r="N441" t="str">
        <f>_xlfn.XLOOKUP(fSales[[#This Row],[SalesRepID]],dPSalesRep[SalesRepID],dPSalesRep[SalesRep])</f>
        <v>Chantel Mims</v>
      </c>
      <c r="O441" t="str">
        <f>_xlfn.XLOOKUP(fSales[[#This Row],[SalesRepID]],dPSalesRep[SalesRepID],dPSalesRep[Region])</f>
        <v>NW</v>
      </c>
      <c r="P441" t="str">
        <f>_xlfn.XLOOKUP(fSales[[#This Row],[ProductID]],dProduct[ProductID],dProduct[Product])</f>
        <v>Apple</v>
      </c>
      <c r="Q441">
        <f>_xlfn.XLOOKUP(fSales[[#This Row],[ProductID]],dProduct[ProductID],dProduct[CratePrice])-_xlfn.XLOOKUP(fSales[[#This Row],[ProductID]],dProduct[ProductID],dProduct[CrateCost])</f>
        <v>19.600000000000001</v>
      </c>
      <c r="R441">
        <f>_xlfn.XLOOKUP(fSales[[#This Row],[ProductID]],dProduct[ProductID],dProduct[CratePrice])</f>
        <v>35</v>
      </c>
      <c r="S441">
        <f>_xlfn.XLOOKUP(fSales[[#This Row],[ProductID]],dProduct[ProductID],dProduct[CrateCost])</f>
        <v>15.4</v>
      </c>
    </row>
    <row r="442" spans="7:19" x14ac:dyDescent="0.25">
      <c r="G442" s="2">
        <v>45582</v>
      </c>
      <c r="H442">
        <v>192</v>
      </c>
      <c r="I442" t="s">
        <v>28</v>
      </c>
      <c r="J442" t="s">
        <v>22</v>
      </c>
      <c r="K442">
        <f>_xlfn.XLOOKUP(fSales[[#This Row],[ProductID]],dProduct[ProductID],dProduct[CratePrice])*fSales[[#This Row],[Units]]</f>
        <v>8390.4000000000015</v>
      </c>
      <c r="L442">
        <f>fSales[[#This Row],[Total sales]]-_xlfn.XLOOKUP(fSales[[#This Row],[ProductID]],dProduct[ProductID],dProduct[CrateCost])*fSales[[#This Row],[Units]]</f>
        <v>3523.9680000000017</v>
      </c>
      <c r="M442">
        <f>(_xlfn.XLOOKUP(fSales[[#This Row],[ProductID]],dProduct[ProductID],dProduct[CratePrice])-_xlfn.XLOOKUP(fSales[[#This Row],[ProductID]],dProduct[ProductID],dProduct[CrateCost]))/_xlfn.XLOOKUP(fSales[[#This Row],[ProductID]],dProduct[ProductID],dProduct[CratePrice])</f>
        <v>0.42000000000000004</v>
      </c>
      <c r="N442" t="str">
        <f>_xlfn.XLOOKUP(fSales[[#This Row],[SalesRepID]],dPSalesRep[SalesRepID],dPSalesRep[SalesRep])</f>
        <v>Timmy Kips</v>
      </c>
      <c r="O442" t="str">
        <f>_xlfn.XLOOKUP(fSales[[#This Row],[SalesRepID]],dPSalesRep[SalesRepID],dPSalesRep[Region])</f>
        <v>East</v>
      </c>
      <c r="P442" t="str">
        <f>_xlfn.XLOOKUP(fSales[[#This Row],[ProductID]],dProduct[ProductID],dProduct[Product])</f>
        <v>Cherry</v>
      </c>
      <c r="Q442">
        <f>_xlfn.XLOOKUP(fSales[[#This Row],[ProductID]],dProduct[ProductID],dProduct[CratePrice])-_xlfn.XLOOKUP(fSales[[#This Row],[ProductID]],dProduct[ProductID],dProduct[CrateCost])</f>
        <v>18.354000000000003</v>
      </c>
      <c r="R442">
        <f>_xlfn.XLOOKUP(fSales[[#This Row],[ProductID]],dProduct[ProductID],dProduct[CratePrice])</f>
        <v>43.7</v>
      </c>
      <c r="S442">
        <f>_xlfn.XLOOKUP(fSales[[#This Row],[ProductID]],dProduct[ProductID],dProduct[CrateCost])</f>
        <v>25.346</v>
      </c>
    </row>
    <row r="443" spans="7:19" x14ac:dyDescent="0.25">
      <c r="G443" s="2">
        <v>45584</v>
      </c>
      <c r="H443">
        <v>204</v>
      </c>
      <c r="I443" t="s">
        <v>19</v>
      </c>
      <c r="J443" t="s">
        <v>32</v>
      </c>
      <c r="K443">
        <f>_xlfn.XLOOKUP(fSales[[#This Row],[ProductID]],dProduct[ProductID],dProduct[CratePrice])*fSales[[#This Row],[Units]]</f>
        <v>7140</v>
      </c>
      <c r="L443">
        <f>fSales[[#This Row],[Total sales]]-_xlfn.XLOOKUP(fSales[[#This Row],[ProductID]],dProduct[ProductID],dProduct[CrateCost])*fSales[[#This Row],[Units]]</f>
        <v>3998.4</v>
      </c>
      <c r="M443">
        <f>(_xlfn.XLOOKUP(fSales[[#This Row],[ProductID]],dProduct[ProductID],dProduct[CratePrice])-_xlfn.XLOOKUP(fSales[[#This Row],[ProductID]],dProduct[ProductID],dProduct[CrateCost]))/_xlfn.XLOOKUP(fSales[[#This Row],[ProductID]],dProduct[ProductID],dProduct[CratePrice])</f>
        <v>0.56000000000000005</v>
      </c>
      <c r="N443" t="str">
        <f>_xlfn.XLOOKUP(fSales[[#This Row],[SalesRepID]],dPSalesRep[SalesRepID],dPSalesRep[SalesRep])</f>
        <v>Shihara Fazzaa</v>
      </c>
      <c r="O443" t="str">
        <f>_xlfn.XLOOKUP(fSales[[#This Row],[SalesRepID]],dPSalesRep[SalesRepID],dPSalesRep[Region])</f>
        <v>East</v>
      </c>
      <c r="P443" t="str">
        <f>_xlfn.XLOOKUP(fSales[[#This Row],[ProductID]],dProduct[ProductID],dProduct[Product])</f>
        <v>Apple</v>
      </c>
      <c r="Q443">
        <f>_xlfn.XLOOKUP(fSales[[#This Row],[ProductID]],dProduct[ProductID],dProduct[CratePrice])-_xlfn.XLOOKUP(fSales[[#This Row],[ProductID]],dProduct[ProductID],dProduct[CrateCost])</f>
        <v>19.600000000000001</v>
      </c>
      <c r="R443">
        <f>_xlfn.XLOOKUP(fSales[[#This Row],[ProductID]],dProduct[ProductID],dProduct[CratePrice])</f>
        <v>35</v>
      </c>
      <c r="S443">
        <f>_xlfn.XLOOKUP(fSales[[#This Row],[ProductID]],dProduct[ProductID],dProduct[CrateCost])</f>
        <v>15.4</v>
      </c>
    </row>
    <row r="444" spans="7:19" x14ac:dyDescent="0.25">
      <c r="G444" s="2">
        <v>45584</v>
      </c>
      <c r="H444">
        <v>84</v>
      </c>
      <c r="I444" t="s">
        <v>28</v>
      </c>
      <c r="J444" t="s">
        <v>32</v>
      </c>
      <c r="K444">
        <f>_xlfn.XLOOKUP(fSales[[#This Row],[ProductID]],dProduct[ProductID],dProduct[CratePrice])*fSales[[#This Row],[Units]]</f>
        <v>3670.8</v>
      </c>
      <c r="L444">
        <f>fSales[[#This Row],[Total sales]]-_xlfn.XLOOKUP(fSales[[#This Row],[ProductID]],dProduct[ProductID],dProduct[CrateCost])*fSales[[#This Row],[Units]]</f>
        <v>1541.7360000000003</v>
      </c>
      <c r="M444">
        <f>(_xlfn.XLOOKUP(fSales[[#This Row],[ProductID]],dProduct[ProductID],dProduct[CratePrice])-_xlfn.XLOOKUP(fSales[[#This Row],[ProductID]],dProduct[ProductID],dProduct[CrateCost]))/_xlfn.XLOOKUP(fSales[[#This Row],[ProductID]],dProduct[ProductID],dProduct[CratePrice])</f>
        <v>0.42000000000000004</v>
      </c>
      <c r="N444" t="str">
        <f>_xlfn.XLOOKUP(fSales[[#This Row],[SalesRepID]],dPSalesRep[SalesRepID],dPSalesRep[SalesRep])</f>
        <v>Shihara Fazzaa</v>
      </c>
      <c r="O444" t="str">
        <f>_xlfn.XLOOKUP(fSales[[#This Row],[SalesRepID]],dPSalesRep[SalesRepID],dPSalesRep[Region])</f>
        <v>East</v>
      </c>
      <c r="P444" t="str">
        <f>_xlfn.XLOOKUP(fSales[[#This Row],[ProductID]],dProduct[ProductID],dProduct[Product])</f>
        <v>Cherry</v>
      </c>
      <c r="Q444">
        <f>_xlfn.XLOOKUP(fSales[[#This Row],[ProductID]],dProduct[ProductID],dProduct[CratePrice])-_xlfn.XLOOKUP(fSales[[#This Row],[ProductID]],dProduct[ProductID],dProduct[CrateCost])</f>
        <v>18.354000000000003</v>
      </c>
      <c r="R444">
        <f>_xlfn.XLOOKUP(fSales[[#This Row],[ProductID]],dProduct[ProductID],dProduct[CratePrice])</f>
        <v>43.7</v>
      </c>
      <c r="S444">
        <f>_xlfn.XLOOKUP(fSales[[#This Row],[ProductID]],dProduct[ProductID],dProduct[CrateCost])</f>
        <v>25.346</v>
      </c>
    </row>
    <row r="445" spans="7:19" x14ac:dyDescent="0.25">
      <c r="G445" s="2">
        <v>45584</v>
      </c>
      <c r="H445">
        <v>168</v>
      </c>
      <c r="I445" t="s">
        <v>26</v>
      </c>
      <c r="J445" t="s">
        <v>37</v>
      </c>
      <c r="K445">
        <f>_xlfn.XLOOKUP(fSales[[#This Row],[ProductID]],dProduct[ProductID],dProduct[CratePrice])*fSales[[#This Row],[Units]]</f>
        <v>4998</v>
      </c>
      <c r="L445">
        <f>fSales[[#This Row],[Total sales]]-_xlfn.XLOOKUP(fSales[[#This Row],[ProductID]],dProduct[ProductID],dProduct[CrateCost])*fSales[[#This Row],[Units]]</f>
        <v>2099.1600000000003</v>
      </c>
      <c r="M445">
        <f>(_xlfn.XLOOKUP(fSales[[#This Row],[ProductID]],dProduct[ProductID],dProduct[CratePrice])-_xlfn.XLOOKUP(fSales[[#This Row],[ProductID]],dProduct[ProductID],dProduct[CrateCost]))/_xlfn.XLOOKUP(fSales[[#This Row],[ProductID]],dProduct[ProductID],dProduct[CratePrice])</f>
        <v>0.42000000000000004</v>
      </c>
      <c r="N445" t="str">
        <f>_xlfn.XLOOKUP(fSales[[#This Row],[SalesRepID]],dPSalesRep[SalesRepID],dPSalesRep[SalesRep])</f>
        <v>Chantel Mims</v>
      </c>
      <c r="O445" t="str">
        <f>_xlfn.XLOOKUP(fSales[[#This Row],[SalesRepID]],dPSalesRep[SalesRepID],dPSalesRep[Region])</f>
        <v>NW</v>
      </c>
      <c r="P445" t="str">
        <f>_xlfn.XLOOKUP(fSales[[#This Row],[ProductID]],dProduct[ProductID],dProduct[Product])</f>
        <v>Orange</v>
      </c>
      <c r="Q445">
        <f>_xlfn.XLOOKUP(fSales[[#This Row],[ProductID]],dProduct[ProductID],dProduct[CratePrice])-_xlfn.XLOOKUP(fSales[[#This Row],[ProductID]],dProduct[ProductID],dProduct[CrateCost])</f>
        <v>12.495000000000001</v>
      </c>
      <c r="R445">
        <f>_xlfn.XLOOKUP(fSales[[#This Row],[ProductID]],dProduct[ProductID],dProduct[CratePrice])</f>
        <v>29.75</v>
      </c>
      <c r="S445">
        <f>_xlfn.XLOOKUP(fSales[[#This Row],[ProductID]],dProduct[ProductID],dProduct[CrateCost])</f>
        <v>17.254999999999999</v>
      </c>
    </row>
    <row r="446" spans="7:19" x14ac:dyDescent="0.25">
      <c r="G446" s="2">
        <v>45584</v>
      </c>
      <c r="H446">
        <v>72</v>
      </c>
      <c r="I446" t="s">
        <v>34</v>
      </c>
      <c r="J446" t="s">
        <v>52</v>
      </c>
      <c r="K446">
        <f>_xlfn.XLOOKUP(fSales[[#This Row],[ProductID]],dProduct[ProductID],dProduct[CratePrice])*fSales[[#This Row],[Units]]</f>
        <v>1260</v>
      </c>
      <c r="L446">
        <f>fSales[[#This Row],[Total sales]]-_xlfn.XLOOKUP(fSales[[#This Row],[ProductID]],dProduct[ProductID],dProduct[CrateCost])*fSales[[#This Row],[Units]]</f>
        <v>415.79999999999995</v>
      </c>
      <c r="M446">
        <f>(_xlfn.XLOOKUP(fSales[[#This Row],[ProductID]],dProduct[ProductID],dProduct[CratePrice])-_xlfn.XLOOKUP(fSales[[#This Row],[ProductID]],dProduct[ProductID],dProduct[CrateCost]))/_xlfn.XLOOKUP(fSales[[#This Row],[ProductID]],dProduct[ProductID],dProduct[CratePrice])</f>
        <v>0.3299999999999999</v>
      </c>
      <c r="N446" t="str">
        <f>_xlfn.XLOOKUP(fSales[[#This Row],[SalesRepID]],dPSalesRep[SalesRepID],dPSalesRep[SalesRep])</f>
        <v>Smitty Rad</v>
      </c>
      <c r="O446" t="str">
        <f>_xlfn.XLOOKUP(fSales[[#This Row],[SalesRepID]],dPSalesRep[SalesRepID],dPSalesRep[Region])</f>
        <v>MidWest</v>
      </c>
      <c r="P446" t="str">
        <f>_xlfn.XLOOKUP(fSales[[#This Row],[ProductID]],dProduct[ProductID],dProduct[Product])</f>
        <v>Banana</v>
      </c>
      <c r="Q446">
        <f>_xlfn.XLOOKUP(fSales[[#This Row],[ProductID]],dProduct[ProductID],dProduct[CratePrice])-_xlfn.XLOOKUP(fSales[[#This Row],[ProductID]],dProduct[ProductID],dProduct[CrateCost])</f>
        <v>5.7749999999999986</v>
      </c>
      <c r="R446">
        <f>_xlfn.XLOOKUP(fSales[[#This Row],[ProductID]],dProduct[ProductID],dProduct[CratePrice])</f>
        <v>17.5</v>
      </c>
      <c r="S446">
        <f>_xlfn.XLOOKUP(fSales[[#This Row],[ProductID]],dProduct[ProductID],dProduct[CrateCost])</f>
        <v>11.725000000000001</v>
      </c>
    </row>
    <row r="447" spans="7:19" x14ac:dyDescent="0.25">
      <c r="G447" s="2">
        <v>45587</v>
      </c>
      <c r="H447">
        <v>36</v>
      </c>
      <c r="I447" t="s">
        <v>26</v>
      </c>
      <c r="J447" t="s">
        <v>29</v>
      </c>
      <c r="K447">
        <f>_xlfn.XLOOKUP(fSales[[#This Row],[ProductID]],dProduct[ProductID],dProduct[CratePrice])*fSales[[#This Row],[Units]]</f>
        <v>1071</v>
      </c>
      <c r="L447">
        <f>fSales[[#This Row],[Total sales]]-_xlfn.XLOOKUP(fSales[[#This Row],[ProductID]],dProduct[ProductID],dProduct[CrateCost])*fSales[[#This Row],[Units]]</f>
        <v>449.82000000000005</v>
      </c>
      <c r="M447">
        <f>(_xlfn.XLOOKUP(fSales[[#This Row],[ProductID]],dProduct[ProductID],dProduct[CratePrice])-_xlfn.XLOOKUP(fSales[[#This Row],[ProductID]],dProduct[ProductID],dProduct[CrateCost]))/_xlfn.XLOOKUP(fSales[[#This Row],[ProductID]],dProduct[ProductID],dProduct[CratePrice])</f>
        <v>0.42000000000000004</v>
      </c>
      <c r="N447" t="str">
        <f>_xlfn.XLOOKUP(fSales[[#This Row],[SalesRepID]],dPSalesRep[SalesRepID],dPSalesRep[SalesRep])</f>
        <v>Sioux Best</v>
      </c>
      <c r="O447" t="str">
        <f>_xlfn.XLOOKUP(fSales[[#This Row],[SalesRepID]],dPSalesRep[SalesRepID],dPSalesRep[Region])</f>
        <v>West</v>
      </c>
      <c r="P447" t="str">
        <f>_xlfn.XLOOKUP(fSales[[#This Row],[ProductID]],dProduct[ProductID],dProduct[Product])</f>
        <v>Orange</v>
      </c>
      <c r="Q447">
        <f>_xlfn.XLOOKUP(fSales[[#This Row],[ProductID]],dProduct[ProductID],dProduct[CratePrice])-_xlfn.XLOOKUP(fSales[[#This Row],[ProductID]],dProduct[ProductID],dProduct[CrateCost])</f>
        <v>12.495000000000001</v>
      </c>
      <c r="R447">
        <f>_xlfn.XLOOKUP(fSales[[#This Row],[ProductID]],dProduct[ProductID],dProduct[CratePrice])</f>
        <v>29.75</v>
      </c>
      <c r="S447">
        <f>_xlfn.XLOOKUP(fSales[[#This Row],[ProductID]],dProduct[ProductID],dProduct[CrateCost])</f>
        <v>17.254999999999999</v>
      </c>
    </row>
    <row r="448" spans="7:19" x14ac:dyDescent="0.25">
      <c r="G448" s="2">
        <v>45588</v>
      </c>
      <c r="H448">
        <v>84</v>
      </c>
      <c r="I448" t="s">
        <v>19</v>
      </c>
      <c r="J448" t="s">
        <v>52</v>
      </c>
      <c r="K448">
        <f>_xlfn.XLOOKUP(fSales[[#This Row],[ProductID]],dProduct[ProductID],dProduct[CratePrice])*fSales[[#This Row],[Units]]</f>
        <v>2940</v>
      </c>
      <c r="L448">
        <f>fSales[[#This Row],[Total sales]]-_xlfn.XLOOKUP(fSales[[#This Row],[ProductID]],dProduct[ProductID],dProduct[CrateCost])*fSales[[#This Row],[Units]]</f>
        <v>1646.3999999999999</v>
      </c>
      <c r="M448">
        <f>(_xlfn.XLOOKUP(fSales[[#This Row],[ProductID]],dProduct[ProductID],dProduct[CratePrice])-_xlfn.XLOOKUP(fSales[[#This Row],[ProductID]],dProduct[ProductID],dProduct[CrateCost]))/_xlfn.XLOOKUP(fSales[[#This Row],[ProductID]],dProduct[ProductID],dProduct[CratePrice])</f>
        <v>0.56000000000000005</v>
      </c>
      <c r="N448" t="str">
        <f>_xlfn.XLOOKUP(fSales[[#This Row],[SalesRepID]],dPSalesRep[SalesRepID],dPSalesRep[SalesRep])</f>
        <v>Smitty Rad</v>
      </c>
      <c r="O448" t="str">
        <f>_xlfn.XLOOKUP(fSales[[#This Row],[SalesRepID]],dPSalesRep[SalesRepID],dPSalesRep[Region])</f>
        <v>MidWest</v>
      </c>
      <c r="P448" t="str">
        <f>_xlfn.XLOOKUP(fSales[[#This Row],[ProductID]],dProduct[ProductID],dProduct[Product])</f>
        <v>Apple</v>
      </c>
      <c r="Q448">
        <f>_xlfn.XLOOKUP(fSales[[#This Row],[ProductID]],dProduct[ProductID],dProduct[CratePrice])-_xlfn.XLOOKUP(fSales[[#This Row],[ProductID]],dProduct[ProductID],dProduct[CrateCost])</f>
        <v>19.600000000000001</v>
      </c>
      <c r="R448">
        <f>_xlfn.XLOOKUP(fSales[[#This Row],[ProductID]],dProduct[ProductID],dProduct[CratePrice])</f>
        <v>35</v>
      </c>
      <c r="S448">
        <f>_xlfn.XLOOKUP(fSales[[#This Row],[ProductID]],dProduct[ProductID],dProduct[CrateCost])</f>
        <v>15.4</v>
      </c>
    </row>
    <row r="449" spans="7:19" x14ac:dyDescent="0.25">
      <c r="G449" s="2">
        <v>45588</v>
      </c>
      <c r="H449">
        <v>60</v>
      </c>
      <c r="I449" t="s">
        <v>26</v>
      </c>
      <c r="J449" t="s">
        <v>22</v>
      </c>
      <c r="K449">
        <f>_xlfn.XLOOKUP(fSales[[#This Row],[ProductID]],dProduct[ProductID],dProduct[CratePrice])*fSales[[#This Row],[Units]]</f>
        <v>1785</v>
      </c>
      <c r="L449">
        <f>fSales[[#This Row],[Total sales]]-_xlfn.XLOOKUP(fSales[[#This Row],[ProductID]],dProduct[ProductID],dProduct[CrateCost])*fSales[[#This Row],[Units]]</f>
        <v>749.7</v>
      </c>
      <c r="M449">
        <f>(_xlfn.XLOOKUP(fSales[[#This Row],[ProductID]],dProduct[ProductID],dProduct[CratePrice])-_xlfn.XLOOKUP(fSales[[#This Row],[ProductID]],dProduct[ProductID],dProduct[CrateCost]))/_xlfn.XLOOKUP(fSales[[#This Row],[ProductID]],dProduct[ProductID],dProduct[CratePrice])</f>
        <v>0.42000000000000004</v>
      </c>
      <c r="N449" t="str">
        <f>_xlfn.XLOOKUP(fSales[[#This Row],[SalesRepID]],dPSalesRep[SalesRepID],dPSalesRep[SalesRep])</f>
        <v>Timmy Kips</v>
      </c>
      <c r="O449" t="str">
        <f>_xlfn.XLOOKUP(fSales[[#This Row],[SalesRepID]],dPSalesRep[SalesRepID],dPSalesRep[Region])</f>
        <v>East</v>
      </c>
      <c r="P449" t="str">
        <f>_xlfn.XLOOKUP(fSales[[#This Row],[ProductID]],dProduct[ProductID],dProduct[Product])</f>
        <v>Orange</v>
      </c>
      <c r="Q449">
        <f>_xlfn.XLOOKUP(fSales[[#This Row],[ProductID]],dProduct[ProductID],dProduct[CratePrice])-_xlfn.XLOOKUP(fSales[[#This Row],[ProductID]],dProduct[ProductID],dProduct[CrateCost])</f>
        <v>12.495000000000001</v>
      </c>
      <c r="R449">
        <f>_xlfn.XLOOKUP(fSales[[#This Row],[ProductID]],dProduct[ProductID],dProduct[CratePrice])</f>
        <v>29.75</v>
      </c>
      <c r="S449">
        <f>_xlfn.XLOOKUP(fSales[[#This Row],[ProductID]],dProduct[ProductID],dProduct[CrateCost])</f>
        <v>17.254999999999999</v>
      </c>
    </row>
    <row r="450" spans="7:19" x14ac:dyDescent="0.25">
      <c r="G450" s="2">
        <v>45588</v>
      </c>
      <c r="H450">
        <v>156</v>
      </c>
      <c r="I450" t="s">
        <v>19</v>
      </c>
      <c r="J450" t="s">
        <v>22</v>
      </c>
      <c r="K450">
        <f>_xlfn.XLOOKUP(fSales[[#This Row],[ProductID]],dProduct[ProductID],dProduct[CratePrice])*fSales[[#This Row],[Units]]</f>
        <v>5460</v>
      </c>
      <c r="L450">
        <f>fSales[[#This Row],[Total sales]]-_xlfn.XLOOKUP(fSales[[#This Row],[ProductID]],dProduct[ProductID],dProduct[CrateCost])*fSales[[#This Row],[Units]]</f>
        <v>3057.6</v>
      </c>
      <c r="M450">
        <f>(_xlfn.XLOOKUP(fSales[[#This Row],[ProductID]],dProduct[ProductID],dProduct[CratePrice])-_xlfn.XLOOKUP(fSales[[#This Row],[ProductID]],dProduct[ProductID],dProduct[CrateCost]))/_xlfn.XLOOKUP(fSales[[#This Row],[ProductID]],dProduct[ProductID],dProduct[CratePrice])</f>
        <v>0.56000000000000005</v>
      </c>
      <c r="N450" t="str">
        <f>_xlfn.XLOOKUP(fSales[[#This Row],[SalesRepID]],dPSalesRep[SalesRepID],dPSalesRep[SalesRep])</f>
        <v>Timmy Kips</v>
      </c>
      <c r="O450" t="str">
        <f>_xlfn.XLOOKUP(fSales[[#This Row],[SalesRepID]],dPSalesRep[SalesRepID],dPSalesRep[Region])</f>
        <v>East</v>
      </c>
      <c r="P450" t="str">
        <f>_xlfn.XLOOKUP(fSales[[#This Row],[ProductID]],dProduct[ProductID],dProduct[Product])</f>
        <v>Apple</v>
      </c>
      <c r="Q450">
        <f>_xlfn.XLOOKUP(fSales[[#This Row],[ProductID]],dProduct[ProductID],dProduct[CratePrice])-_xlfn.XLOOKUP(fSales[[#This Row],[ProductID]],dProduct[ProductID],dProduct[CrateCost])</f>
        <v>19.600000000000001</v>
      </c>
      <c r="R450">
        <f>_xlfn.XLOOKUP(fSales[[#This Row],[ProductID]],dProduct[ProductID],dProduct[CratePrice])</f>
        <v>35</v>
      </c>
      <c r="S450">
        <f>_xlfn.XLOOKUP(fSales[[#This Row],[ProductID]],dProduct[ProductID],dProduct[CrateCost])</f>
        <v>15.4</v>
      </c>
    </row>
    <row r="451" spans="7:19" x14ac:dyDescent="0.25">
      <c r="G451" s="2">
        <v>45592</v>
      </c>
      <c r="H451">
        <v>240</v>
      </c>
      <c r="I451" t="s">
        <v>21</v>
      </c>
      <c r="J451" t="s">
        <v>29</v>
      </c>
      <c r="K451">
        <f>_xlfn.XLOOKUP(fSales[[#This Row],[ProductID]],dProduct[ProductID],dProduct[CratePrice])*fSales[[#This Row],[Units]]</f>
        <v>5400</v>
      </c>
      <c r="L451">
        <f>fSales[[#This Row],[Total sales]]-_xlfn.XLOOKUP(fSales[[#This Row],[ProductID]],dProduct[ProductID],dProduct[CrateCost])*fSales[[#This Row],[Units]]</f>
        <v>2375.9999999999995</v>
      </c>
      <c r="M451">
        <f>(_xlfn.XLOOKUP(fSales[[#This Row],[ProductID]],dProduct[ProductID],dProduct[CratePrice])-_xlfn.XLOOKUP(fSales[[#This Row],[ProductID]],dProduct[ProductID],dProduct[CrateCost]))/_xlfn.XLOOKUP(fSales[[#This Row],[ProductID]],dProduct[ProductID],dProduct[CratePrice])</f>
        <v>0.43999999999999995</v>
      </c>
      <c r="N451" t="str">
        <f>_xlfn.XLOOKUP(fSales[[#This Row],[SalesRepID]],dPSalesRep[SalesRepID],dPSalesRep[SalesRep])</f>
        <v>Sioux Best</v>
      </c>
      <c r="O451" t="str">
        <f>_xlfn.XLOOKUP(fSales[[#This Row],[SalesRepID]],dPSalesRep[SalesRepID],dPSalesRep[Region])</f>
        <v>West</v>
      </c>
      <c r="P451" t="str">
        <f>_xlfn.XLOOKUP(fSales[[#This Row],[ProductID]],dProduct[ProductID],dProduct[Product])</f>
        <v>Kiwi</v>
      </c>
      <c r="Q451">
        <f>_xlfn.XLOOKUP(fSales[[#This Row],[ProductID]],dProduct[ProductID],dProduct[CratePrice])-_xlfn.XLOOKUP(fSales[[#This Row],[ProductID]],dProduct[ProductID],dProduct[CrateCost])</f>
        <v>9.8999999999999986</v>
      </c>
      <c r="R451">
        <f>_xlfn.XLOOKUP(fSales[[#This Row],[ProductID]],dProduct[ProductID],dProduct[CratePrice])</f>
        <v>22.5</v>
      </c>
      <c r="S451">
        <f>_xlfn.XLOOKUP(fSales[[#This Row],[ProductID]],dProduct[ProductID],dProduct[CrateCost])</f>
        <v>12.600000000000001</v>
      </c>
    </row>
    <row r="452" spans="7:19" x14ac:dyDescent="0.25">
      <c r="G452" s="2">
        <v>45593</v>
      </c>
      <c r="H452">
        <v>252</v>
      </c>
      <c r="I452" t="s">
        <v>34</v>
      </c>
      <c r="J452" t="s">
        <v>37</v>
      </c>
      <c r="K452">
        <f>_xlfn.XLOOKUP(fSales[[#This Row],[ProductID]],dProduct[ProductID],dProduct[CratePrice])*fSales[[#This Row],[Units]]</f>
        <v>4410</v>
      </c>
      <c r="L452">
        <f>fSales[[#This Row],[Total sales]]-_xlfn.XLOOKUP(fSales[[#This Row],[ProductID]],dProduct[ProductID],dProduct[CrateCost])*fSales[[#This Row],[Units]]</f>
        <v>1455.2999999999997</v>
      </c>
      <c r="M452">
        <f>(_xlfn.XLOOKUP(fSales[[#This Row],[ProductID]],dProduct[ProductID],dProduct[CratePrice])-_xlfn.XLOOKUP(fSales[[#This Row],[ProductID]],dProduct[ProductID],dProduct[CrateCost]))/_xlfn.XLOOKUP(fSales[[#This Row],[ProductID]],dProduct[ProductID],dProduct[CratePrice])</f>
        <v>0.3299999999999999</v>
      </c>
      <c r="N452" t="str">
        <f>_xlfn.XLOOKUP(fSales[[#This Row],[SalesRepID]],dPSalesRep[SalesRepID],dPSalesRep[SalesRep])</f>
        <v>Chantel Mims</v>
      </c>
      <c r="O452" t="str">
        <f>_xlfn.XLOOKUP(fSales[[#This Row],[SalesRepID]],dPSalesRep[SalesRepID],dPSalesRep[Region])</f>
        <v>NW</v>
      </c>
      <c r="P452" t="str">
        <f>_xlfn.XLOOKUP(fSales[[#This Row],[ProductID]],dProduct[ProductID],dProduct[Product])</f>
        <v>Banana</v>
      </c>
      <c r="Q452">
        <f>_xlfn.XLOOKUP(fSales[[#This Row],[ProductID]],dProduct[ProductID],dProduct[CratePrice])-_xlfn.XLOOKUP(fSales[[#This Row],[ProductID]],dProduct[ProductID],dProduct[CrateCost])</f>
        <v>5.7749999999999986</v>
      </c>
      <c r="R452">
        <f>_xlfn.XLOOKUP(fSales[[#This Row],[ProductID]],dProduct[ProductID],dProduct[CratePrice])</f>
        <v>17.5</v>
      </c>
      <c r="S452">
        <f>_xlfn.XLOOKUP(fSales[[#This Row],[ProductID]],dProduct[ProductID],dProduct[CrateCost])</f>
        <v>11.725000000000001</v>
      </c>
    </row>
    <row r="453" spans="7:19" x14ac:dyDescent="0.25">
      <c r="G453" s="2">
        <v>45593</v>
      </c>
      <c r="H453">
        <v>120</v>
      </c>
      <c r="I453" t="s">
        <v>28</v>
      </c>
      <c r="J453" t="s">
        <v>37</v>
      </c>
      <c r="K453">
        <f>_xlfn.XLOOKUP(fSales[[#This Row],[ProductID]],dProduct[ProductID],dProduct[CratePrice])*fSales[[#This Row],[Units]]</f>
        <v>5244</v>
      </c>
      <c r="L453">
        <f>fSales[[#This Row],[Total sales]]-_xlfn.XLOOKUP(fSales[[#This Row],[ProductID]],dProduct[ProductID],dProduct[CrateCost])*fSales[[#This Row],[Units]]</f>
        <v>2202.48</v>
      </c>
      <c r="M453">
        <f>(_xlfn.XLOOKUP(fSales[[#This Row],[ProductID]],dProduct[ProductID],dProduct[CratePrice])-_xlfn.XLOOKUP(fSales[[#This Row],[ProductID]],dProduct[ProductID],dProduct[CrateCost]))/_xlfn.XLOOKUP(fSales[[#This Row],[ProductID]],dProduct[ProductID],dProduct[CratePrice])</f>
        <v>0.42000000000000004</v>
      </c>
      <c r="N453" t="str">
        <f>_xlfn.XLOOKUP(fSales[[#This Row],[SalesRepID]],dPSalesRep[SalesRepID],dPSalesRep[SalesRep])</f>
        <v>Chantel Mims</v>
      </c>
      <c r="O453" t="str">
        <f>_xlfn.XLOOKUP(fSales[[#This Row],[SalesRepID]],dPSalesRep[SalesRepID],dPSalesRep[Region])</f>
        <v>NW</v>
      </c>
      <c r="P453" t="str">
        <f>_xlfn.XLOOKUP(fSales[[#This Row],[ProductID]],dProduct[ProductID],dProduct[Product])</f>
        <v>Cherry</v>
      </c>
      <c r="Q453">
        <f>_xlfn.XLOOKUP(fSales[[#This Row],[ProductID]],dProduct[ProductID],dProduct[CratePrice])-_xlfn.XLOOKUP(fSales[[#This Row],[ProductID]],dProduct[ProductID],dProduct[CrateCost])</f>
        <v>18.354000000000003</v>
      </c>
      <c r="R453">
        <f>_xlfn.XLOOKUP(fSales[[#This Row],[ProductID]],dProduct[ProductID],dProduct[CratePrice])</f>
        <v>43.7</v>
      </c>
      <c r="S453">
        <f>_xlfn.XLOOKUP(fSales[[#This Row],[ProductID]],dProduct[ProductID],dProduct[CrateCost])</f>
        <v>25.346</v>
      </c>
    </row>
    <row r="454" spans="7:19" x14ac:dyDescent="0.25">
      <c r="G454" s="2">
        <v>45593</v>
      </c>
      <c r="H454">
        <v>216</v>
      </c>
      <c r="I454" t="s">
        <v>28</v>
      </c>
      <c r="J454" t="s">
        <v>52</v>
      </c>
      <c r="K454">
        <f>_xlfn.XLOOKUP(fSales[[#This Row],[ProductID]],dProduct[ProductID],dProduct[CratePrice])*fSales[[#This Row],[Units]]</f>
        <v>9439.2000000000007</v>
      </c>
      <c r="L454">
        <f>fSales[[#This Row],[Total sales]]-_xlfn.XLOOKUP(fSales[[#This Row],[ProductID]],dProduct[ProductID],dProduct[CrateCost])*fSales[[#This Row],[Units]]</f>
        <v>3964.4640000000009</v>
      </c>
      <c r="M454">
        <f>(_xlfn.XLOOKUP(fSales[[#This Row],[ProductID]],dProduct[ProductID],dProduct[CratePrice])-_xlfn.XLOOKUP(fSales[[#This Row],[ProductID]],dProduct[ProductID],dProduct[CrateCost]))/_xlfn.XLOOKUP(fSales[[#This Row],[ProductID]],dProduct[ProductID],dProduct[CratePrice])</f>
        <v>0.42000000000000004</v>
      </c>
      <c r="N454" t="str">
        <f>_xlfn.XLOOKUP(fSales[[#This Row],[SalesRepID]],dPSalesRep[SalesRepID],dPSalesRep[SalesRep])</f>
        <v>Smitty Rad</v>
      </c>
      <c r="O454" t="str">
        <f>_xlfn.XLOOKUP(fSales[[#This Row],[SalesRepID]],dPSalesRep[SalesRepID],dPSalesRep[Region])</f>
        <v>MidWest</v>
      </c>
      <c r="P454" t="str">
        <f>_xlfn.XLOOKUP(fSales[[#This Row],[ProductID]],dProduct[ProductID],dProduct[Product])</f>
        <v>Cherry</v>
      </c>
      <c r="Q454">
        <f>_xlfn.XLOOKUP(fSales[[#This Row],[ProductID]],dProduct[ProductID],dProduct[CratePrice])-_xlfn.XLOOKUP(fSales[[#This Row],[ProductID]],dProduct[ProductID],dProduct[CrateCost])</f>
        <v>18.354000000000003</v>
      </c>
      <c r="R454">
        <f>_xlfn.XLOOKUP(fSales[[#This Row],[ProductID]],dProduct[ProductID],dProduct[CratePrice])</f>
        <v>43.7</v>
      </c>
      <c r="S454">
        <f>_xlfn.XLOOKUP(fSales[[#This Row],[ProductID]],dProduct[ProductID],dProduct[CrateCost])</f>
        <v>25.346</v>
      </c>
    </row>
    <row r="455" spans="7:19" x14ac:dyDescent="0.25">
      <c r="G455" s="2">
        <v>45594</v>
      </c>
      <c r="H455">
        <v>204</v>
      </c>
      <c r="I455" t="s">
        <v>19</v>
      </c>
      <c r="J455" t="s">
        <v>37</v>
      </c>
      <c r="K455">
        <f>_xlfn.XLOOKUP(fSales[[#This Row],[ProductID]],dProduct[ProductID],dProduct[CratePrice])*fSales[[#This Row],[Units]]</f>
        <v>7140</v>
      </c>
      <c r="L455">
        <f>fSales[[#This Row],[Total sales]]-_xlfn.XLOOKUP(fSales[[#This Row],[ProductID]],dProduct[ProductID],dProduct[CrateCost])*fSales[[#This Row],[Units]]</f>
        <v>3998.4</v>
      </c>
      <c r="M455">
        <f>(_xlfn.XLOOKUP(fSales[[#This Row],[ProductID]],dProduct[ProductID],dProduct[CratePrice])-_xlfn.XLOOKUP(fSales[[#This Row],[ProductID]],dProduct[ProductID],dProduct[CrateCost]))/_xlfn.XLOOKUP(fSales[[#This Row],[ProductID]],dProduct[ProductID],dProduct[CratePrice])</f>
        <v>0.56000000000000005</v>
      </c>
      <c r="N455" t="str">
        <f>_xlfn.XLOOKUP(fSales[[#This Row],[SalesRepID]],dPSalesRep[SalesRepID],dPSalesRep[SalesRep])</f>
        <v>Chantel Mims</v>
      </c>
      <c r="O455" t="str">
        <f>_xlfn.XLOOKUP(fSales[[#This Row],[SalesRepID]],dPSalesRep[SalesRepID],dPSalesRep[Region])</f>
        <v>NW</v>
      </c>
      <c r="P455" t="str">
        <f>_xlfn.XLOOKUP(fSales[[#This Row],[ProductID]],dProduct[ProductID],dProduct[Product])</f>
        <v>Apple</v>
      </c>
      <c r="Q455">
        <f>_xlfn.XLOOKUP(fSales[[#This Row],[ProductID]],dProduct[ProductID],dProduct[CratePrice])-_xlfn.XLOOKUP(fSales[[#This Row],[ProductID]],dProduct[ProductID],dProduct[CrateCost])</f>
        <v>19.600000000000001</v>
      </c>
      <c r="R455">
        <f>_xlfn.XLOOKUP(fSales[[#This Row],[ProductID]],dProduct[ProductID],dProduct[CratePrice])</f>
        <v>35</v>
      </c>
      <c r="S455">
        <f>_xlfn.XLOOKUP(fSales[[#This Row],[ProductID]],dProduct[ProductID],dProduct[CrateCost])</f>
        <v>15.4</v>
      </c>
    </row>
    <row r="456" spans="7:19" x14ac:dyDescent="0.25">
      <c r="G456" s="2">
        <v>45595</v>
      </c>
      <c r="H456">
        <v>120</v>
      </c>
      <c r="I456" t="s">
        <v>34</v>
      </c>
      <c r="J456" t="s">
        <v>22</v>
      </c>
      <c r="K456">
        <f>_xlfn.XLOOKUP(fSales[[#This Row],[ProductID]],dProduct[ProductID],dProduct[CratePrice])*fSales[[#This Row],[Units]]</f>
        <v>2100</v>
      </c>
      <c r="L456">
        <f>fSales[[#This Row],[Total sales]]-_xlfn.XLOOKUP(fSales[[#This Row],[ProductID]],dProduct[ProductID],dProduct[CrateCost])*fSales[[#This Row],[Units]]</f>
        <v>692.99999999999977</v>
      </c>
      <c r="M456">
        <f>(_xlfn.XLOOKUP(fSales[[#This Row],[ProductID]],dProduct[ProductID],dProduct[CratePrice])-_xlfn.XLOOKUP(fSales[[#This Row],[ProductID]],dProduct[ProductID],dProduct[CrateCost]))/_xlfn.XLOOKUP(fSales[[#This Row],[ProductID]],dProduct[ProductID],dProduct[CratePrice])</f>
        <v>0.3299999999999999</v>
      </c>
      <c r="N456" t="str">
        <f>_xlfn.XLOOKUP(fSales[[#This Row],[SalesRepID]],dPSalesRep[SalesRepID],dPSalesRep[SalesRep])</f>
        <v>Timmy Kips</v>
      </c>
      <c r="O456" t="str">
        <f>_xlfn.XLOOKUP(fSales[[#This Row],[SalesRepID]],dPSalesRep[SalesRepID],dPSalesRep[Region])</f>
        <v>East</v>
      </c>
      <c r="P456" t="str">
        <f>_xlfn.XLOOKUP(fSales[[#This Row],[ProductID]],dProduct[ProductID],dProduct[Product])</f>
        <v>Banana</v>
      </c>
      <c r="Q456">
        <f>_xlfn.XLOOKUP(fSales[[#This Row],[ProductID]],dProduct[ProductID],dProduct[CratePrice])-_xlfn.XLOOKUP(fSales[[#This Row],[ProductID]],dProduct[ProductID],dProduct[CrateCost])</f>
        <v>5.7749999999999986</v>
      </c>
      <c r="R456">
        <f>_xlfn.XLOOKUP(fSales[[#This Row],[ProductID]],dProduct[ProductID],dProduct[CratePrice])</f>
        <v>17.5</v>
      </c>
      <c r="S456">
        <f>_xlfn.XLOOKUP(fSales[[#This Row],[ProductID]],dProduct[ProductID],dProduct[CrateCost])</f>
        <v>11.725000000000001</v>
      </c>
    </row>
    <row r="457" spans="7:19" x14ac:dyDescent="0.25">
      <c r="G457" s="2">
        <v>45596</v>
      </c>
      <c r="H457">
        <v>276</v>
      </c>
      <c r="I457" t="s">
        <v>34</v>
      </c>
      <c r="J457" t="s">
        <v>52</v>
      </c>
      <c r="K457">
        <f>_xlfn.XLOOKUP(fSales[[#This Row],[ProductID]],dProduct[ProductID],dProduct[CratePrice])*fSales[[#This Row],[Units]]</f>
        <v>4830</v>
      </c>
      <c r="L457">
        <f>fSales[[#This Row],[Total sales]]-_xlfn.XLOOKUP(fSales[[#This Row],[ProductID]],dProduct[ProductID],dProduct[CrateCost])*fSales[[#This Row],[Units]]</f>
        <v>1593.8999999999996</v>
      </c>
      <c r="M457">
        <f>(_xlfn.XLOOKUP(fSales[[#This Row],[ProductID]],dProduct[ProductID],dProduct[CratePrice])-_xlfn.XLOOKUP(fSales[[#This Row],[ProductID]],dProduct[ProductID],dProduct[CrateCost]))/_xlfn.XLOOKUP(fSales[[#This Row],[ProductID]],dProduct[ProductID],dProduct[CratePrice])</f>
        <v>0.3299999999999999</v>
      </c>
      <c r="N457" t="str">
        <f>_xlfn.XLOOKUP(fSales[[#This Row],[SalesRepID]],dPSalesRep[SalesRepID],dPSalesRep[SalesRep])</f>
        <v>Smitty Rad</v>
      </c>
      <c r="O457" t="str">
        <f>_xlfn.XLOOKUP(fSales[[#This Row],[SalesRepID]],dPSalesRep[SalesRepID],dPSalesRep[Region])</f>
        <v>MidWest</v>
      </c>
      <c r="P457" t="str">
        <f>_xlfn.XLOOKUP(fSales[[#This Row],[ProductID]],dProduct[ProductID],dProduct[Product])</f>
        <v>Banana</v>
      </c>
      <c r="Q457">
        <f>_xlfn.XLOOKUP(fSales[[#This Row],[ProductID]],dProduct[ProductID],dProduct[CratePrice])-_xlfn.XLOOKUP(fSales[[#This Row],[ProductID]],dProduct[ProductID],dProduct[CrateCost])</f>
        <v>5.7749999999999986</v>
      </c>
      <c r="R457">
        <f>_xlfn.XLOOKUP(fSales[[#This Row],[ProductID]],dProduct[ProductID],dProduct[CratePrice])</f>
        <v>17.5</v>
      </c>
      <c r="S457">
        <f>_xlfn.XLOOKUP(fSales[[#This Row],[ProductID]],dProduct[ProductID],dProduct[CrateCost])</f>
        <v>11.725000000000001</v>
      </c>
    </row>
    <row r="458" spans="7:19" x14ac:dyDescent="0.25">
      <c r="G458" s="2">
        <v>45597</v>
      </c>
      <c r="H458">
        <v>288</v>
      </c>
      <c r="I458" t="s">
        <v>34</v>
      </c>
      <c r="J458" t="s">
        <v>22</v>
      </c>
      <c r="K458">
        <f>_xlfn.XLOOKUP(fSales[[#This Row],[ProductID]],dProduct[ProductID],dProduct[CratePrice])*fSales[[#This Row],[Units]]</f>
        <v>5040</v>
      </c>
      <c r="L458">
        <f>fSales[[#This Row],[Total sales]]-_xlfn.XLOOKUP(fSales[[#This Row],[ProductID]],dProduct[ProductID],dProduct[CrateCost])*fSales[[#This Row],[Units]]</f>
        <v>1663.1999999999998</v>
      </c>
      <c r="M458">
        <f>(_xlfn.XLOOKUP(fSales[[#This Row],[ProductID]],dProduct[ProductID],dProduct[CratePrice])-_xlfn.XLOOKUP(fSales[[#This Row],[ProductID]],dProduct[ProductID],dProduct[CrateCost]))/_xlfn.XLOOKUP(fSales[[#This Row],[ProductID]],dProduct[ProductID],dProduct[CratePrice])</f>
        <v>0.3299999999999999</v>
      </c>
      <c r="N458" t="str">
        <f>_xlfn.XLOOKUP(fSales[[#This Row],[SalesRepID]],dPSalesRep[SalesRepID],dPSalesRep[SalesRep])</f>
        <v>Timmy Kips</v>
      </c>
      <c r="O458" t="str">
        <f>_xlfn.XLOOKUP(fSales[[#This Row],[SalesRepID]],dPSalesRep[SalesRepID],dPSalesRep[Region])</f>
        <v>East</v>
      </c>
      <c r="P458" t="str">
        <f>_xlfn.XLOOKUP(fSales[[#This Row],[ProductID]],dProduct[ProductID],dProduct[Product])</f>
        <v>Banana</v>
      </c>
      <c r="Q458">
        <f>_xlfn.XLOOKUP(fSales[[#This Row],[ProductID]],dProduct[ProductID],dProduct[CratePrice])-_xlfn.XLOOKUP(fSales[[#This Row],[ProductID]],dProduct[ProductID],dProduct[CrateCost])</f>
        <v>5.7749999999999986</v>
      </c>
      <c r="R458">
        <f>_xlfn.XLOOKUP(fSales[[#This Row],[ProductID]],dProduct[ProductID],dProduct[CratePrice])</f>
        <v>17.5</v>
      </c>
      <c r="S458">
        <f>_xlfn.XLOOKUP(fSales[[#This Row],[ProductID]],dProduct[ProductID],dProduct[CrateCost])</f>
        <v>11.725000000000001</v>
      </c>
    </row>
    <row r="459" spans="7:19" x14ac:dyDescent="0.25">
      <c r="G459" s="2">
        <v>45598</v>
      </c>
      <c r="H459">
        <v>300</v>
      </c>
      <c r="I459" t="s">
        <v>26</v>
      </c>
      <c r="J459" t="s">
        <v>29</v>
      </c>
      <c r="K459">
        <f>_xlfn.XLOOKUP(fSales[[#This Row],[ProductID]],dProduct[ProductID],dProduct[CratePrice])*fSales[[#This Row],[Units]]</f>
        <v>8925</v>
      </c>
      <c r="L459">
        <f>fSales[[#This Row],[Total sales]]-_xlfn.XLOOKUP(fSales[[#This Row],[ProductID]],dProduct[ProductID],dProduct[CrateCost])*fSales[[#This Row],[Units]]</f>
        <v>3748.5</v>
      </c>
      <c r="M459">
        <f>(_xlfn.XLOOKUP(fSales[[#This Row],[ProductID]],dProduct[ProductID],dProduct[CratePrice])-_xlfn.XLOOKUP(fSales[[#This Row],[ProductID]],dProduct[ProductID],dProduct[CrateCost]))/_xlfn.XLOOKUP(fSales[[#This Row],[ProductID]],dProduct[ProductID],dProduct[CratePrice])</f>
        <v>0.42000000000000004</v>
      </c>
      <c r="N459" t="str">
        <f>_xlfn.XLOOKUP(fSales[[#This Row],[SalesRepID]],dPSalesRep[SalesRepID],dPSalesRep[SalesRep])</f>
        <v>Sioux Best</v>
      </c>
      <c r="O459" t="str">
        <f>_xlfn.XLOOKUP(fSales[[#This Row],[SalesRepID]],dPSalesRep[SalesRepID],dPSalesRep[Region])</f>
        <v>West</v>
      </c>
      <c r="P459" t="str">
        <f>_xlfn.XLOOKUP(fSales[[#This Row],[ProductID]],dProduct[ProductID],dProduct[Product])</f>
        <v>Orange</v>
      </c>
      <c r="Q459">
        <f>_xlfn.XLOOKUP(fSales[[#This Row],[ProductID]],dProduct[ProductID],dProduct[CratePrice])-_xlfn.XLOOKUP(fSales[[#This Row],[ProductID]],dProduct[ProductID],dProduct[CrateCost])</f>
        <v>12.495000000000001</v>
      </c>
      <c r="R459">
        <f>_xlfn.XLOOKUP(fSales[[#This Row],[ProductID]],dProduct[ProductID],dProduct[CratePrice])</f>
        <v>29.75</v>
      </c>
      <c r="S459">
        <f>_xlfn.XLOOKUP(fSales[[#This Row],[ProductID]],dProduct[ProductID],dProduct[CrateCost])</f>
        <v>17.254999999999999</v>
      </c>
    </row>
    <row r="460" spans="7:19" x14ac:dyDescent="0.25">
      <c r="G460" s="2">
        <v>45599</v>
      </c>
      <c r="H460">
        <v>60</v>
      </c>
      <c r="I460" t="s">
        <v>21</v>
      </c>
      <c r="J460" t="s">
        <v>22</v>
      </c>
      <c r="K460">
        <f>_xlfn.XLOOKUP(fSales[[#This Row],[ProductID]],dProduct[ProductID],dProduct[CratePrice])*fSales[[#This Row],[Units]]</f>
        <v>1350</v>
      </c>
      <c r="L460">
        <f>fSales[[#This Row],[Total sales]]-_xlfn.XLOOKUP(fSales[[#This Row],[ProductID]],dProduct[ProductID],dProduct[CrateCost])*fSales[[#This Row],[Units]]</f>
        <v>593.99999999999989</v>
      </c>
      <c r="M460">
        <f>(_xlfn.XLOOKUP(fSales[[#This Row],[ProductID]],dProduct[ProductID],dProduct[CratePrice])-_xlfn.XLOOKUP(fSales[[#This Row],[ProductID]],dProduct[ProductID],dProduct[CrateCost]))/_xlfn.XLOOKUP(fSales[[#This Row],[ProductID]],dProduct[ProductID],dProduct[CratePrice])</f>
        <v>0.43999999999999995</v>
      </c>
      <c r="N460" t="str">
        <f>_xlfn.XLOOKUP(fSales[[#This Row],[SalesRepID]],dPSalesRep[SalesRepID],dPSalesRep[SalesRep])</f>
        <v>Timmy Kips</v>
      </c>
      <c r="O460" t="str">
        <f>_xlfn.XLOOKUP(fSales[[#This Row],[SalesRepID]],dPSalesRep[SalesRepID],dPSalesRep[Region])</f>
        <v>East</v>
      </c>
      <c r="P460" t="str">
        <f>_xlfn.XLOOKUP(fSales[[#This Row],[ProductID]],dProduct[ProductID],dProduct[Product])</f>
        <v>Kiwi</v>
      </c>
      <c r="Q460">
        <f>_xlfn.XLOOKUP(fSales[[#This Row],[ProductID]],dProduct[ProductID],dProduct[CratePrice])-_xlfn.XLOOKUP(fSales[[#This Row],[ProductID]],dProduct[ProductID],dProduct[CrateCost])</f>
        <v>9.8999999999999986</v>
      </c>
      <c r="R460">
        <f>_xlfn.XLOOKUP(fSales[[#This Row],[ProductID]],dProduct[ProductID],dProduct[CratePrice])</f>
        <v>22.5</v>
      </c>
      <c r="S460">
        <f>_xlfn.XLOOKUP(fSales[[#This Row],[ProductID]],dProduct[ProductID],dProduct[CrateCost])</f>
        <v>12.600000000000001</v>
      </c>
    </row>
    <row r="461" spans="7:19" x14ac:dyDescent="0.25">
      <c r="G461" s="2">
        <v>45599</v>
      </c>
      <c r="H461">
        <v>288</v>
      </c>
      <c r="I461" t="s">
        <v>28</v>
      </c>
      <c r="J461" t="s">
        <v>37</v>
      </c>
      <c r="K461">
        <f>_xlfn.XLOOKUP(fSales[[#This Row],[ProductID]],dProduct[ProductID],dProduct[CratePrice])*fSales[[#This Row],[Units]]</f>
        <v>12585.6</v>
      </c>
      <c r="L461">
        <f>fSales[[#This Row],[Total sales]]-_xlfn.XLOOKUP(fSales[[#This Row],[ProductID]],dProduct[ProductID],dProduct[CrateCost])*fSales[[#This Row],[Units]]</f>
        <v>5285.9520000000002</v>
      </c>
      <c r="M461">
        <f>(_xlfn.XLOOKUP(fSales[[#This Row],[ProductID]],dProduct[ProductID],dProduct[CratePrice])-_xlfn.XLOOKUP(fSales[[#This Row],[ProductID]],dProduct[ProductID],dProduct[CrateCost]))/_xlfn.XLOOKUP(fSales[[#This Row],[ProductID]],dProduct[ProductID],dProduct[CratePrice])</f>
        <v>0.42000000000000004</v>
      </c>
      <c r="N461" t="str">
        <f>_xlfn.XLOOKUP(fSales[[#This Row],[SalesRepID]],dPSalesRep[SalesRepID],dPSalesRep[SalesRep])</f>
        <v>Chantel Mims</v>
      </c>
      <c r="O461" t="str">
        <f>_xlfn.XLOOKUP(fSales[[#This Row],[SalesRepID]],dPSalesRep[SalesRepID],dPSalesRep[Region])</f>
        <v>NW</v>
      </c>
      <c r="P461" t="str">
        <f>_xlfn.XLOOKUP(fSales[[#This Row],[ProductID]],dProduct[ProductID],dProduct[Product])</f>
        <v>Cherry</v>
      </c>
      <c r="Q461">
        <f>_xlfn.XLOOKUP(fSales[[#This Row],[ProductID]],dProduct[ProductID],dProduct[CratePrice])-_xlfn.XLOOKUP(fSales[[#This Row],[ProductID]],dProduct[ProductID],dProduct[CrateCost])</f>
        <v>18.354000000000003</v>
      </c>
      <c r="R461">
        <f>_xlfn.XLOOKUP(fSales[[#This Row],[ProductID]],dProduct[ProductID],dProduct[CratePrice])</f>
        <v>43.7</v>
      </c>
      <c r="S461">
        <f>_xlfn.XLOOKUP(fSales[[#This Row],[ProductID]],dProduct[ProductID],dProduct[CrateCost])</f>
        <v>25.346</v>
      </c>
    </row>
    <row r="462" spans="7:19" x14ac:dyDescent="0.25">
      <c r="G462" s="2">
        <v>45600</v>
      </c>
      <c r="H462">
        <v>216</v>
      </c>
      <c r="I462" t="s">
        <v>28</v>
      </c>
      <c r="J462" t="s">
        <v>37</v>
      </c>
      <c r="K462">
        <f>_xlfn.XLOOKUP(fSales[[#This Row],[ProductID]],dProduct[ProductID],dProduct[CratePrice])*fSales[[#This Row],[Units]]</f>
        <v>9439.2000000000007</v>
      </c>
      <c r="L462">
        <f>fSales[[#This Row],[Total sales]]-_xlfn.XLOOKUP(fSales[[#This Row],[ProductID]],dProduct[ProductID],dProduct[CrateCost])*fSales[[#This Row],[Units]]</f>
        <v>3964.4640000000009</v>
      </c>
      <c r="M462">
        <f>(_xlfn.XLOOKUP(fSales[[#This Row],[ProductID]],dProduct[ProductID],dProduct[CratePrice])-_xlfn.XLOOKUP(fSales[[#This Row],[ProductID]],dProduct[ProductID],dProduct[CrateCost]))/_xlfn.XLOOKUP(fSales[[#This Row],[ProductID]],dProduct[ProductID],dProduct[CratePrice])</f>
        <v>0.42000000000000004</v>
      </c>
      <c r="N462" t="str">
        <f>_xlfn.XLOOKUP(fSales[[#This Row],[SalesRepID]],dPSalesRep[SalesRepID],dPSalesRep[SalesRep])</f>
        <v>Chantel Mims</v>
      </c>
      <c r="O462" t="str">
        <f>_xlfn.XLOOKUP(fSales[[#This Row],[SalesRepID]],dPSalesRep[SalesRepID],dPSalesRep[Region])</f>
        <v>NW</v>
      </c>
      <c r="P462" t="str">
        <f>_xlfn.XLOOKUP(fSales[[#This Row],[ProductID]],dProduct[ProductID],dProduct[Product])</f>
        <v>Cherry</v>
      </c>
      <c r="Q462">
        <f>_xlfn.XLOOKUP(fSales[[#This Row],[ProductID]],dProduct[ProductID],dProduct[CratePrice])-_xlfn.XLOOKUP(fSales[[#This Row],[ProductID]],dProduct[ProductID],dProduct[CrateCost])</f>
        <v>18.354000000000003</v>
      </c>
      <c r="R462">
        <f>_xlfn.XLOOKUP(fSales[[#This Row],[ProductID]],dProduct[ProductID],dProduct[CratePrice])</f>
        <v>43.7</v>
      </c>
      <c r="S462">
        <f>_xlfn.XLOOKUP(fSales[[#This Row],[ProductID]],dProduct[ProductID],dProduct[CrateCost])</f>
        <v>25.346</v>
      </c>
    </row>
    <row r="463" spans="7:19" x14ac:dyDescent="0.25">
      <c r="G463" s="2">
        <v>45600</v>
      </c>
      <c r="H463">
        <v>132</v>
      </c>
      <c r="I463" t="s">
        <v>21</v>
      </c>
      <c r="J463" t="s">
        <v>37</v>
      </c>
      <c r="K463">
        <f>_xlfn.XLOOKUP(fSales[[#This Row],[ProductID]],dProduct[ProductID],dProduct[CratePrice])*fSales[[#This Row],[Units]]</f>
        <v>2970</v>
      </c>
      <c r="L463">
        <f>fSales[[#This Row],[Total sales]]-_xlfn.XLOOKUP(fSales[[#This Row],[ProductID]],dProduct[ProductID],dProduct[CrateCost])*fSales[[#This Row],[Units]]</f>
        <v>1306.7999999999997</v>
      </c>
      <c r="M463">
        <f>(_xlfn.XLOOKUP(fSales[[#This Row],[ProductID]],dProduct[ProductID],dProduct[CratePrice])-_xlfn.XLOOKUP(fSales[[#This Row],[ProductID]],dProduct[ProductID],dProduct[CrateCost]))/_xlfn.XLOOKUP(fSales[[#This Row],[ProductID]],dProduct[ProductID],dProduct[CratePrice])</f>
        <v>0.43999999999999995</v>
      </c>
      <c r="N463" t="str">
        <f>_xlfn.XLOOKUP(fSales[[#This Row],[SalesRepID]],dPSalesRep[SalesRepID],dPSalesRep[SalesRep])</f>
        <v>Chantel Mims</v>
      </c>
      <c r="O463" t="str">
        <f>_xlfn.XLOOKUP(fSales[[#This Row],[SalesRepID]],dPSalesRep[SalesRepID],dPSalesRep[Region])</f>
        <v>NW</v>
      </c>
      <c r="P463" t="str">
        <f>_xlfn.XLOOKUP(fSales[[#This Row],[ProductID]],dProduct[ProductID],dProduct[Product])</f>
        <v>Kiwi</v>
      </c>
      <c r="Q463">
        <f>_xlfn.XLOOKUP(fSales[[#This Row],[ProductID]],dProduct[ProductID],dProduct[CratePrice])-_xlfn.XLOOKUP(fSales[[#This Row],[ProductID]],dProduct[ProductID],dProduct[CrateCost])</f>
        <v>9.8999999999999986</v>
      </c>
      <c r="R463">
        <f>_xlfn.XLOOKUP(fSales[[#This Row],[ProductID]],dProduct[ProductID],dProduct[CratePrice])</f>
        <v>22.5</v>
      </c>
      <c r="S463">
        <f>_xlfn.XLOOKUP(fSales[[#This Row],[ProductID]],dProduct[ProductID],dProduct[CrateCost])</f>
        <v>12.600000000000001</v>
      </c>
    </row>
    <row r="464" spans="7:19" x14ac:dyDescent="0.25">
      <c r="G464" s="2">
        <v>45600</v>
      </c>
      <c r="H464">
        <v>144</v>
      </c>
      <c r="I464" t="s">
        <v>26</v>
      </c>
      <c r="J464" t="s">
        <v>29</v>
      </c>
      <c r="K464">
        <f>_xlfn.XLOOKUP(fSales[[#This Row],[ProductID]],dProduct[ProductID],dProduct[CratePrice])*fSales[[#This Row],[Units]]</f>
        <v>4284</v>
      </c>
      <c r="L464">
        <f>fSales[[#This Row],[Total sales]]-_xlfn.XLOOKUP(fSales[[#This Row],[ProductID]],dProduct[ProductID],dProduct[CrateCost])*fSales[[#This Row],[Units]]</f>
        <v>1799.2800000000002</v>
      </c>
      <c r="M464">
        <f>(_xlfn.XLOOKUP(fSales[[#This Row],[ProductID]],dProduct[ProductID],dProduct[CratePrice])-_xlfn.XLOOKUP(fSales[[#This Row],[ProductID]],dProduct[ProductID],dProduct[CrateCost]))/_xlfn.XLOOKUP(fSales[[#This Row],[ProductID]],dProduct[ProductID],dProduct[CratePrice])</f>
        <v>0.42000000000000004</v>
      </c>
      <c r="N464" t="str">
        <f>_xlfn.XLOOKUP(fSales[[#This Row],[SalesRepID]],dPSalesRep[SalesRepID],dPSalesRep[SalesRep])</f>
        <v>Sioux Best</v>
      </c>
      <c r="O464" t="str">
        <f>_xlfn.XLOOKUP(fSales[[#This Row],[SalesRepID]],dPSalesRep[SalesRepID],dPSalesRep[Region])</f>
        <v>West</v>
      </c>
      <c r="P464" t="str">
        <f>_xlfn.XLOOKUP(fSales[[#This Row],[ProductID]],dProduct[ProductID],dProduct[Product])</f>
        <v>Orange</v>
      </c>
      <c r="Q464">
        <f>_xlfn.XLOOKUP(fSales[[#This Row],[ProductID]],dProduct[ProductID],dProduct[CratePrice])-_xlfn.XLOOKUP(fSales[[#This Row],[ProductID]],dProduct[ProductID],dProduct[CrateCost])</f>
        <v>12.495000000000001</v>
      </c>
      <c r="R464">
        <f>_xlfn.XLOOKUP(fSales[[#This Row],[ProductID]],dProduct[ProductID],dProduct[CratePrice])</f>
        <v>29.75</v>
      </c>
      <c r="S464">
        <f>_xlfn.XLOOKUP(fSales[[#This Row],[ProductID]],dProduct[ProductID],dProduct[CrateCost])</f>
        <v>17.254999999999999</v>
      </c>
    </row>
    <row r="465" spans="7:19" x14ac:dyDescent="0.25">
      <c r="G465" s="2">
        <v>45602</v>
      </c>
      <c r="H465">
        <v>36</v>
      </c>
      <c r="I465" t="s">
        <v>19</v>
      </c>
      <c r="J465" t="s">
        <v>22</v>
      </c>
      <c r="K465">
        <f>_xlfn.XLOOKUP(fSales[[#This Row],[ProductID]],dProduct[ProductID],dProduct[CratePrice])*fSales[[#This Row],[Units]]</f>
        <v>1260</v>
      </c>
      <c r="L465">
        <f>fSales[[#This Row],[Total sales]]-_xlfn.XLOOKUP(fSales[[#This Row],[ProductID]],dProduct[ProductID],dProduct[CrateCost])*fSales[[#This Row],[Units]]</f>
        <v>705.6</v>
      </c>
      <c r="M465">
        <f>(_xlfn.XLOOKUP(fSales[[#This Row],[ProductID]],dProduct[ProductID],dProduct[CratePrice])-_xlfn.XLOOKUP(fSales[[#This Row],[ProductID]],dProduct[ProductID],dProduct[CrateCost]))/_xlfn.XLOOKUP(fSales[[#This Row],[ProductID]],dProduct[ProductID],dProduct[CratePrice])</f>
        <v>0.56000000000000005</v>
      </c>
      <c r="N465" t="str">
        <f>_xlfn.XLOOKUP(fSales[[#This Row],[SalesRepID]],dPSalesRep[SalesRepID],dPSalesRep[SalesRep])</f>
        <v>Timmy Kips</v>
      </c>
      <c r="O465" t="str">
        <f>_xlfn.XLOOKUP(fSales[[#This Row],[SalesRepID]],dPSalesRep[SalesRepID],dPSalesRep[Region])</f>
        <v>East</v>
      </c>
      <c r="P465" t="str">
        <f>_xlfn.XLOOKUP(fSales[[#This Row],[ProductID]],dProduct[ProductID],dProduct[Product])</f>
        <v>Apple</v>
      </c>
      <c r="Q465">
        <f>_xlfn.XLOOKUP(fSales[[#This Row],[ProductID]],dProduct[ProductID],dProduct[CratePrice])-_xlfn.XLOOKUP(fSales[[#This Row],[ProductID]],dProduct[ProductID],dProduct[CrateCost])</f>
        <v>19.600000000000001</v>
      </c>
      <c r="R465">
        <f>_xlfn.XLOOKUP(fSales[[#This Row],[ProductID]],dProduct[ProductID],dProduct[CratePrice])</f>
        <v>35</v>
      </c>
      <c r="S465">
        <f>_xlfn.XLOOKUP(fSales[[#This Row],[ProductID]],dProduct[ProductID],dProduct[CrateCost])</f>
        <v>15.4</v>
      </c>
    </row>
    <row r="466" spans="7:19" x14ac:dyDescent="0.25">
      <c r="G466" s="2">
        <v>45602</v>
      </c>
      <c r="H466">
        <v>12</v>
      </c>
      <c r="I466" t="s">
        <v>28</v>
      </c>
      <c r="J466" t="s">
        <v>29</v>
      </c>
      <c r="K466">
        <f>_xlfn.XLOOKUP(fSales[[#This Row],[ProductID]],dProduct[ProductID],dProduct[CratePrice])*fSales[[#This Row],[Units]]</f>
        <v>524.40000000000009</v>
      </c>
      <c r="L466">
        <f>fSales[[#This Row],[Total sales]]-_xlfn.XLOOKUP(fSales[[#This Row],[ProductID]],dProduct[ProductID],dProduct[CrateCost])*fSales[[#This Row],[Units]]</f>
        <v>220.2480000000001</v>
      </c>
      <c r="M466">
        <f>(_xlfn.XLOOKUP(fSales[[#This Row],[ProductID]],dProduct[ProductID],dProduct[CratePrice])-_xlfn.XLOOKUP(fSales[[#This Row],[ProductID]],dProduct[ProductID],dProduct[CrateCost]))/_xlfn.XLOOKUP(fSales[[#This Row],[ProductID]],dProduct[ProductID],dProduct[CratePrice])</f>
        <v>0.42000000000000004</v>
      </c>
      <c r="N466" t="str">
        <f>_xlfn.XLOOKUP(fSales[[#This Row],[SalesRepID]],dPSalesRep[SalesRepID],dPSalesRep[SalesRep])</f>
        <v>Sioux Best</v>
      </c>
      <c r="O466" t="str">
        <f>_xlfn.XLOOKUP(fSales[[#This Row],[SalesRepID]],dPSalesRep[SalesRepID],dPSalesRep[Region])</f>
        <v>West</v>
      </c>
      <c r="P466" t="str">
        <f>_xlfn.XLOOKUP(fSales[[#This Row],[ProductID]],dProduct[ProductID],dProduct[Product])</f>
        <v>Cherry</v>
      </c>
      <c r="Q466">
        <f>_xlfn.XLOOKUP(fSales[[#This Row],[ProductID]],dProduct[ProductID],dProduct[CratePrice])-_xlfn.XLOOKUP(fSales[[#This Row],[ProductID]],dProduct[ProductID],dProduct[CrateCost])</f>
        <v>18.354000000000003</v>
      </c>
      <c r="R466">
        <f>_xlfn.XLOOKUP(fSales[[#This Row],[ProductID]],dProduct[ProductID],dProduct[CratePrice])</f>
        <v>43.7</v>
      </c>
      <c r="S466">
        <f>_xlfn.XLOOKUP(fSales[[#This Row],[ProductID]],dProduct[ProductID],dProduct[CrateCost])</f>
        <v>25.346</v>
      </c>
    </row>
    <row r="467" spans="7:19" x14ac:dyDescent="0.25">
      <c r="G467" s="2">
        <v>45603</v>
      </c>
      <c r="H467">
        <v>228</v>
      </c>
      <c r="I467" t="s">
        <v>19</v>
      </c>
      <c r="J467" t="s">
        <v>22</v>
      </c>
      <c r="K467">
        <f>_xlfn.XLOOKUP(fSales[[#This Row],[ProductID]],dProduct[ProductID],dProduct[CratePrice])*fSales[[#This Row],[Units]]</f>
        <v>7980</v>
      </c>
      <c r="L467">
        <f>fSales[[#This Row],[Total sales]]-_xlfn.XLOOKUP(fSales[[#This Row],[ProductID]],dProduct[ProductID],dProduct[CrateCost])*fSales[[#This Row],[Units]]</f>
        <v>4468.7999999999993</v>
      </c>
      <c r="M467">
        <f>(_xlfn.XLOOKUP(fSales[[#This Row],[ProductID]],dProduct[ProductID],dProduct[CratePrice])-_xlfn.XLOOKUP(fSales[[#This Row],[ProductID]],dProduct[ProductID],dProduct[CrateCost]))/_xlfn.XLOOKUP(fSales[[#This Row],[ProductID]],dProduct[ProductID],dProduct[CratePrice])</f>
        <v>0.56000000000000005</v>
      </c>
      <c r="N467" t="str">
        <f>_xlfn.XLOOKUP(fSales[[#This Row],[SalesRepID]],dPSalesRep[SalesRepID],dPSalesRep[SalesRep])</f>
        <v>Timmy Kips</v>
      </c>
      <c r="O467" t="str">
        <f>_xlfn.XLOOKUP(fSales[[#This Row],[SalesRepID]],dPSalesRep[SalesRepID],dPSalesRep[Region])</f>
        <v>East</v>
      </c>
      <c r="P467" t="str">
        <f>_xlfn.XLOOKUP(fSales[[#This Row],[ProductID]],dProduct[ProductID],dProduct[Product])</f>
        <v>Apple</v>
      </c>
      <c r="Q467">
        <f>_xlfn.XLOOKUP(fSales[[#This Row],[ProductID]],dProduct[ProductID],dProduct[CratePrice])-_xlfn.XLOOKUP(fSales[[#This Row],[ProductID]],dProduct[ProductID],dProduct[CrateCost])</f>
        <v>19.600000000000001</v>
      </c>
      <c r="R467">
        <f>_xlfn.XLOOKUP(fSales[[#This Row],[ProductID]],dProduct[ProductID],dProduct[CratePrice])</f>
        <v>35</v>
      </c>
      <c r="S467">
        <f>_xlfn.XLOOKUP(fSales[[#This Row],[ProductID]],dProduct[ProductID],dProduct[CrateCost])</f>
        <v>15.4</v>
      </c>
    </row>
    <row r="468" spans="7:19" x14ac:dyDescent="0.25">
      <c r="G468" s="2">
        <v>45603</v>
      </c>
      <c r="H468">
        <v>60</v>
      </c>
      <c r="I468" t="s">
        <v>26</v>
      </c>
      <c r="J468" t="s">
        <v>37</v>
      </c>
      <c r="K468">
        <f>_xlfn.XLOOKUP(fSales[[#This Row],[ProductID]],dProduct[ProductID],dProduct[CratePrice])*fSales[[#This Row],[Units]]</f>
        <v>1785</v>
      </c>
      <c r="L468">
        <f>fSales[[#This Row],[Total sales]]-_xlfn.XLOOKUP(fSales[[#This Row],[ProductID]],dProduct[ProductID],dProduct[CrateCost])*fSales[[#This Row],[Units]]</f>
        <v>749.7</v>
      </c>
      <c r="M468">
        <f>(_xlfn.XLOOKUP(fSales[[#This Row],[ProductID]],dProduct[ProductID],dProduct[CratePrice])-_xlfn.XLOOKUP(fSales[[#This Row],[ProductID]],dProduct[ProductID],dProduct[CrateCost]))/_xlfn.XLOOKUP(fSales[[#This Row],[ProductID]],dProduct[ProductID],dProduct[CratePrice])</f>
        <v>0.42000000000000004</v>
      </c>
      <c r="N468" t="str">
        <f>_xlfn.XLOOKUP(fSales[[#This Row],[SalesRepID]],dPSalesRep[SalesRepID],dPSalesRep[SalesRep])</f>
        <v>Chantel Mims</v>
      </c>
      <c r="O468" t="str">
        <f>_xlfn.XLOOKUP(fSales[[#This Row],[SalesRepID]],dPSalesRep[SalesRepID],dPSalesRep[Region])</f>
        <v>NW</v>
      </c>
      <c r="P468" t="str">
        <f>_xlfn.XLOOKUP(fSales[[#This Row],[ProductID]],dProduct[ProductID],dProduct[Product])</f>
        <v>Orange</v>
      </c>
      <c r="Q468">
        <f>_xlfn.XLOOKUP(fSales[[#This Row],[ProductID]],dProduct[ProductID],dProduct[CratePrice])-_xlfn.XLOOKUP(fSales[[#This Row],[ProductID]],dProduct[ProductID],dProduct[CrateCost])</f>
        <v>12.495000000000001</v>
      </c>
      <c r="R468">
        <f>_xlfn.XLOOKUP(fSales[[#This Row],[ProductID]],dProduct[ProductID],dProduct[CratePrice])</f>
        <v>29.75</v>
      </c>
      <c r="S468">
        <f>_xlfn.XLOOKUP(fSales[[#This Row],[ProductID]],dProduct[ProductID],dProduct[CrateCost])</f>
        <v>17.254999999999999</v>
      </c>
    </row>
    <row r="469" spans="7:19" x14ac:dyDescent="0.25">
      <c r="G469" s="2">
        <v>45604</v>
      </c>
      <c r="H469">
        <v>96</v>
      </c>
      <c r="I469" t="s">
        <v>19</v>
      </c>
      <c r="J469" t="s">
        <v>22</v>
      </c>
      <c r="K469">
        <f>_xlfn.XLOOKUP(fSales[[#This Row],[ProductID]],dProduct[ProductID],dProduct[CratePrice])*fSales[[#This Row],[Units]]</f>
        <v>3360</v>
      </c>
      <c r="L469">
        <f>fSales[[#This Row],[Total sales]]-_xlfn.XLOOKUP(fSales[[#This Row],[ProductID]],dProduct[ProductID],dProduct[CrateCost])*fSales[[#This Row],[Units]]</f>
        <v>1881.6</v>
      </c>
      <c r="M469">
        <f>(_xlfn.XLOOKUP(fSales[[#This Row],[ProductID]],dProduct[ProductID],dProduct[CratePrice])-_xlfn.XLOOKUP(fSales[[#This Row],[ProductID]],dProduct[ProductID],dProduct[CrateCost]))/_xlfn.XLOOKUP(fSales[[#This Row],[ProductID]],dProduct[ProductID],dProduct[CratePrice])</f>
        <v>0.56000000000000005</v>
      </c>
      <c r="N469" t="str">
        <f>_xlfn.XLOOKUP(fSales[[#This Row],[SalesRepID]],dPSalesRep[SalesRepID],dPSalesRep[SalesRep])</f>
        <v>Timmy Kips</v>
      </c>
      <c r="O469" t="str">
        <f>_xlfn.XLOOKUP(fSales[[#This Row],[SalesRepID]],dPSalesRep[SalesRepID],dPSalesRep[Region])</f>
        <v>East</v>
      </c>
      <c r="P469" t="str">
        <f>_xlfn.XLOOKUP(fSales[[#This Row],[ProductID]],dProduct[ProductID],dProduct[Product])</f>
        <v>Apple</v>
      </c>
      <c r="Q469">
        <f>_xlfn.XLOOKUP(fSales[[#This Row],[ProductID]],dProduct[ProductID],dProduct[CratePrice])-_xlfn.XLOOKUP(fSales[[#This Row],[ProductID]],dProduct[ProductID],dProduct[CrateCost])</f>
        <v>19.600000000000001</v>
      </c>
      <c r="R469">
        <f>_xlfn.XLOOKUP(fSales[[#This Row],[ProductID]],dProduct[ProductID],dProduct[CratePrice])</f>
        <v>35</v>
      </c>
      <c r="S469">
        <f>_xlfn.XLOOKUP(fSales[[#This Row],[ProductID]],dProduct[ProductID],dProduct[CrateCost])</f>
        <v>15.4</v>
      </c>
    </row>
    <row r="470" spans="7:19" x14ac:dyDescent="0.25">
      <c r="G470" s="2">
        <v>45605</v>
      </c>
      <c r="H470">
        <v>60</v>
      </c>
      <c r="I470" t="s">
        <v>26</v>
      </c>
      <c r="J470" t="s">
        <v>32</v>
      </c>
      <c r="K470">
        <f>_xlfn.XLOOKUP(fSales[[#This Row],[ProductID]],dProduct[ProductID],dProduct[CratePrice])*fSales[[#This Row],[Units]]</f>
        <v>1785</v>
      </c>
      <c r="L470">
        <f>fSales[[#This Row],[Total sales]]-_xlfn.XLOOKUP(fSales[[#This Row],[ProductID]],dProduct[ProductID],dProduct[CrateCost])*fSales[[#This Row],[Units]]</f>
        <v>749.7</v>
      </c>
      <c r="M470">
        <f>(_xlfn.XLOOKUP(fSales[[#This Row],[ProductID]],dProduct[ProductID],dProduct[CratePrice])-_xlfn.XLOOKUP(fSales[[#This Row],[ProductID]],dProduct[ProductID],dProduct[CrateCost]))/_xlfn.XLOOKUP(fSales[[#This Row],[ProductID]],dProduct[ProductID],dProduct[CratePrice])</f>
        <v>0.42000000000000004</v>
      </c>
      <c r="N470" t="str">
        <f>_xlfn.XLOOKUP(fSales[[#This Row],[SalesRepID]],dPSalesRep[SalesRepID],dPSalesRep[SalesRep])</f>
        <v>Shihara Fazzaa</v>
      </c>
      <c r="O470" t="str">
        <f>_xlfn.XLOOKUP(fSales[[#This Row],[SalesRepID]],dPSalesRep[SalesRepID],dPSalesRep[Region])</f>
        <v>East</v>
      </c>
      <c r="P470" t="str">
        <f>_xlfn.XLOOKUP(fSales[[#This Row],[ProductID]],dProduct[ProductID],dProduct[Product])</f>
        <v>Orange</v>
      </c>
      <c r="Q470">
        <f>_xlfn.XLOOKUP(fSales[[#This Row],[ProductID]],dProduct[ProductID],dProduct[CratePrice])-_xlfn.XLOOKUP(fSales[[#This Row],[ProductID]],dProduct[ProductID],dProduct[CrateCost])</f>
        <v>12.495000000000001</v>
      </c>
      <c r="R470">
        <f>_xlfn.XLOOKUP(fSales[[#This Row],[ProductID]],dProduct[ProductID],dProduct[CratePrice])</f>
        <v>29.75</v>
      </c>
      <c r="S470">
        <f>_xlfn.XLOOKUP(fSales[[#This Row],[ProductID]],dProduct[ProductID],dProduct[CrateCost])</f>
        <v>17.254999999999999</v>
      </c>
    </row>
    <row r="471" spans="7:19" x14ac:dyDescent="0.25">
      <c r="G471" s="2">
        <v>45605</v>
      </c>
      <c r="H471">
        <v>108</v>
      </c>
      <c r="I471" t="s">
        <v>21</v>
      </c>
      <c r="J471" t="s">
        <v>37</v>
      </c>
      <c r="K471">
        <f>_xlfn.XLOOKUP(fSales[[#This Row],[ProductID]],dProduct[ProductID],dProduct[CratePrice])*fSales[[#This Row],[Units]]</f>
        <v>2430</v>
      </c>
      <c r="L471">
        <f>fSales[[#This Row],[Total sales]]-_xlfn.XLOOKUP(fSales[[#This Row],[ProductID]],dProduct[ProductID],dProduct[CrateCost])*fSales[[#This Row],[Units]]</f>
        <v>1069.1999999999998</v>
      </c>
      <c r="M471">
        <f>(_xlfn.XLOOKUP(fSales[[#This Row],[ProductID]],dProduct[ProductID],dProduct[CratePrice])-_xlfn.XLOOKUP(fSales[[#This Row],[ProductID]],dProduct[ProductID],dProduct[CrateCost]))/_xlfn.XLOOKUP(fSales[[#This Row],[ProductID]],dProduct[ProductID],dProduct[CratePrice])</f>
        <v>0.43999999999999995</v>
      </c>
      <c r="N471" t="str">
        <f>_xlfn.XLOOKUP(fSales[[#This Row],[SalesRepID]],dPSalesRep[SalesRepID],dPSalesRep[SalesRep])</f>
        <v>Chantel Mims</v>
      </c>
      <c r="O471" t="str">
        <f>_xlfn.XLOOKUP(fSales[[#This Row],[SalesRepID]],dPSalesRep[SalesRepID],dPSalesRep[Region])</f>
        <v>NW</v>
      </c>
      <c r="P471" t="str">
        <f>_xlfn.XLOOKUP(fSales[[#This Row],[ProductID]],dProduct[ProductID],dProduct[Product])</f>
        <v>Kiwi</v>
      </c>
      <c r="Q471">
        <f>_xlfn.XLOOKUP(fSales[[#This Row],[ProductID]],dProduct[ProductID],dProduct[CratePrice])-_xlfn.XLOOKUP(fSales[[#This Row],[ProductID]],dProduct[ProductID],dProduct[CrateCost])</f>
        <v>9.8999999999999986</v>
      </c>
      <c r="R471">
        <f>_xlfn.XLOOKUP(fSales[[#This Row],[ProductID]],dProduct[ProductID],dProduct[CratePrice])</f>
        <v>22.5</v>
      </c>
      <c r="S471">
        <f>_xlfn.XLOOKUP(fSales[[#This Row],[ProductID]],dProduct[ProductID],dProduct[CrateCost])</f>
        <v>12.600000000000001</v>
      </c>
    </row>
    <row r="472" spans="7:19" x14ac:dyDescent="0.25">
      <c r="G472" s="2">
        <v>45605</v>
      </c>
      <c r="H472">
        <v>240</v>
      </c>
      <c r="I472" t="s">
        <v>28</v>
      </c>
      <c r="J472" t="s">
        <v>52</v>
      </c>
      <c r="K472">
        <f>_xlfn.XLOOKUP(fSales[[#This Row],[ProductID]],dProduct[ProductID],dProduct[CratePrice])*fSales[[#This Row],[Units]]</f>
        <v>10488</v>
      </c>
      <c r="L472">
        <f>fSales[[#This Row],[Total sales]]-_xlfn.XLOOKUP(fSales[[#This Row],[ProductID]],dProduct[ProductID],dProduct[CrateCost])*fSales[[#This Row],[Units]]</f>
        <v>4404.96</v>
      </c>
      <c r="M472">
        <f>(_xlfn.XLOOKUP(fSales[[#This Row],[ProductID]],dProduct[ProductID],dProduct[CratePrice])-_xlfn.XLOOKUP(fSales[[#This Row],[ProductID]],dProduct[ProductID],dProduct[CrateCost]))/_xlfn.XLOOKUP(fSales[[#This Row],[ProductID]],dProduct[ProductID],dProduct[CratePrice])</f>
        <v>0.42000000000000004</v>
      </c>
      <c r="N472" t="str">
        <f>_xlfn.XLOOKUP(fSales[[#This Row],[SalesRepID]],dPSalesRep[SalesRepID],dPSalesRep[SalesRep])</f>
        <v>Smitty Rad</v>
      </c>
      <c r="O472" t="str">
        <f>_xlfn.XLOOKUP(fSales[[#This Row],[SalesRepID]],dPSalesRep[SalesRepID],dPSalesRep[Region])</f>
        <v>MidWest</v>
      </c>
      <c r="P472" t="str">
        <f>_xlfn.XLOOKUP(fSales[[#This Row],[ProductID]],dProduct[ProductID],dProduct[Product])</f>
        <v>Cherry</v>
      </c>
      <c r="Q472">
        <f>_xlfn.XLOOKUP(fSales[[#This Row],[ProductID]],dProduct[ProductID],dProduct[CratePrice])-_xlfn.XLOOKUP(fSales[[#This Row],[ProductID]],dProduct[ProductID],dProduct[CrateCost])</f>
        <v>18.354000000000003</v>
      </c>
      <c r="R472">
        <f>_xlfn.XLOOKUP(fSales[[#This Row],[ProductID]],dProduct[ProductID],dProduct[CratePrice])</f>
        <v>43.7</v>
      </c>
      <c r="S472">
        <f>_xlfn.XLOOKUP(fSales[[#This Row],[ProductID]],dProduct[ProductID],dProduct[CrateCost])</f>
        <v>25.346</v>
      </c>
    </row>
    <row r="473" spans="7:19" x14ac:dyDescent="0.25">
      <c r="G473" s="2">
        <v>45606</v>
      </c>
      <c r="H473">
        <v>120</v>
      </c>
      <c r="I473" t="s">
        <v>28</v>
      </c>
      <c r="J473" t="s">
        <v>32</v>
      </c>
      <c r="K473">
        <f>_xlfn.XLOOKUP(fSales[[#This Row],[ProductID]],dProduct[ProductID],dProduct[CratePrice])*fSales[[#This Row],[Units]]</f>
        <v>5244</v>
      </c>
      <c r="L473">
        <f>fSales[[#This Row],[Total sales]]-_xlfn.XLOOKUP(fSales[[#This Row],[ProductID]],dProduct[ProductID],dProduct[CrateCost])*fSales[[#This Row],[Units]]</f>
        <v>2202.48</v>
      </c>
      <c r="M473">
        <f>(_xlfn.XLOOKUP(fSales[[#This Row],[ProductID]],dProduct[ProductID],dProduct[CratePrice])-_xlfn.XLOOKUP(fSales[[#This Row],[ProductID]],dProduct[ProductID],dProduct[CrateCost]))/_xlfn.XLOOKUP(fSales[[#This Row],[ProductID]],dProduct[ProductID],dProduct[CratePrice])</f>
        <v>0.42000000000000004</v>
      </c>
      <c r="N473" t="str">
        <f>_xlfn.XLOOKUP(fSales[[#This Row],[SalesRepID]],dPSalesRep[SalesRepID],dPSalesRep[SalesRep])</f>
        <v>Shihara Fazzaa</v>
      </c>
      <c r="O473" t="str">
        <f>_xlfn.XLOOKUP(fSales[[#This Row],[SalesRepID]],dPSalesRep[SalesRepID],dPSalesRep[Region])</f>
        <v>East</v>
      </c>
      <c r="P473" t="str">
        <f>_xlfn.XLOOKUP(fSales[[#This Row],[ProductID]],dProduct[ProductID],dProduct[Product])</f>
        <v>Cherry</v>
      </c>
      <c r="Q473">
        <f>_xlfn.XLOOKUP(fSales[[#This Row],[ProductID]],dProduct[ProductID],dProduct[CratePrice])-_xlfn.XLOOKUP(fSales[[#This Row],[ProductID]],dProduct[ProductID],dProduct[CrateCost])</f>
        <v>18.354000000000003</v>
      </c>
      <c r="R473">
        <f>_xlfn.XLOOKUP(fSales[[#This Row],[ProductID]],dProduct[ProductID],dProduct[CratePrice])</f>
        <v>43.7</v>
      </c>
      <c r="S473">
        <f>_xlfn.XLOOKUP(fSales[[#This Row],[ProductID]],dProduct[ProductID],dProduct[CrateCost])</f>
        <v>25.346</v>
      </c>
    </row>
    <row r="474" spans="7:19" x14ac:dyDescent="0.25">
      <c r="G474" s="2">
        <v>45606</v>
      </c>
      <c r="H474">
        <v>120</v>
      </c>
      <c r="I474" t="s">
        <v>28</v>
      </c>
      <c r="J474" t="s">
        <v>52</v>
      </c>
      <c r="K474">
        <f>_xlfn.XLOOKUP(fSales[[#This Row],[ProductID]],dProduct[ProductID],dProduct[CratePrice])*fSales[[#This Row],[Units]]</f>
        <v>5244</v>
      </c>
      <c r="L474">
        <f>fSales[[#This Row],[Total sales]]-_xlfn.XLOOKUP(fSales[[#This Row],[ProductID]],dProduct[ProductID],dProduct[CrateCost])*fSales[[#This Row],[Units]]</f>
        <v>2202.48</v>
      </c>
      <c r="M474">
        <f>(_xlfn.XLOOKUP(fSales[[#This Row],[ProductID]],dProduct[ProductID],dProduct[CratePrice])-_xlfn.XLOOKUP(fSales[[#This Row],[ProductID]],dProduct[ProductID],dProduct[CrateCost]))/_xlfn.XLOOKUP(fSales[[#This Row],[ProductID]],dProduct[ProductID],dProduct[CratePrice])</f>
        <v>0.42000000000000004</v>
      </c>
      <c r="N474" t="str">
        <f>_xlfn.XLOOKUP(fSales[[#This Row],[SalesRepID]],dPSalesRep[SalesRepID],dPSalesRep[SalesRep])</f>
        <v>Smitty Rad</v>
      </c>
      <c r="O474" t="str">
        <f>_xlfn.XLOOKUP(fSales[[#This Row],[SalesRepID]],dPSalesRep[SalesRepID],dPSalesRep[Region])</f>
        <v>MidWest</v>
      </c>
      <c r="P474" t="str">
        <f>_xlfn.XLOOKUP(fSales[[#This Row],[ProductID]],dProduct[ProductID],dProduct[Product])</f>
        <v>Cherry</v>
      </c>
      <c r="Q474">
        <f>_xlfn.XLOOKUP(fSales[[#This Row],[ProductID]],dProduct[ProductID],dProduct[CratePrice])-_xlfn.XLOOKUP(fSales[[#This Row],[ProductID]],dProduct[ProductID],dProduct[CrateCost])</f>
        <v>18.354000000000003</v>
      </c>
      <c r="R474">
        <f>_xlfn.XLOOKUP(fSales[[#This Row],[ProductID]],dProduct[ProductID],dProduct[CratePrice])</f>
        <v>43.7</v>
      </c>
      <c r="S474">
        <f>_xlfn.XLOOKUP(fSales[[#This Row],[ProductID]],dProduct[ProductID],dProduct[CrateCost])</f>
        <v>25.346</v>
      </c>
    </row>
    <row r="475" spans="7:19" x14ac:dyDescent="0.25">
      <c r="G475" s="2">
        <v>45606</v>
      </c>
      <c r="H475">
        <v>300</v>
      </c>
      <c r="I475" t="s">
        <v>34</v>
      </c>
      <c r="J475" t="s">
        <v>22</v>
      </c>
      <c r="K475">
        <f>_xlfn.XLOOKUP(fSales[[#This Row],[ProductID]],dProduct[ProductID],dProduct[CratePrice])*fSales[[#This Row],[Units]]</f>
        <v>5250</v>
      </c>
      <c r="L475">
        <f>fSales[[#This Row],[Total sales]]-_xlfn.XLOOKUP(fSales[[#This Row],[ProductID]],dProduct[ProductID],dProduct[CrateCost])*fSales[[#This Row],[Units]]</f>
        <v>1732.4999999999995</v>
      </c>
      <c r="M475">
        <f>(_xlfn.XLOOKUP(fSales[[#This Row],[ProductID]],dProduct[ProductID],dProduct[CratePrice])-_xlfn.XLOOKUP(fSales[[#This Row],[ProductID]],dProduct[ProductID],dProduct[CrateCost]))/_xlfn.XLOOKUP(fSales[[#This Row],[ProductID]],dProduct[ProductID],dProduct[CratePrice])</f>
        <v>0.3299999999999999</v>
      </c>
      <c r="N475" t="str">
        <f>_xlfn.XLOOKUP(fSales[[#This Row],[SalesRepID]],dPSalesRep[SalesRepID],dPSalesRep[SalesRep])</f>
        <v>Timmy Kips</v>
      </c>
      <c r="O475" t="str">
        <f>_xlfn.XLOOKUP(fSales[[#This Row],[SalesRepID]],dPSalesRep[SalesRepID],dPSalesRep[Region])</f>
        <v>East</v>
      </c>
      <c r="P475" t="str">
        <f>_xlfn.XLOOKUP(fSales[[#This Row],[ProductID]],dProduct[ProductID],dProduct[Product])</f>
        <v>Banana</v>
      </c>
      <c r="Q475">
        <f>_xlfn.XLOOKUP(fSales[[#This Row],[ProductID]],dProduct[ProductID],dProduct[CratePrice])-_xlfn.XLOOKUP(fSales[[#This Row],[ProductID]],dProduct[ProductID],dProduct[CrateCost])</f>
        <v>5.7749999999999986</v>
      </c>
      <c r="R475">
        <f>_xlfn.XLOOKUP(fSales[[#This Row],[ProductID]],dProduct[ProductID],dProduct[CratePrice])</f>
        <v>17.5</v>
      </c>
      <c r="S475">
        <f>_xlfn.XLOOKUP(fSales[[#This Row],[ProductID]],dProduct[ProductID],dProduct[CrateCost])</f>
        <v>11.725000000000001</v>
      </c>
    </row>
    <row r="476" spans="7:19" x14ac:dyDescent="0.25">
      <c r="G476" s="2">
        <v>45606</v>
      </c>
      <c r="H476">
        <v>60</v>
      </c>
      <c r="I476" t="s">
        <v>28</v>
      </c>
      <c r="J476" t="s">
        <v>32</v>
      </c>
      <c r="K476">
        <f>_xlfn.XLOOKUP(fSales[[#This Row],[ProductID]],dProduct[ProductID],dProduct[CratePrice])*fSales[[#This Row],[Units]]</f>
        <v>2622</v>
      </c>
      <c r="L476">
        <f>fSales[[#This Row],[Total sales]]-_xlfn.XLOOKUP(fSales[[#This Row],[ProductID]],dProduct[ProductID],dProduct[CrateCost])*fSales[[#This Row],[Units]]</f>
        <v>1101.24</v>
      </c>
      <c r="M476">
        <f>(_xlfn.XLOOKUP(fSales[[#This Row],[ProductID]],dProduct[ProductID],dProduct[CratePrice])-_xlfn.XLOOKUP(fSales[[#This Row],[ProductID]],dProduct[ProductID],dProduct[CrateCost]))/_xlfn.XLOOKUP(fSales[[#This Row],[ProductID]],dProduct[ProductID],dProduct[CratePrice])</f>
        <v>0.42000000000000004</v>
      </c>
      <c r="N476" t="str">
        <f>_xlfn.XLOOKUP(fSales[[#This Row],[SalesRepID]],dPSalesRep[SalesRepID],dPSalesRep[SalesRep])</f>
        <v>Shihara Fazzaa</v>
      </c>
      <c r="O476" t="str">
        <f>_xlfn.XLOOKUP(fSales[[#This Row],[SalesRepID]],dPSalesRep[SalesRepID],dPSalesRep[Region])</f>
        <v>East</v>
      </c>
      <c r="P476" t="str">
        <f>_xlfn.XLOOKUP(fSales[[#This Row],[ProductID]],dProduct[ProductID],dProduct[Product])</f>
        <v>Cherry</v>
      </c>
      <c r="Q476">
        <f>_xlfn.XLOOKUP(fSales[[#This Row],[ProductID]],dProduct[ProductID],dProduct[CratePrice])-_xlfn.XLOOKUP(fSales[[#This Row],[ProductID]],dProduct[ProductID],dProduct[CrateCost])</f>
        <v>18.354000000000003</v>
      </c>
      <c r="R476">
        <f>_xlfn.XLOOKUP(fSales[[#This Row],[ProductID]],dProduct[ProductID],dProduct[CratePrice])</f>
        <v>43.7</v>
      </c>
      <c r="S476">
        <f>_xlfn.XLOOKUP(fSales[[#This Row],[ProductID]],dProduct[ProductID],dProduct[CrateCost])</f>
        <v>25.346</v>
      </c>
    </row>
    <row r="477" spans="7:19" x14ac:dyDescent="0.25">
      <c r="G477" s="2">
        <v>45607</v>
      </c>
      <c r="H477">
        <v>204</v>
      </c>
      <c r="I477" t="s">
        <v>34</v>
      </c>
      <c r="J477" t="s">
        <v>37</v>
      </c>
      <c r="K477">
        <f>_xlfn.XLOOKUP(fSales[[#This Row],[ProductID]],dProduct[ProductID],dProduct[CratePrice])*fSales[[#This Row],[Units]]</f>
        <v>3570</v>
      </c>
      <c r="L477">
        <f>fSales[[#This Row],[Total sales]]-_xlfn.XLOOKUP(fSales[[#This Row],[ProductID]],dProduct[ProductID],dProduct[CrateCost])*fSales[[#This Row],[Units]]</f>
        <v>1178.0999999999999</v>
      </c>
      <c r="M477">
        <f>(_xlfn.XLOOKUP(fSales[[#This Row],[ProductID]],dProduct[ProductID],dProduct[CratePrice])-_xlfn.XLOOKUP(fSales[[#This Row],[ProductID]],dProduct[ProductID],dProduct[CrateCost]))/_xlfn.XLOOKUP(fSales[[#This Row],[ProductID]],dProduct[ProductID],dProduct[CratePrice])</f>
        <v>0.3299999999999999</v>
      </c>
      <c r="N477" t="str">
        <f>_xlfn.XLOOKUP(fSales[[#This Row],[SalesRepID]],dPSalesRep[SalesRepID],dPSalesRep[SalesRep])</f>
        <v>Chantel Mims</v>
      </c>
      <c r="O477" t="str">
        <f>_xlfn.XLOOKUP(fSales[[#This Row],[SalesRepID]],dPSalesRep[SalesRepID],dPSalesRep[Region])</f>
        <v>NW</v>
      </c>
      <c r="P477" t="str">
        <f>_xlfn.XLOOKUP(fSales[[#This Row],[ProductID]],dProduct[ProductID],dProduct[Product])</f>
        <v>Banana</v>
      </c>
      <c r="Q477">
        <f>_xlfn.XLOOKUP(fSales[[#This Row],[ProductID]],dProduct[ProductID],dProduct[CratePrice])-_xlfn.XLOOKUP(fSales[[#This Row],[ProductID]],dProduct[ProductID],dProduct[CrateCost])</f>
        <v>5.7749999999999986</v>
      </c>
      <c r="R477">
        <f>_xlfn.XLOOKUP(fSales[[#This Row],[ProductID]],dProduct[ProductID],dProduct[CratePrice])</f>
        <v>17.5</v>
      </c>
      <c r="S477">
        <f>_xlfn.XLOOKUP(fSales[[#This Row],[ProductID]],dProduct[ProductID],dProduct[CrateCost])</f>
        <v>11.725000000000001</v>
      </c>
    </row>
    <row r="478" spans="7:19" x14ac:dyDescent="0.25">
      <c r="G478" s="2">
        <v>45607</v>
      </c>
      <c r="H478">
        <v>240</v>
      </c>
      <c r="I478" t="s">
        <v>21</v>
      </c>
      <c r="J478" t="s">
        <v>29</v>
      </c>
      <c r="K478">
        <f>_xlfn.XLOOKUP(fSales[[#This Row],[ProductID]],dProduct[ProductID],dProduct[CratePrice])*fSales[[#This Row],[Units]]</f>
        <v>5400</v>
      </c>
      <c r="L478">
        <f>fSales[[#This Row],[Total sales]]-_xlfn.XLOOKUP(fSales[[#This Row],[ProductID]],dProduct[ProductID],dProduct[CrateCost])*fSales[[#This Row],[Units]]</f>
        <v>2375.9999999999995</v>
      </c>
      <c r="M478">
        <f>(_xlfn.XLOOKUP(fSales[[#This Row],[ProductID]],dProduct[ProductID],dProduct[CratePrice])-_xlfn.XLOOKUP(fSales[[#This Row],[ProductID]],dProduct[ProductID],dProduct[CrateCost]))/_xlfn.XLOOKUP(fSales[[#This Row],[ProductID]],dProduct[ProductID],dProduct[CratePrice])</f>
        <v>0.43999999999999995</v>
      </c>
      <c r="N478" t="str">
        <f>_xlfn.XLOOKUP(fSales[[#This Row],[SalesRepID]],dPSalesRep[SalesRepID],dPSalesRep[SalesRep])</f>
        <v>Sioux Best</v>
      </c>
      <c r="O478" t="str">
        <f>_xlfn.XLOOKUP(fSales[[#This Row],[SalesRepID]],dPSalesRep[SalesRepID],dPSalesRep[Region])</f>
        <v>West</v>
      </c>
      <c r="P478" t="str">
        <f>_xlfn.XLOOKUP(fSales[[#This Row],[ProductID]],dProduct[ProductID],dProduct[Product])</f>
        <v>Kiwi</v>
      </c>
      <c r="Q478">
        <f>_xlfn.XLOOKUP(fSales[[#This Row],[ProductID]],dProduct[ProductID],dProduct[CratePrice])-_xlfn.XLOOKUP(fSales[[#This Row],[ProductID]],dProduct[ProductID],dProduct[CrateCost])</f>
        <v>9.8999999999999986</v>
      </c>
      <c r="R478">
        <f>_xlfn.XLOOKUP(fSales[[#This Row],[ProductID]],dProduct[ProductID],dProduct[CratePrice])</f>
        <v>22.5</v>
      </c>
      <c r="S478">
        <f>_xlfn.XLOOKUP(fSales[[#This Row],[ProductID]],dProduct[ProductID],dProduct[CrateCost])</f>
        <v>12.600000000000001</v>
      </c>
    </row>
    <row r="479" spans="7:19" x14ac:dyDescent="0.25">
      <c r="G479" s="2">
        <v>45607</v>
      </c>
      <c r="H479">
        <v>36</v>
      </c>
      <c r="I479" t="s">
        <v>21</v>
      </c>
      <c r="J479" t="s">
        <v>32</v>
      </c>
      <c r="K479">
        <f>_xlfn.XLOOKUP(fSales[[#This Row],[ProductID]],dProduct[ProductID],dProduct[CratePrice])*fSales[[#This Row],[Units]]</f>
        <v>810</v>
      </c>
      <c r="L479">
        <f>fSales[[#This Row],[Total sales]]-_xlfn.XLOOKUP(fSales[[#This Row],[ProductID]],dProduct[ProductID],dProduct[CrateCost])*fSales[[#This Row],[Units]]</f>
        <v>356.4</v>
      </c>
      <c r="M479">
        <f>(_xlfn.XLOOKUP(fSales[[#This Row],[ProductID]],dProduct[ProductID],dProduct[CratePrice])-_xlfn.XLOOKUP(fSales[[#This Row],[ProductID]],dProduct[ProductID],dProduct[CrateCost]))/_xlfn.XLOOKUP(fSales[[#This Row],[ProductID]],dProduct[ProductID],dProduct[CratePrice])</f>
        <v>0.43999999999999995</v>
      </c>
      <c r="N479" t="str">
        <f>_xlfn.XLOOKUP(fSales[[#This Row],[SalesRepID]],dPSalesRep[SalesRepID],dPSalesRep[SalesRep])</f>
        <v>Shihara Fazzaa</v>
      </c>
      <c r="O479" t="str">
        <f>_xlfn.XLOOKUP(fSales[[#This Row],[SalesRepID]],dPSalesRep[SalesRepID],dPSalesRep[Region])</f>
        <v>East</v>
      </c>
      <c r="P479" t="str">
        <f>_xlfn.XLOOKUP(fSales[[#This Row],[ProductID]],dProduct[ProductID],dProduct[Product])</f>
        <v>Kiwi</v>
      </c>
      <c r="Q479">
        <f>_xlfn.XLOOKUP(fSales[[#This Row],[ProductID]],dProduct[ProductID],dProduct[CratePrice])-_xlfn.XLOOKUP(fSales[[#This Row],[ProductID]],dProduct[ProductID],dProduct[CrateCost])</f>
        <v>9.8999999999999986</v>
      </c>
      <c r="R479">
        <f>_xlfn.XLOOKUP(fSales[[#This Row],[ProductID]],dProduct[ProductID],dProduct[CratePrice])</f>
        <v>22.5</v>
      </c>
      <c r="S479">
        <f>_xlfn.XLOOKUP(fSales[[#This Row],[ProductID]],dProduct[ProductID],dProduct[CrateCost])</f>
        <v>12.600000000000001</v>
      </c>
    </row>
    <row r="480" spans="7:19" x14ac:dyDescent="0.25">
      <c r="G480" s="2">
        <v>45609</v>
      </c>
      <c r="H480">
        <v>132</v>
      </c>
      <c r="I480" t="s">
        <v>19</v>
      </c>
      <c r="J480" t="s">
        <v>29</v>
      </c>
      <c r="K480">
        <f>_xlfn.XLOOKUP(fSales[[#This Row],[ProductID]],dProduct[ProductID],dProduct[CratePrice])*fSales[[#This Row],[Units]]</f>
        <v>4620</v>
      </c>
      <c r="L480">
        <f>fSales[[#This Row],[Total sales]]-_xlfn.XLOOKUP(fSales[[#This Row],[ProductID]],dProduct[ProductID],dProduct[CrateCost])*fSales[[#This Row],[Units]]</f>
        <v>2587.1999999999998</v>
      </c>
      <c r="M480">
        <f>(_xlfn.XLOOKUP(fSales[[#This Row],[ProductID]],dProduct[ProductID],dProduct[CratePrice])-_xlfn.XLOOKUP(fSales[[#This Row],[ProductID]],dProduct[ProductID],dProduct[CrateCost]))/_xlfn.XLOOKUP(fSales[[#This Row],[ProductID]],dProduct[ProductID],dProduct[CratePrice])</f>
        <v>0.56000000000000005</v>
      </c>
      <c r="N480" t="str">
        <f>_xlfn.XLOOKUP(fSales[[#This Row],[SalesRepID]],dPSalesRep[SalesRepID],dPSalesRep[SalesRep])</f>
        <v>Sioux Best</v>
      </c>
      <c r="O480" t="str">
        <f>_xlfn.XLOOKUP(fSales[[#This Row],[SalesRepID]],dPSalesRep[SalesRepID],dPSalesRep[Region])</f>
        <v>West</v>
      </c>
      <c r="P480" t="str">
        <f>_xlfn.XLOOKUP(fSales[[#This Row],[ProductID]],dProduct[ProductID],dProduct[Product])</f>
        <v>Apple</v>
      </c>
      <c r="Q480">
        <f>_xlfn.XLOOKUP(fSales[[#This Row],[ProductID]],dProduct[ProductID],dProduct[CratePrice])-_xlfn.XLOOKUP(fSales[[#This Row],[ProductID]],dProduct[ProductID],dProduct[CrateCost])</f>
        <v>19.600000000000001</v>
      </c>
      <c r="R480">
        <f>_xlfn.XLOOKUP(fSales[[#This Row],[ProductID]],dProduct[ProductID],dProduct[CratePrice])</f>
        <v>35</v>
      </c>
      <c r="S480">
        <f>_xlfn.XLOOKUP(fSales[[#This Row],[ProductID]],dProduct[ProductID],dProduct[CrateCost])</f>
        <v>15.4</v>
      </c>
    </row>
    <row r="481" spans="7:19" x14ac:dyDescent="0.25">
      <c r="G481" s="2">
        <v>45609</v>
      </c>
      <c r="H481">
        <v>84</v>
      </c>
      <c r="I481" t="s">
        <v>26</v>
      </c>
      <c r="J481" t="s">
        <v>52</v>
      </c>
      <c r="K481">
        <f>_xlfn.XLOOKUP(fSales[[#This Row],[ProductID]],dProduct[ProductID],dProduct[CratePrice])*fSales[[#This Row],[Units]]</f>
        <v>2499</v>
      </c>
      <c r="L481">
        <f>fSales[[#This Row],[Total sales]]-_xlfn.XLOOKUP(fSales[[#This Row],[ProductID]],dProduct[ProductID],dProduct[CrateCost])*fSales[[#This Row],[Units]]</f>
        <v>1049.5800000000002</v>
      </c>
      <c r="M481">
        <f>(_xlfn.XLOOKUP(fSales[[#This Row],[ProductID]],dProduct[ProductID],dProduct[CratePrice])-_xlfn.XLOOKUP(fSales[[#This Row],[ProductID]],dProduct[ProductID],dProduct[CrateCost]))/_xlfn.XLOOKUP(fSales[[#This Row],[ProductID]],dProduct[ProductID],dProduct[CratePrice])</f>
        <v>0.42000000000000004</v>
      </c>
      <c r="N481" t="str">
        <f>_xlfn.XLOOKUP(fSales[[#This Row],[SalesRepID]],dPSalesRep[SalesRepID],dPSalesRep[SalesRep])</f>
        <v>Smitty Rad</v>
      </c>
      <c r="O481" t="str">
        <f>_xlfn.XLOOKUP(fSales[[#This Row],[SalesRepID]],dPSalesRep[SalesRepID],dPSalesRep[Region])</f>
        <v>MidWest</v>
      </c>
      <c r="P481" t="str">
        <f>_xlfn.XLOOKUP(fSales[[#This Row],[ProductID]],dProduct[ProductID],dProduct[Product])</f>
        <v>Orange</v>
      </c>
      <c r="Q481">
        <f>_xlfn.XLOOKUP(fSales[[#This Row],[ProductID]],dProduct[ProductID],dProduct[CratePrice])-_xlfn.XLOOKUP(fSales[[#This Row],[ProductID]],dProduct[ProductID],dProduct[CrateCost])</f>
        <v>12.495000000000001</v>
      </c>
      <c r="R481">
        <f>_xlfn.XLOOKUP(fSales[[#This Row],[ProductID]],dProduct[ProductID],dProduct[CratePrice])</f>
        <v>29.75</v>
      </c>
      <c r="S481">
        <f>_xlfn.XLOOKUP(fSales[[#This Row],[ProductID]],dProduct[ProductID],dProduct[CrateCost])</f>
        <v>17.254999999999999</v>
      </c>
    </row>
    <row r="482" spans="7:19" x14ac:dyDescent="0.25">
      <c r="G482" s="2">
        <v>45609</v>
      </c>
      <c r="H482">
        <v>252</v>
      </c>
      <c r="I482" t="s">
        <v>34</v>
      </c>
      <c r="J482" t="s">
        <v>22</v>
      </c>
      <c r="K482">
        <f>_xlfn.XLOOKUP(fSales[[#This Row],[ProductID]],dProduct[ProductID],dProduct[CratePrice])*fSales[[#This Row],[Units]]</f>
        <v>4410</v>
      </c>
      <c r="L482">
        <f>fSales[[#This Row],[Total sales]]-_xlfn.XLOOKUP(fSales[[#This Row],[ProductID]],dProduct[ProductID],dProduct[CrateCost])*fSales[[#This Row],[Units]]</f>
        <v>1455.2999999999997</v>
      </c>
      <c r="M482">
        <f>(_xlfn.XLOOKUP(fSales[[#This Row],[ProductID]],dProduct[ProductID],dProduct[CratePrice])-_xlfn.XLOOKUP(fSales[[#This Row],[ProductID]],dProduct[ProductID],dProduct[CrateCost]))/_xlfn.XLOOKUP(fSales[[#This Row],[ProductID]],dProduct[ProductID],dProduct[CratePrice])</f>
        <v>0.3299999999999999</v>
      </c>
      <c r="N482" t="str">
        <f>_xlfn.XLOOKUP(fSales[[#This Row],[SalesRepID]],dPSalesRep[SalesRepID],dPSalesRep[SalesRep])</f>
        <v>Timmy Kips</v>
      </c>
      <c r="O482" t="str">
        <f>_xlfn.XLOOKUP(fSales[[#This Row],[SalesRepID]],dPSalesRep[SalesRepID],dPSalesRep[Region])</f>
        <v>East</v>
      </c>
      <c r="P482" t="str">
        <f>_xlfn.XLOOKUP(fSales[[#This Row],[ProductID]],dProduct[ProductID],dProduct[Product])</f>
        <v>Banana</v>
      </c>
      <c r="Q482">
        <f>_xlfn.XLOOKUP(fSales[[#This Row],[ProductID]],dProduct[ProductID],dProduct[CratePrice])-_xlfn.XLOOKUP(fSales[[#This Row],[ProductID]],dProduct[ProductID],dProduct[CrateCost])</f>
        <v>5.7749999999999986</v>
      </c>
      <c r="R482">
        <f>_xlfn.XLOOKUP(fSales[[#This Row],[ProductID]],dProduct[ProductID],dProduct[CratePrice])</f>
        <v>17.5</v>
      </c>
      <c r="S482">
        <f>_xlfn.XLOOKUP(fSales[[#This Row],[ProductID]],dProduct[ProductID],dProduct[CrateCost])</f>
        <v>11.725000000000001</v>
      </c>
    </row>
    <row r="483" spans="7:19" x14ac:dyDescent="0.25">
      <c r="G483" s="2">
        <v>45610</v>
      </c>
      <c r="H483">
        <v>144</v>
      </c>
      <c r="I483" t="s">
        <v>28</v>
      </c>
      <c r="J483" t="s">
        <v>22</v>
      </c>
      <c r="K483">
        <f>_xlfn.XLOOKUP(fSales[[#This Row],[ProductID]],dProduct[ProductID],dProduct[CratePrice])*fSales[[#This Row],[Units]]</f>
        <v>6292.8</v>
      </c>
      <c r="L483">
        <f>fSales[[#This Row],[Total sales]]-_xlfn.XLOOKUP(fSales[[#This Row],[ProductID]],dProduct[ProductID],dProduct[CrateCost])*fSales[[#This Row],[Units]]</f>
        <v>2642.9760000000001</v>
      </c>
      <c r="M483">
        <f>(_xlfn.XLOOKUP(fSales[[#This Row],[ProductID]],dProduct[ProductID],dProduct[CratePrice])-_xlfn.XLOOKUP(fSales[[#This Row],[ProductID]],dProduct[ProductID],dProduct[CrateCost]))/_xlfn.XLOOKUP(fSales[[#This Row],[ProductID]],dProduct[ProductID],dProduct[CratePrice])</f>
        <v>0.42000000000000004</v>
      </c>
      <c r="N483" t="str">
        <f>_xlfn.XLOOKUP(fSales[[#This Row],[SalesRepID]],dPSalesRep[SalesRepID],dPSalesRep[SalesRep])</f>
        <v>Timmy Kips</v>
      </c>
      <c r="O483" t="str">
        <f>_xlfn.XLOOKUP(fSales[[#This Row],[SalesRepID]],dPSalesRep[SalesRepID],dPSalesRep[Region])</f>
        <v>East</v>
      </c>
      <c r="P483" t="str">
        <f>_xlfn.XLOOKUP(fSales[[#This Row],[ProductID]],dProduct[ProductID],dProduct[Product])</f>
        <v>Cherry</v>
      </c>
      <c r="Q483">
        <f>_xlfn.XLOOKUP(fSales[[#This Row],[ProductID]],dProduct[ProductID],dProduct[CratePrice])-_xlfn.XLOOKUP(fSales[[#This Row],[ProductID]],dProduct[ProductID],dProduct[CrateCost])</f>
        <v>18.354000000000003</v>
      </c>
      <c r="R483">
        <f>_xlfn.XLOOKUP(fSales[[#This Row],[ProductID]],dProduct[ProductID],dProduct[CratePrice])</f>
        <v>43.7</v>
      </c>
      <c r="S483">
        <f>_xlfn.XLOOKUP(fSales[[#This Row],[ProductID]],dProduct[ProductID],dProduct[CrateCost])</f>
        <v>25.346</v>
      </c>
    </row>
    <row r="484" spans="7:19" x14ac:dyDescent="0.25">
      <c r="G484" s="2">
        <v>45610</v>
      </c>
      <c r="H484">
        <v>240</v>
      </c>
      <c r="I484" t="s">
        <v>19</v>
      </c>
      <c r="J484" t="s">
        <v>52</v>
      </c>
      <c r="K484">
        <f>_xlfn.XLOOKUP(fSales[[#This Row],[ProductID]],dProduct[ProductID],dProduct[CratePrice])*fSales[[#This Row],[Units]]</f>
        <v>8400</v>
      </c>
      <c r="L484">
        <f>fSales[[#This Row],[Total sales]]-_xlfn.XLOOKUP(fSales[[#This Row],[ProductID]],dProduct[ProductID],dProduct[CrateCost])*fSales[[#This Row],[Units]]</f>
        <v>4704</v>
      </c>
      <c r="M484">
        <f>(_xlfn.XLOOKUP(fSales[[#This Row],[ProductID]],dProduct[ProductID],dProduct[CratePrice])-_xlfn.XLOOKUP(fSales[[#This Row],[ProductID]],dProduct[ProductID],dProduct[CrateCost]))/_xlfn.XLOOKUP(fSales[[#This Row],[ProductID]],dProduct[ProductID],dProduct[CratePrice])</f>
        <v>0.56000000000000005</v>
      </c>
      <c r="N484" t="str">
        <f>_xlfn.XLOOKUP(fSales[[#This Row],[SalesRepID]],dPSalesRep[SalesRepID],dPSalesRep[SalesRep])</f>
        <v>Smitty Rad</v>
      </c>
      <c r="O484" t="str">
        <f>_xlfn.XLOOKUP(fSales[[#This Row],[SalesRepID]],dPSalesRep[SalesRepID],dPSalesRep[Region])</f>
        <v>MidWest</v>
      </c>
      <c r="P484" t="str">
        <f>_xlfn.XLOOKUP(fSales[[#This Row],[ProductID]],dProduct[ProductID],dProduct[Product])</f>
        <v>Apple</v>
      </c>
      <c r="Q484">
        <f>_xlfn.XLOOKUP(fSales[[#This Row],[ProductID]],dProduct[ProductID],dProduct[CratePrice])-_xlfn.XLOOKUP(fSales[[#This Row],[ProductID]],dProduct[ProductID],dProduct[CrateCost])</f>
        <v>19.600000000000001</v>
      </c>
      <c r="R484">
        <f>_xlfn.XLOOKUP(fSales[[#This Row],[ProductID]],dProduct[ProductID],dProduct[CratePrice])</f>
        <v>35</v>
      </c>
      <c r="S484">
        <f>_xlfn.XLOOKUP(fSales[[#This Row],[ProductID]],dProduct[ProductID],dProduct[CrateCost])</f>
        <v>15.4</v>
      </c>
    </row>
    <row r="485" spans="7:19" x14ac:dyDescent="0.25">
      <c r="G485" s="2">
        <v>45611</v>
      </c>
      <c r="H485">
        <v>276</v>
      </c>
      <c r="I485" t="s">
        <v>19</v>
      </c>
      <c r="J485" t="s">
        <v>52</v>
      </c>
      <c r="K485">
        <f>_xlfn.XLOOKUP(fSales[[#This Row],[ProductID]],dProduct[ProductID],dProduct[CratePrice])*fSales[[#This Row],[Units]]</f>
        <v>9660</v>
      </c>
      <c r="L485">
        <f>fSales[[#This Row],[Total sales]]-_xlfn.XLOOKUP(fSales[[#This Row],[ProductID]],dProduct[ProductID],dProduct[CrateCost])*fSales[[#This Row],[Units]]</f>
        <v>5409.5999999999995</v>
      </c>
      <c r="M485">
        <f>(_xlfn.XLOOKUP(fSales[[#This Row],[ProductID]],dProduct[ProductID],dProduct[CratePrice])-_xlfn.XLOOKUP(fSales[[#This Row],[ProductID]],dProduct[ProductID],dProduct[CrateCost]))/_xlfn.XLOOKUP(fSales[[#This Row],[ProductID]],dProduct[ProductID],dProduct[CratePrice])</f>
        <v>0.56000000000000005</v>
      </c>
      <c r="N485" t="str">
        <f>_xlfn.XLOOKUP(fSales[[#This Row],[SalesRepID]],dPSalesRep[SalesRepID],dPSalesRep[SalesRep])</f>
        <v>Smitty Rad</v>
      </c>
      <c r="O485" t="str">
        <f>_xlfn.XLOOKUP(fSales[[#This Row],[SalesRepID]],dPSalesRep[SalesRepID],dPSalesRep[Region])</f>
        <v>MidWest</v>
      </c>
      <c r="P485" t="str">
        <f>_xlfn.XLOOKUP(fSales[[#This Row],[ProductID]],dProduct[ProductID],dProduct[Product])</f>
        <v>Apple</v>
      </c>
      <c r="Q485">
        <f>_xlfn.XLOOKUP(fSales[[#This Row],[ProductID]],dProduct[ProductID],dProduct[CratePrice])-_xlfn.XLOOKUP(fSales[[#This Row],[ProductID]],dProduct[ProductID],dProduct[CrateCost])</f>
        <v>19.600000000000001</v>
      </c>
      <c r="R485">
        <f>_xlfn.XLOOKUP(fSales[[#This Row],[ProductID]],dProduct[ProductID],dProduct[CratePrice])</f>
        <v>35</v>
      </c>
      <c r="S485">
        <f>_xlfn.XLOOKUP(fSales[[#This Row],[ProductID]],dProduct[ProductID],dProduct[CrateCost])</f>
        <v>15.4</v>
      </c>
    </row>
    <row r="486" spans="7:19" x14ac:dyDescent="0.25">
      <c r="G486" s="2">
        <v>45612</v>
      </c>
      <c r="H486">
        <v>276</v>
      </c>
      <c r="I486" t="s">
        <v>21</v>
      </c>
      <c r="J486" t="s">
        <v>32</v>
      </c>
      <c r="K486">
        <f>_xlfn.XLOOKUP(fSales[[#This Row],[ProductID]],dProduct[ProductID],dProduct[CratePrice])*fSales[[#This Row],[Units]]</f>
        <v>6210</v>
      </c>
      <c r="L486">
        <f>fSales[[#This Row],[Total sales]]-_xlfn.XLOOKUP(fSales[[#This Row],[ProductID]],dProduct[ProductID],dProduct[CrateCost])*fSales[[#This Row],[Units]]</f>
        <v>2732.3999999999996</v>
      </c>
      <c r="M486">
        <f>(_xlfn.XLOOKUP(fSales[[#This Row],[ProductID]],dProduct[ProductID],dProduct[CratePrice])-_xlfn.XLOOKUP(fSales[[#This Row],[ProductID]],dProduct[ProductID],dProduct[CrateCost]))/_xlfn.XLOOKUP(fSales[[#This Row],[ProductID]],dProduct[ProductID],dProduct[CratePrice])</f>
        <v>0.43999999999999995</v>
      </c>
      <c r="N486" t="str">
        <f>_xlfn.XLOOKUP(fSales[[#This Row],[SalesRepID]],dPSalesRep[SalesRepID],dPSalesRep[SalesRep])</f>
        <v>Shihara Fazzaa</v>
      </c>
      <c r="O486" t="str">
        <f>_xlfn.XLOOKUP(fSales[[#This Row],[SalesRepID]],dPSalesRep[SalesRepID],dPSalesRep[Region])</f>
        <v>East</v>
      </c>
      <c r="P486" t="str">
        <f>_xlfn.XLOOKUP(fSales[[#This Row],[ProductID]],dProduct[ProductID],dProduct[Product])</f>
        <v>Kiwi</v>
      </c>
      <c r="Q486">
        <f>_xlfn.XLOOKUP(fSales[[#This Row],[ProductID]],dProduct[ProductID],dProduct[CratePrice])-_xlfn.XLOOKUP(fSales[[#This Row],[ProductID]],dProduct[ProductID],dProduct[CrateCost])</f>
        <v>9.8999999999999986</v>
      </c>
      <c r="R486">
        <f>_xlfn.XLOOKUP(fSales[[#This Row],[ProductID]],dProduct[ProductID],dProduct[CratePrice])</f>
        <v>22.5</v>
      </c>
      <c r="S486">
        <f>_xlfn.XLOOKUP(fSales[[#This Row],[ProductID]],dProduct[ProductID],dProduct[CrateCost])</f>
        <v>12.600000000000001</v>
      </c>
    </row>
    <row r="487" spans="7:19" x14ac:dyDescent="0.25">
      <c r="G487" s="2">
        <v>45612</v>
      </c>
      <c r="H487">
        <v>204</v>
      </c>
      <c r="I487" t="s">
        <v>28</v>
      </c>
      <c r="J487" t="s">
        <v>22</v>
      </c>
      <c r="K487">
        <f>_xlfn.XLOOKUP(fSales[[#This Row],[ProductID]],dProduct[ProductID],dProduct[CratePrice])*fSales[[#This Row],[Units]]</f>
        <v>8914.8000000000011</v>
      </c>
      <c r="L487">
        <f>fSales[[#This Row],[Total sales]]-_xlfn.XLOOKUP(fSales[[#This Row],[ProductID]],dProduct[ProductID],dProduct[CrateCost])*fSales[[#This Row],[Units]]</f>
        <v>3744.2160000000013</v>
      </c>
      <c r="M487">
        <f>(_xlfn.XLOOKUP(fSales[[#This Row],[ProductID]],dProduct[ProductID],dProduct[CratePrice])-_xlfn.XLOOKUP(fSales[[#This Row],[ProductID]],dProduct[ProductID],dProduct[CrateCost]))/_xlfn.XLOOKUP(fSales[[#This Row],[ProductID]],dProduct[ProductID],dProduct[CratePrice])</f>
        <v>0.42000000000000004</v>
      </c>
      <c r="N487" t="str">
        <f>_xlfn.XLOOKUP(fSales[[#This Row],[SalesRepID]],dPSalesRep[SalesRepID],dPSalesRep[SalesRep])</f>
        <v>Timmy Kips</v>
      </c>
      <c r="O487" t="str">
        <f>_xlfn.XLOOKUP(fSales[[#This Row],[SalesRepID]],dPSalesRep[SalesRepID],dPSalesRep[Region])</f>
        <v>East</v>
      </c>
      <c r="P487" t="str">
        <f>_xlfn.XLOOKUP(fSales[[#This Row],[ProductID]],dProduct[ProductID],dProduct[Product])</f>
        <v>Cherry</v>
      </c>
      <c r="Q487">
        <f>_xlfn.XLOOKUP(fSales[[#This Row],[ProductID]],dProduct[ProductID],dProduct[CratePrice])-_xlfn.XLOOKUP(fSales[[#This Row],[ProductID]],dProduct[ProductID],dProduct[CrateCost])</f>
        <v>18.354000000000003</v>
      </c>
      <c r="R487">
        <f>_xlfn.XLOOKUP(fSales[[#This Row],[ProductID]],dProduct[ProductID],dProduct[CratePrice])</f>
        <v>43.7</v>
      </c>
      <c r="S487">
        <f>_xlfn.XLOOKUP(fSales[[#This Row],[ProductID]],dProduct[ProductID],dProduct[CrateCost])</f>
        <v>25.346</v>
      </c>
    </row>
    <row r="488" spans="7:19" x14ac:dyDescent="0.25">
      <c r="G488" s="2">
        <v>45615</v>
      </c>
      <c r="H488">
        <v>60</v>
      </c>
      <c r="I488" t="s">
        <v>26</v>
      </c>
      <c r="J488" t="s">
        <v>52</v>
      </c>
      <c r="K488">
        <f>_xlfn.XLOOKUP(fSales[[#This Row],[ProductID]],dProduct[ProductID],dProduct[CratePrice])*fSales[[#This Row],[Units]]</f>
        <v>1785</v>
      </c>
      <c r="L488">
        <f>fSales[[#This Row],[Total sales]]-_xlfn.XLOOKUP(fSales[[#This Row],[ProductID]],dProduct[ProductID],dProduct[CrateCost])*fSales[[#This Row],[Units]]</f>
        <v>749.7</v>
      </c>
      <c r="M488">
        <f>(_xlfn.XLOOKUP(fSales[[#This Row],[ProductID]],dProduct[ProductID],dProduct[CratePrice])-_xlfn.XLOOKUP(fSales[[#This Row],[ProductID]],dProduct[ProductID],dProduct[CrateCost]))/_xlfn.XLOOKUP(fSales[[#This Row],[ProductID]],dProduct[ProductID],dProduct[CratePrice])</f>
        <v>0.42000000000000004</v>
      </c>
      <c r="N488" t="str">
        <f>_xlfn.XLOOKUP(fSales[[#This Row],[SalesRepID]],dPSalesRep[SalesRepID],dPSalesRep[SalesRep])</f>
        <v>Smitty Rad</v>
      </c>
      <c r="O488" t="str">
        <f>_xlfn.XLOOKUP(fSales[[#This Row],[SalesRepID]],dPSalesRep[SalesRepID],dPSalesRep[Region])</f>
        <v>MidWest</v>
      </c>
      <c r="P488" t="str">
        <f>_xlfn.XLOOKUP(fSales[[#This Row],[ProductID]],dProduct[ProductID],dProduct[Product])</f>
        <v>Orange</v>
      </c>
      <c r="Q488">
        <f>_xlfn.XLOOKUP(fSales[[#This Row],[ProductID]],dProduct[ProductID],dProduct[CratePrice])-_xlfn.XLOOKUP(fSales[[#This Row],[ProductID]],dProduct[ProductID],dProduct[CrateCost])</f>
        <v>12.495000000000001</v>
      </c>
      <c r="R488">
        <f>_xlfn.XLOOKUP(fSales[[#This Row],[ProductID]],dProduct[ProductID],dProduct[CratePrice])</f>
        <v>29.75</v>
      </c>
      <c r="S488">
        <f>_xlfn.XLOOKUP(fSales[[#This Row],[ProductID]],dProduct[ProductID],dProduct[CrateCost])</f>
        <v>17.254999999999999</v>
      </c>
    </row>
    <row r="489" spans="7:19" x14ac:dyDescent="0.25">
      <c r="G489" s="2">
        <v>45617</v>
      </c>
      <c r="H489">
        <v>144</v>
      </c>
      <c r="I489" t="s">
        <v>34</v>
      </c>
      <c r="J489" t="s">
        <v>32</v>
      </c>
      <c r="K489">
        <f>_xlfn.XLOOKUP(fSales[[#This Row],[ProductID]],dProduct[ProductID],dProduct[CratePrice])*fSales[[#This Row],[Units]]</f>
        <v>2520</v>
      </c>
      <c r="L489">
        <f>fSales[[#This Row],[Total sales]]-_xlfn.XLOOKUP(fSales[[#This Row],[ProductID]],dProduct[ProductID],dProduct[CrateCost])*fSales[[#This Row],[Units]]</f>
        <v>831.59999999999991</v>
      </c>
      <c r="M489">
        <f>(_xlfn.XLOOKUP(fSales[[#This Row],[ProductID]],dProduct[ProductID],dProduct[CratePrice])-_xlfn.XLOOKUP(fSales[[#This Row],[ProductID]],dProduct[ProductID],dProduct[CrateCost]))/_xlfn.XLOOKUP(fSales[[#This Row],[ProductID]],dProduct[ProductID],dProduct[CratePrice])</f>
        <v>0.3299999999999999</v>
      </c>
      <c r="N489" t="str">
        <f>_xlfn.XLOOKUP(fSales[[#This Row],[SalesRepID]],dPSalesRep[SalesRepID],dPSalesRep[SalesRep])</f>
        <v>Shihara Fazzaa</v>
      </c>
      <c r="O489" t="str">
        <f>_xlfn.XLOOKUP(fSales[[#This Row],[SalesRepID]],dPSalesRep[SalesRepID],dPSalesRep[Region])</f>
        <v>East</v>
      </c>
      <c r="P489" t="str">
        <f>_xlfn.XLOOKUP(fSales[[#This Row],[ProductID]],dProduct[ProductID],dProduct[Product])</f>
        <v>Banana</v>
      </c>
      <c r="Q489">
        <f>_xlfn.XLOOKUP(fSales[[#This Row],[ProductID]],dProduct[ProductID],dProduct[CratePrice])-_xlfn.XLOOKUP(fSales[[#This Row],[ProductID]],dProduct[ProductID],dProduct[CrateCost])</f>
        <v>5.7749999999999986</v>
      </c>
      <c r="R489">
        <f>_xlfn.XLOOKUP(fSales[[#This Row],[ProductID]],dProduct[ProductID],dProduct[CratePrice])</f>
        <v>17.5</v>
      </c>
      <c r="S489">
        <f>_xlfn.XLOOKUP(fSales[[#This Row],[ProductID]],dProduct[ProductID],dProduct[CrateCost])</f>
        <v>11.725000000000001</v>
      </c>
    </row>
    <row r="490" spans="7:19" x14ac:dyDescent="0.25">
      <c r="G490" s="2">
        <v>45618</v>
      </c>
      <c r="H490">
        <v>216</v>
      </c>
      <c r="I490" t="s">
        <v>26</v>
      </c>
      <c r="J490" t="s">
        <v>32</v>
      </c>
      <c r="K490">
        <f>_xlfn.XLOOKUP(fSales[[#This Row],[ProductID]],dProduct[ProductID],dProduct[CratePrice])*fSales[[#This Row],[Units]]</f>
        <v>6426</v>
      </c>
      <c r="L490">
        <f>fSales[[#This Row],[Total sales]]-_xlfn.XLOOKUP(fSales[[#This Row],[ProductID]],dProduct[ProductID],dProduct[CrateCost])*fSales[[#This Row],[Units]]</f>
        <v>2698.92</v>
      </c>
      <c r="M490">
        <f>(_xlfn.XLOOKUP(fSales[[#This Row],[ProductID]],dProduct[ProductID],dProduct[CratePrice])-_xlfn.XLOOKUP(fSales[[#This Row],[ProductID]],dProduct[ProductID],dProduct[CrateCost]))/_xlfn.XLOOKUP(fSales[[#This Row],[ProductID]],dProduct[ProductID],dProduct[CratePrice])</f>
        <v>0.42000000000000004</v>
      </c>
      <c r="N490" t="str">
        <f>_xlfn.XLOOKUP(fSales[[#This Row],[SalesRepID]],dPSalesRep[SalesRepID],dPSalesRep[SalesRep])</f>
        <v>Shihara Fazzaa</v>
      </c>
      <c r="O490" t="str">
        <f>_xlfn.XLOOKUP(fSales[[#This Row],[SalesRepID]],dPSalesRep[SalesRepID],dPSalesRep[Region])</f>
        <v>East</v>
      </c>
      <c r="P490" t="str">
        <f>_xlfn.XLOOKUP(fSales[[#This Row],[ProductID]],dProduct[ProductID],dProduct[Product])</f>
        <v>Orange</v>
      </c>
      <c r="Q490">
        <f>_xlfn.XLOOKUP(fSales[[#This Row],[ProductID]],dProduct[ProductID],dProduct[CratePrice])-_xlfn.XLOOKUP(fSales[[#This Row],[ProductID]],dProduct[ProductID],dProduct[CrateCost])</f>
        <v>12.495000000000001</v>
      </c>
      <c r="R490">
        <f>_xlfn.XLOOKUP(fSales[[#This Row],[ProductID]],dProduct[ProductID],dProduct[CratePrice])</f>
        <v>29.75</v>
      </c>
      <c r="S490">
        <f>_xlfn.XLOOKUP(fSales[[#This Row],[ProductID]],dProduct[ProductID],dProduct[CrateCost])</f>
        <v>17.254999999999999</v>
      </c>
    </row>
    <row r="491" spans="7:19" x14ac:dyDescent="0.25">
      <c r="G491" s="2">
        <v>45618</v>
      </c>
      <c r="H491">
        <v>180</v>
      </c>
      <c r="I491" t="s">
        <v>26</v>
      </c>
      <c r="J491" t="s">
        <v>22</v>
      </c>
      <c r="K491">
        <f>_xlfn.XLOOKUP(fSales[[#This Row],[ProductID]],dProduct[ProductID],dProduct[CratePrice])*fSales[[#This Row],[Units]]</f>
        <v>5355</v>
      </c>
      <c r="L491">
        <f>fSales[[#This Row],[Total sales]]-_xlfn.XLOOKUP(fSales[[#This Row],[ProductID]],dProduct[ProductID],dProduct[CrateCost])*fSales[[#This Row],[Units]]</f>
        <v>2249.1000000000004</v>
      </c>
      <c r="M491">
        <f>(_xlfn.XLOOKUP(fSales[[#This Row],[ProductID]],dProduct[ProductID],dProduct[CratePrice])-_xlfn.XLOOKUP(fSales[[#This Row],[ProductID]],dProduct[ProductID],dProduct[CrateCost]))/_xlfn.XLOOKUP(fSales[[#This Row],[ProductID]],dProduct[ProductID],dProduct[CratePrice])</f>
        <v>0.42000000000000004</v>
      </c>
      <c r="N491" t="str">
        <f>_xlfn.XLOOKUP(fSales[[#This Row],[SalesRepID]],dPSalesRep[SalesRepID],dPSalesRep[SalesRep])</f>
        <v>Timmy Kips</v>
      </c>
      <c r="O491" t="str">
        <f>_xlfn.XLOOKUP(fSales[[#This Row],[SalesRepID]],dPSalesRep[SalesRepID],dPSalesRep[Region])</f>
        <v>East</v>
      </c>
      <c r="P491" t="str">
        <f>_xlfn.XLOOKUP(fSales[[#This Row],[ProductID]],dProduct[ProductID],dProduct[Product])</f>
        <v>Orange</v>
      </c>
      <c r="Q491">
        <f>_xlfn.XLOOKUP(fSales[[#This Row],[ProductID]],dProduct[ProductID],dProduct[CratePrice])-_xlfn.XLOOKUP(fSales[[#This Row],[ProductID]],dProduct[ProductID],dProduct[CrateCost])</f>
        <v>12.495000000000001</v>
      </c>
      <c r="R491">
        <f>_xlfn.XLOOKUP(fSales[[#This Row],[ProductID]],dProduct[ProductID],dProduct[CratePrice])</f>
        <v>29.75</v>
      </c>
      <c r="S491">
        <f>_xlfn.XLOOKUP(fSales[[#This Row],[ProductID]],dProduct[ProductID],dProduct[CrateCost])</f>
        <v>17.254999999999999</v>
      </c>
    </row>
    <row r="492" spans="7:19" x14ac:dyDescent="0.25">
      <c r="G492" s="2">
        <v>45619</v>
      </c>
      <c r="H492">
        <v>216</v>
      </c>
      <c r="I492" t="s">
        <v>28</v>
      </c>
      <c r="J492" t="s">
        <v>52</v>
      </c>
      <c r="K492">
        <f>_xlfn.XLOOKUP(fSales[[#This Row],[ProductID]],dProduct[ProductID],dProduct[CratePrice])*fSales[[#This Row],[Units]]</f>
        <v>9439.2000000000007</v>
      </c>
      <c r="L492">
        <f>fSales[[#This Row],[Total sales]]-_xlfn.XLOOKUP(fSales[[#This Row],[ProductID]],dProduct[ProductID],dProduct[CrateCost])*fSales[[#This Row],[Units]]</f>
        <v>3964.4640000000009</v>
      </c>
      <c r="M492">
        <f>(_xlfn.XLOOKUP(fSales[[#This Row],[ProductID]],dProduct[ProductID],dProduct[CratePrice])-_xlfn.XLOOKUP(fSales[[#This Row],[ProductID]],dProduct[ProductID],dProduct[CrateCost]))/_xlfn.XLOOKUP(fSales[[#This Row],[ProductID]],dProduct[ProductID],dProduct[CratePrice])</f>
        <v>0.42000000000000004</v>
      </c>
      <c r="N492" t="str">
        <f>_xlfn.XLOOKUP(fSales[[#This Row],[SalesRepID]],dPSalesRep[SalesRepID],dPSalesRep[SalesRep])</f>
        <v>Smitty Rad</v>
      </c>
      <c r="O492" t="str">
        <f>_xlfn.XLOOKUP(fSales[[#This Row],[SalesRepID]],dPSalesRep[SalesRepID],dPSalesRep[Region])</f>
        <v>MidWest</v>
      </c>
      <c r="P492" t="str">
        <f>_xlfn.XLOOKUP(fSales[[#This Row],[ProductID]],dProduct[ProductID],dProduct[Product])</f>
        <v>Cherry</v>
      </c>
      <c r="Q492">
        <f>_xlfn.XLOOKUP(fSales[[#This Row],[ProductID]],dProduct[ProductID],dProduct[CratePrice])-_xlfn.XLOOKUP(fSales[[#This Row],[ProductID]],dProduct[ProductID],dProduct[CrateCost])</f>
        <v>18.354000000000003</v>
      </c>
      <c r="R492">
        <f>_xlfn.XLOOKUP(fSales[[#This Row],[ProductID]],dProduct[ProductID],dProduct[CratePrice])</f>
        <v>43.7</v>
      </c>
      <c r="S492">
        <f>_xlfn.XLOOKUP(fSales[[#This Row],[ProductID]],dProduct[ProductID],dProduct[CrateCost])</f>
        <v>25.346</v>
      </c>
    </row>
    <row r="493" spans="7:19" x14ac:dyDescent="0.25">
      <c r="G493" s="2">
        <v>45619</v>
      </c>
      <c r="H493">
        <v>204</v>
      </c>
      <c r="I493" t="s">
        <v>34</v>
      </c>
      <c r="J493" t="s">
        <v>37</v>
      </c>
      <c r="K493">
        <f>_xlfn.XLOOKUP(fSales[[#This Row],[ProductID]],dProduct[ProductID],dProduct[CratePrice])*fSales[[#This Row],[Units]]</f>
        <v>3570</v>
      </c>
      <c r="L493">
        <f>fSales[[#This Row],[Total sales]]-_xlfn.XLOOKUP(fSales[[#This Row],[ProductID]],dProduct[ProductID],dProduct[CrateCost])*fSales[[#This Row],[Units]]</f>
        <v>1178.0999999999999</v>
      </c>
      <c r="M493">
        <f>(_xlfn.XLOOKUP(fSales[[#This Row],[ProductID]],dProduct[ProductID],dProduct[CratePrice])-_xlfn.XLOOKUP(fSales[[#This Row],[ProductID]],dProduct[ProductID],dProduct[CrateCost]))/_xlfn.XLOOKUP(fSales[[#This Row],[ProductID]],dProduct[ProductID],dProduct[CratePrice])</f>
        <v>0.3299999999999999</v>
      </c>
      <c r="N493" t="str">
        <f>_xlfn.XLOOKUP(fSales[[#This Row],[SalesRepID]],dPSalesRep[SalesRepID],dPSalesRep[SalesRep])</f>
        <v>Chantel Mims</v>
      </c>
      <c r="O493" t="str">
        <f>_xlfn.XLOOKUP(fSales[[#This Row],[SalesRepID]],dPSalesRep[SalesRepID],dPSalesRep[Region])</f>
        <v>NW</v>
      </c>
      <c r="P493" t="str">
        <f>_xlfn.XLOOKUP(fSales[[#This Row],[ProductID]],dProduct[ProductID],dProduct[Product])</f>
        <v>Banana</v>
      </c>
      <c r="Q493">
        <f>_xlfn.XLOOKUP(fSales[[#This Row],[ProductID]],dProduct[ProductID],dProduct[CratePrice])-_xlfn.XLOOKUP(fSales[[#This Row],[ProductID]],dProduct[ProductID],dProduct[CrateCost])</f>
        <v>5.7749999999999986</v>
      </c>
      <c r="R493">
        <f>_xlfn.XLOOKUP(fSales[[#This Row],[ProductID]],dProduct[ProductID],dProduct[CratePrice])</f>
        <v>17.5</v>
      </c>
      <c r="S493">
        <f>_xlfn.XLOOKUP(fSales[[#This Row],[ProductID]],dProduct[ProductID],dProduct[CrateCost])</f>
        <v>11.725000000000001</v>
      </c>
    </row>
    <row r="494" spans="7:19" x14ac:dyDescent="0.25">
      <c r="G494" s="2">
        <v>45620</v>
      </c>
      <c r="H494">
        <v>180</v>
      </c>
      <c r="I494" t="s">
        <v>19</v>
      </c>
      <c r="J494" t="s">
        <v>52</v>
      </c>
      <c r="K494">
        <f>_xlfn.XLOOKUP(fSales[[#This Row],[ProductID]],dProduct[ProductID],dProduct[CratePrice])*fSales[[#This Row],[Units]]</f>
        <v>6300</v>
      </c>
      <c r="L494">
        <f>fSales[[#This Row],[Total sales]]-_xlfn.XLOOKUP(fSales[[#This Row],[ProductID]],dProduct[ProductID],dProduct[CrateCost])*fSales[[#This Row],[Units]]</f>
        <v>3528</v>
      </c>
      <c r="M494">
        <f>(_xlfn.XLOOKUP(fSales[[#This Row],[ProductID]],dProduct[ProductID],dProduct[CratePrice])-_xlfn.XLOOKUP(fSales[[#This Row],[ProductID]],dProduct[ProductID],dProduct[CrateCost]))/_xlfn.XLOOKUP(fSales[[#This Row],[ProductID]],dProduct[ProductID],dProduct[CratePrice])</f>
        <v>0.56000000000000005</v>
      </c>
      <c r="N494" t="str">
        <f>_xlfn.XLOOKUP(fSales[[#This Row],[SalesRepID]],dPSalesRep[SalesRepID],dPSalesRep[SalesRep])</f>
        <v>Smitty Rad</v>
      </c>
      <c r="O494" t="str">
        <f>_xlfn.XLOOKUP(fSales[[#This Row],[SalesRepID]],dPSalesRep[SalesRepID],dPSalesRep[Region])</f>
        <v>MidWest</v>
      </c>
      <c r="P494" t="str">
        <f>_xlfn.XLOOKUP(fSales[[#This Row],[ProductID]],dProduct[ProductID],dProduct[Product])</f>
        <v>Apple</v>
      </c>
      <c r="Q494">
        <f>_xlfn.XLOOKUP(fSales[[#This Row],[ProductID]],dProduct[ProductID],dProduct[CratePrice])-_xlfn.XLOOKUP(fSales[[#This Row],[ProductID]],dProduct[ProductID],dProduct[CrateCost])</f>
        <v>19.600000000000001</v>
      </c>
      <c r="R494">
        <f>_xlfn.XLOOKUP(fSales[[#This Row],[ProductID]],dProduct[ProductID],dProduct[CratePrice])</f>
        <v>35</v>
      </c>
      <c r="S494">
        <f>_xlfn.XLOOKUP(fSales[[#This Row],[ProductID]],dProduct[ProductID],dProduct[CrateCost])</f>
        <v>15.4</v>
      </c>
    </row>
    <row r="495" spans="7:19" x14ac:dyDescent="0.25">
      <c r="G495" s="2">
        <v>45621</v>
      </c>
      <c r="H495">
        <v>240</v>
      </c>
      <c r="I495" t="s">
        <v>19</v>
      </c>
      <c r="J495" t="s">
        <v>37</v>
      </c>
      <c r="K495">
        <f>_xlfn.XLOOKUP(fSales[[#This Row],[ProductID]],dProduct[ProductID],dProduct[CratePrice])*fSales[[#This Row],[Units]]</f>
        <v>8400</v>
      </c>
      <c r="L495">
        <f>fSales[[#This Row],[Total sales]]-_xlfn.XLOOKUP(fSales[[#This Row],[ProductID]],dProduct[ProductID],dProduct[CrateCost])*fSales[[#This Row],[Units]]</f>
        <v>4704</v>
      </c>
      <c r="M495">
        <f>(_xlfn.XLOOKUP(fSales[[#This Row],[ProductID]],dProduct[ProductID],dProduct[CratePrice])-_xlfn.XLOOKUP(fSales[[#This Row],[ProductID]],dProduct[ProductID],dProduct[CrateCost]))/_xlfn.XLOOKUP(fSales[[#This Row],[ProductID]],dProduct[ProductID],dProduct[CratePrice])</f>
        <v>0.56000000000000005</v>
      </c>
      <c r="N495" t="str">
        <f>_xlfn.XLOOKUP(fSales[[#This Row],[SalesRepID]],dPSalesRep[SalesRepID],dPSalesRep[SalesRep])</f>
        <v>Chantel Mims</v>
      </c>
      <c r="O495" t="str">
        <f>_xlfn.XLOOKUP(fSales[[#This Row],[SalesRepID]],dPSalesRep[SalesRepID],dPSalesRep[Region])</f>
        <v>NW</v>
      </c>
      <c r="P495" t="str">
        <f>_xlfn.XLOOKUP(fSales[[#This Row],[ProductID]],dProduct[ProductID],dProduct[Product])</f>
        <v>Apple</v>
      </c>
      <c r="Q495">
        <f>_xlfn.XLOOKUP(fSales[[#This Row],[ProductID]],dProduct[ProductID],dProduct[CratePrice])-_xlfn.XLOOKUP(fSales[[#This Row],[ProductID]],dProduct[ProductID],dProduct[CrateCost])</f>
        <v>19.600000000000001</v>
      </c>
      <c r="R495">
        <f>_xlfn.XLOOKUP(fSales[[#This Row],[ProductID]],dProduct[ProductID],dProduct[CratePrice])</f>
        <v>35</v>
      </c>
      <c r="S495">
        <f>_xlfn.XLOOKUP(fSales[[#This Row],[ProductID]],dProduct[ProductID],dProduct[CrateCost])</f>
        <v>15.4</v>
      </c>
    </row>
    <row r="496" spans="7:19" x14ac:dyDescent="0.25">
      <c r="G496" s="2">
        <v>45621</v>
      </c>
      <c r="H496">
        <v>120</v>
      </c>
      <c r="I496" t="s">
        <v>34</v>
      </c>
      <c r="J496" t="s">
        <v>37</v>
      </c>
      <c r="K496">
        <f>_xlfn.XLOOKUP(fSales[[#This Row],[ProductID]],dProduct[ProductID],dProduct[CratePrice])*fSales[[#This Row],[Units]]</f>
        <v>2100</v>
      </c>
      <c r="L496">
        <f>fSales[[#This Row],[Total sales]]-_xlfn.XLOOKUP(fSales[[#This Row],[ProductID]],dProduct[ProductID],dProduct[CrateCost])*fSales[[#This Row],[Units]]</f>
        <v>692.99999999999977</v>
      </c>
      <c r="M496">
        <f>(_xlfn.XLOOKUP(fSales[[#This Row],[ProductID]],dProduct[ProductID],dProduct[CratePrice])-_xlfn.XLOOKUP(fSales[[#This Row],[ProductID]],dProduct[ProductID],dProduct[CrateCost]))/_xlfn.XLOOKUP(fSales[[#This Row],[ProductID]],dProduct[ProductID],dProduct[CratePrice])</f>
        <v>0.3299999999999999</v>
      </c>
      <c r="N496" t="str">
        <f>_xlfn.XLOOKUP(fSales[[#This Row],[SalesRepID]],dPSalesRep[SalesRepID],dPSalesRep[SalesRep])</f>
        <v>Chantel Mims</v>
      </c>
      <c r="O496" t="str">
        <f>_xlfn.XLOOKUP(fSales[[#This Row],[SalesRepID]],dPSalesRep[SalesRepID],dPSalesRep[Region])</f>
        <v>NW</v>
      </c>
      <c r="P496" t="str">
        <f>_xlfn.XLOOKUP(fSales[[#This Row],[ProductID]],dProduct[ProductID],dProduct[Product])</f>
        <v>Banana</v>
      </c>
      <c r="Q496">
        <f>_xlfn.XLOOKUP(fSales[[#This Row],[ProductID]],dProduct[ProductID],dProduct[CratePrice])-_xlfn.XLOOKUP(fSales[[#This Row],[ProductID]],dProduct[ProductID],dProduct[CrateCost])</f>
        <v>5.7749999999999986</v>
      </c>
      <c r="R496">
        <f>_xlfn.XLOOKUP(fSales[[#This Row],[ProductID]],dProduct[ProductID],dProduct[CratePrice])</f>
        <v>17.5</v>
      </c>
      <c r="S496">
        <f>_xlfn.XLOOKUP(fSales[[#This Row],[ProductID]],dProduct[ProductID],dProduct[CrateCost])</f>
        <v>11.725000000000001</v>
      </c>
    </row>
    <row r="497" spans="7:19" x14ac:dyDescent="0.25">
      <c r="G497" s="2">
        <v>45623</v>
      </c>
      <c r="H497">
        <v>276</v>
      </c>
      <c r="I497" t="s">
        <v>28</v>
      </c>
      <c r="J497" t="s">
        <v>32</v>
      </c>
      <c r="K497">
        <f>_xlfn.XLOOKUP(fSales[[#This Row],[ProductID]],dProduct[ProductID],dProduct[CratePrice])*fSales[[#This Row],[Units]]</f>
        <v>12061.2</v>
      </c>
      <c r="L497">
        <f>fSales[[#This Row],[Total sales]]-_xlfn.XLOOKUP(fSales[[#This Row],[ProductID]],dProduct[ProductID],dProduct[CrateCost])*fSales[[#This Row],[Units]]</f>
        <v>5065.7040000000006</v>
      </c>
      <c r="M497">
        <f>(_xlfn.XLOOKUP(fSales[[#This Row],[ProductID]],dProduct[ProductID],dProduct[CratePrice])-_xlfn.XLOOKUP(fSales[[#This Row],[ProductID]],dProduct[ProductID],dProduct[CrateCost]))/_xlfn.XLOOKUP(fSales[[#This Row],[ProductID]],dProduct[ProductID],dProduct[CratePrice])</f>
        <v>0.42000000000000004</v>
      </c>
      <c r="N497" t="str">
        <f>_xlfn.XLOOKUP(fSales[[#This Row],[SalesRepID]],dPSalesRep[SalesRepID],dPSalesRep[SalesRep])</f>
        <v>Shihara Fazzaa</v>
      </c>
      <c r="O497" t="str">
        <f>_xlfn.XLOOKUP(fSales[[#This Row],[SalesRepID]],dPSalesRep[SalesRepID],dPSalesRep[Region])</f>
        <v>East</v>
      </c>
      <c r="P497" t="str">
        <f>_xlfn.XLOOKUP(fSales[[#This Row],[ProductID]],dProduct[ProductID],dProduct[Product])</f>
        <v>Cherry</v>
      </c>
      <c r="Q497">
        <f>_xlfn.XLOOKUP(fSales[[#This Row],[ProductID]],dProduct[ProductID],dProduct[CratePrice])-_xlfn.XLOOKUP(fSales[[#This Row],[ProductID]],dProduct[ProductID],dProduct[CrateCost])</f>
        <v>18.354000000000003</v>
      </c>
      <c r="R497">
        <f>_xlfn.XLOOKUP(fSales[[#This Row],[ProductID]],dProduct[ProductID],dProduct[CratePrice])</f>
        <v>43.7</v>
      </c>
      <c r="S497">
        <f>_xlfn.XLOOKUP(fSales[[#This Row],[ProductID]],dProduct[ProductID],dProduct[CrateCost])</f>
        <v>25.346</v>
      </c>
    </row>
    <row r="498" spans="7:19" x14ac:dyDescent="0.25">
      <c r="G498" s="2">
        <v>45623</v>
      </c>
      <c r="H498">
        <v>84</v>
      </c>
      <c r="I498" t="s">
        <v>26</v>
      </c>
      <c r="J498" t="s">
        <v>29</v>
      </c>
      <c r="K498">
        <f>_xlfn.XLOOKUP(fSales[[#This Row],[ProductID]],dProduct[ProductID],dProduct[CratePrice])*fSales[[#This Row],[Units]]</f>
        <v>2499</v>
      </c>
      <c r="L498">
        <f>fSales[[#This Row],[Total sales]]-_xlfn.XLOOKUP(fSales[[#This Row],[ProductID]],dProduct[ProductID],dProduct[CrateCost])*fSales[[#This Row],[Units]]</f>
        <v>1049.5800000000002</v>
      </c>
      <c r="M498">
        <f>(_xlfn.XLOOKUP(fSales[[#This Row],[ProductID]],dProduct[ProductID],dProduct[CratePrice])-_xlfn.XLOOKUP(fSales[[#This Row],[ProductID]],dProduct[ProductID],dProduct[CrateCost]))/_xlfn.XLOOKUP(fSales[[#This Row],[ProductID]],dProduct[ProductID],dProduct[CratePrice])</f>
        <v>0.42000000000000004</v>
      </c>
      <c r="N498" t="str">
        <f>_xlfn.XLOOKUP(fSales[[#This Row],[SalesRepID]],dPSalesRep[SalesRepID],dPSalesRep[SalesRep])</f>
        <v>Sioux Best</v>
      </c>
      <c r="O498" t="str">
        <f>_xlfn.XLOOKUP(fSales[[#This Row],[SalesRepID]],dPSalesRep[SalesRepID],dPSalesRep[Region])</f>
        <v>West</v>
      </c>
      <c r="P498" t="str">
        <f>_xlfn.XLOOKUP(fSales[[#This Row],[ProductID]],dProduct[ProductID],dProduct[Product])</f>
        <v>Orange</v>
      </c>
      <c r="Q498">
        <f>_xlfn.XLOOKUP(fSales[[#This Row],[ProductID]],dProduct[ProductID],dProduct[CratePrice])-_xlfn.XLOOKUP(fSales[[#This Row],[ProductID]],dProduct[ProductID],dProduct[CrateCost])</f>
        <v>12.495000000000001</v>
      </c>
      <c r="R498">
        <f>_xlfn.XLOOKUP(fSales[[#This Row],[ProductID]],dProduct[ProductID],dProduct[CratePrice])</f>
        <v>29.75</v>
      </c>
      <c r="S498">
        <f>_xlfn.XLOOKUP(fSales[[#This Row],[ProductID]],dProduct[ProductID],dProduct[CrateCost])</f>
        <v>17.254999999999999</v>
      </c>
    </row>
    <row r="499" spans="7:19" x14ac:dyDescent="0.25">
      <c r="G499" s="2">
        <v>45625</v>
      </c>
      <c r="H499">
        <v>96</v>
      </c>
      <c r="I499" t="s">
        <v>21</v>
      </c>
      <c r="J499" t="s">
        <v>32</v>
      </c>
      <c r="K499">
        <f>_xlfn.XLOOKUP(fSales[[#This Row],[ProductID]],dProduct[ProductID],dProduct[CratePrice])*fSales[[#This Row],[Units]]</f>
        <v>2160</v>
      </c>
      <c r="L499">
        <f>fSales[[#This Row],[Total sales]]-_xlfn.XLOOKUP(fSales[[#This Row],[ProductID]],dProduct[ProductID],dProduct[CrateCost])*fSales[[#This Row],[Units]]</f>
        <v>950.39999999999986</v>
      </c>
      <c r="M499">
        <f>(_xlfn.XLOOKUP(fSales[[#This Row],[ProductID]],dProduct[ProductID],dProduct[CratePrice])-_xlfn.XLOOKUP(fSales[[#This Row],[ProductID]],dProduct[ProductID],dProduct[CrateCost]))/_xlfn.XLOOKUP(fSales[[#This Row],[ProductID]],dProduct[ProductID],dProduct[CratePrice])</f>
        <v>0.43999999999999995</v>
      </c>
      <c r="N499" t="str">
        <f>_xlfn.XLOOKUP(fSales[[#This Row],[SalesRepID]],dPSalesRep[SalesRepID],dPSalesRep[SalesRep])</f>
        <v>Shihara Fazzaa</v>
      </c>
      <c r="O499" t="str">
        <f>_xlfn.XLOOKUP(fSales[[#This Row],[SalesRepID]],dPSalesRep[SalesRepID],dPSalesRep[Region])</f>
        <v>East</v>
      </c>
      <c r="P499" t="str">
        <f>_xlfn.XLOOKUP(fSales[[#This Row],[ProductID]],dProduct[ProductID],dProduct[Product])</f>
        <v>Kiwi</v>
      </c>
      <c r="Q499">
        <f>_xlfn.XLOOKUP(fSales[[#This Row],[ProductID]],dProduct[ProductID],dProduct[CratePrice])-_xlfn.XLOOKUP(fSales[[#This Row],[ProductID]],dProduct[ProductID],dProduct[CrateCost])</f>
        <v>9.8999999999999986</v>
      </c>
      <c r="R499">
        <f>_xlfn.XLOOKUP(fSales[[#This Row],[ProductID]],dProduct[ProductID],dProduct[CratePrice])</f>
        <v>22.5</v>
      </c>
      <c r="S499">
        <f>_xlfn.XLOOKUP(fSales[[#This Row],[ProductID]],dProduct[ProductID],dProduct[CrateCost])</f>
        <v>12.600000000000001</v>
      </c>
    </row>
    <row r="500" spans="7:19" x14ac:dyDescent="0.25">
      <c r="G500" s="2">
        <v>45626</v>
      </c>
      <c r="H500">
        <v>84</v>
      </c>
      <c r="I500" t="s">
        <v>21</v>
      </c>
      <c r="J500" t="s">
        <v>37</v>
      </c>
      <c r="K500">
        <f>_xlfn.XLOOKUP(fSales[[#This Row],[ProductID]],dProduct[ProductID],dProduct[CratePrice])*fSales[[#This Row],[Units]]</f>
        <v>1890</v>
      </c>
      <c r="L500">
        <f>fSales[[#This Row],[Total sales]]-_xlfn.XLOOKUP(fSales[[#This Row],[ProductID]],dProduct[ProductID],dProduct[CrateCost])*fSales[[#This Row],[Units]]</f>
        <v>831.59999999999991</v>
      </c>
      <c r="M500">
        <f>(_xlfn.XLOOKUP(fSales[[#This Row],[ProductID]],dProduct[ProductID],dProduct[CratePrice])-_xlfn.XLOOKUP(fSales[[#This Row],[ProductID]],dProduct[ProductID],dProduct[CrateCost]))/_xlfn.XLOOKUP(fSales[[#This Row],[ProductID]],dProduct[ProductID],dProduct[CratePrice])</f>
        <v>0.43999999999999995</v>
      </c>
      <c r="N500" t="str">
        <f>_xlfn.XLOOKUP(fSales[[#This Row],[SalesRepID]],dPSalesRep[SalesRepID],dPSalesRep[SalesRep])</f>
        <v>Chantel Mims</v>
      </c>
      <c r="O500" t="str">
        <f>_xlfn.XLOOKUP(fSales[[#This Row],[SalesRepID]],dPSalesRep[SalesRepID],dPSalesRep[Region])</f>
        <v>NW</v>
      </c>
      <c r="P500" t="str">
        <f>_xlfn.XLOOKUP(fSales[[#This Row],[ProductID]],dProduct[ProductID],dProduct[Product])</f>
        <v>Kiwi</v>
      </c>
      <c r="Q500">
        <f>_xlfn.XLOOKUP(fSales[[#This Row],[ProductID]],dProduct[ProductID],dProduct[CratePrice])-_xlfn.XLOOKUP(fSales[[#This Row],[ProductID]],dProduct[ProductID],dProduct[CrateCost])</f>
        <v>9.8999999999999986</v>
      </c>
      <c r="R500">
        <f>_xlfn.XLOOKUP(fSales[[#This Row],[ProductID]],dProduct[ProductID],dProduct[CratePrice])</f>
        <v>22.5</v>
      </c>
      <c r="S500">
        <f>_xlfn.XLOOKUP(fSales[[#This Row],[ProductID]],dProduct[ProductID],dProduct[CrateCost])</f>
        <v>12.600000000000001</v>
      </c>
    </row>
    <row r="501" spans="7:19" x14ac:dyDescent="0.25">
      <c r="G501" s="2">
        <v>45626</v>
      </c>
      <c r="H501">
        <v>72</v>
      </c>
      <c r="I501" t="s">
        <v>26</v>
      </c>
      <c r="J501" t="s">
        <v>32</v>
      </c>
      <c r="K501">
        <f>_xlfn.XLOOKUP(fSales[[#This Row],[ProductID]],dProduct[ProductID],dProduct[CratePrice])*fSales[[#This Row],[Units]]</f>
        <v>2142</v>
      </c>
      <c r="L501">
        <f>fSales[[#This Row],[Total sales]]-_xlfn.XLOOKUP(fSales[[#This Row],[ProductID]],dProduct[ProductID],dProduct[CrateCost])*fSales[[#This Row],[Units]]</f>
        <v>899.6400000000001</v>
      </c>
      <c r="M501">
        <f>(_xlfn.XLOOKUP(fSales[[#This Row],[ProductID]],dProduct[ProductID],dProduct[CratePrice])-_xlfn.XLOOKUP(fSales[[#This Row],[ProductID]],dProduct[ProductID],dProduct[CrateCost]))/_xlfn.XLOOKUP(fSales[[#This Row],[ProductID]],dProduct[ProductID],dProduct[CratePrice])</f>
        <v>0.42000000000000004</v>
      </c>
      <c r="N501" t="str">
        <f>_xlfn.XLOOKUP(fSales[[#This Row],[SalesRepID]],dPSalesRep[SalesRepID],dPSalesRep[SalesRep])</f>
        <v>Shihara Fazzaa</v>
      </c>
      <c r="O501" t="str">
        <f>_xlfn.XLOOKUP(fSales[[#This Row],[SalesRepID]],dPSalesRep[SalesRepID],dPSalesRep[Region])</f>
        <v>East</v>
      </c>
      <c r="P501" t="str">
        <f>_xlfn.XLOOKUP(fSales[[#This Row],[ProductID]],dProduct[ProductID],dProduct[Product])</f>
        <v>Orange</v>
      </c>
      <c r="Q501">
        <f>_xlfn.XLOOKUP(fSales[[#This Row],[ProductID]],dProduct[ProductID],dProduct[CratePrice])-_xlfn.XLOOKUP(fSales[[#This Row],[ProductID]],dProduct[ProductID],dProduct[CrateCost])</f>
        <v>12.495000000000001</v>
      </c>
      <c r="R501">
        <f>_xlfn.XLOOKUP(fSales[[#This Row],[ProductID]],dProduct[ProductID],dProduct[CratePrice])</f>
        <v>29.75</v>
      </c>
      <c r="S501">
        <f>_xlfn.XLOOKUP(fSales[[#This Row],[ProductID]],dProduct[ProductID],dProduct[CrateCost])</f>
        <v>17.254999999999999</v>
      </c>
    </row>
    <row r="502" spans="7:19" x14ac:dyDescent="0.25">
      <c r="G502" s="2">
        <v>45627</v>
      </c>
      <c r="H502">
        <v>24</v>
      </c>
      <c r="I502" t="s">
        <v>21</v>
      </c>
      <c r="J502" t="s">
        <v>52</v>
      </c>
      <c r="K502">
        <f>_xlfn.XLOOKUP(fSales[[#This Row],[ProductID]],dProduct[ProductID],dProduct[CratePrice])*fSales[[#This Row],[Units]]</f>
        <v>540</v>
      </c>
      <c r="L502">
        <f>fSales[[#This Row],[Total sales]]-_xlfn.XLOOKUP(fSales[[#This Row],[ProductID]],dProduct[ProductID],dProduct[CrateCost])*fSales[[#This Row],[Units]]</f>
        <v>237.59999999999997</v>
      </c>
      <c r="M502">
        <f>(_xlfn.XLOOKUP(fSales[[#This Row],[ProductID]],dProduct[ProductID],dProduct[CratePrice])-_xlfn.XLOOKUP(fSales[[#This Row],[ProductID]],dProduct[ProductID],dProduct[CrateCost]))/_xlfn.XLOOKUP(fSales[[#This Row],[ProductID]],dProduct[ProductID],dProduct[CratePrice])</f>
        <v>0.43999999999999995</v>
      </c>
      <c r="N502" t="str">
        <f>_xlfn.XLOOKUP(fSales[[#This Row],[SalesRepID]],dPSalesRep[SalesRepID],dPSalesRep[SalesRep])</f>
        <v>Smitty Rad</v>
      </c>
      <c r="O502" t="str">
        <f>_xlfn.XLOOKUP(fSales[[#This Row],[SalesRepID]],dPSalesRep[SalesRepID],dPSalesRep[Region])</f>
        <v>MidWest</v>
      </c>
      <c r="P502" t="str">
        <f>_xlfn.XLOOKUP(fSales[[#This Row],[ProductID]],dProduct[ProductID],dProduct[Product])</f>
        <v>Kiwi</v>
      </c>
      <c r="Q502">
        <f>_xlfn.XLOOKUP(fSales[[#This Row],[ProductID]],dProduct[ProductID],dProduct[CratePrice])-_xlfn.XLOOKUP(fSales[[#This Row],[ProductID]],dProduct[ProductID],dProduct[CrateCost])</f>
        <v>9.8999999999999986</v>
      </c>
      <c r="R502">
        <f>_xlfn.XLOOKUP(fSales[[#This Row],[ProductID]],dProduct[ProductID],dProduct[CratePrice])</f>
        <v>22.5</v>
      </c>
      <c r="S502">
        <f>_xlfn.XLOOKUP(fSales[[#This Row],[ProductID]],dProduct[ProductID],dProduct[CrateCost])</f>
        <v>12.600000000000001</v>
      </c>
    </row>
    <row r="503" spans="7:19" x14ac:dyDescent="0.25">
      <c r="G503" s="2">
        <v>45627</v>
      </c>
      <c r="H503">
        <v>264</v>
      </c>
      <c r="I503" t="s">
        <v>26</v>
      </c>
      <c r="J503" t="s">
        <v>37</v>
      </c>
      <c r="K503">
        <f>_xlfn.XLOOKUP(fSales[[#This Row],[ProductID]],dProduct[ProductID],dProduct[CratePrice])*fSales[[#This Row],[Units]]</f>
        <v>7854</v>
      </c>
      <c r="L503">
        <f>fSales[[#This Row],[Total sales]]-_xlfn.XLOOKUP(fSales[[#This Row],[ProductID]],dProduct[ProductID],dProduct[CrateCost])*fSales[[#This Row],[Units]]</f>
        <v>3298.6800000000003</v>
      </c>
      <c r="M503">
        <f>(_xlfn.XLOOKUP(fSales[[#This Row],[ProductID]],dProduct[ProductID],dProduct[CratePrice])-_xlfn.XLOOKUP(fSales[[#This Row],[ProductID]],dProduct[ProductID],dProduct[CrateCost]))/_xlfn.XLOOKUP(fSales[[#This Row],[ProductID]],dProduct[ProductID],dProduct[CratePrice])</f>
        <v>0.42000000000000004</v>
      </c>
      <c r="N503" t="str">
        <f>_xlfn.XLOOKUP(fSales[[#This Row],[SalesRepID]],dPSalesRep[SalesRepID],dPSalesRep[SalesRep])</f>
        <v>Chantel Mims</v>
      </c>
      <c r="O503" t="str">
        <f>_xlfn.XLOOKUP(fSales[[#This Row],[SalesRepID]],dPSalesRep[SalesRepID],dPSalesRep[Region])</f>
        <v>NW</v>
      </c>
      <c r="P503" t="str">
        <f>_xlfn.XLOOKUP(fSales[[#This Row],[ProductID]],dProduct[ProductID],dProduct[Product])</f>
        <v>Orange</v>
      </c>
      <c r="Q503">
        <f>_xlfn.XLOOKUP(fSales[[#This Row],[ProductID]],dProduct[ProductID],dProduct[CratePrice])-_xlfn.XLOOKUP(fSales[[#This Row],[ProductID]],dProduct[ProductID],dProduct[CrateCost])</f>
        <v>12.495000000000001</v>
      </c>
      <c r="R503">
        <f>_xlfn.XLOOKUP(fSales[[#This Row],[ProductID]],dProduct[ProductID],dProduct[CratePrice])</f>
        <v>29.75</v>
      </c>
      <c r="S503">
        <f>_xlfn.XLOOKUP(fSales[[#This Row],[ProductID]],dProduct[ProductID],dProduct[CrateCost])</f>
        <v>17.254999999999999</v>
      </c>
    </row>
    <row r="504" spans="7:19" x14ac:dyDescent="0.25">
      <c r="G504" s="2">
        <v>45627</v>
      </c>
      <c r="H504">
        <v>300</v>
      </c>
      <c r="I504" t="s">
        <v>21</v>
      </c>
      <c r="J504" t="s">
        <v>52</v>
      </c>
      <c r="K504">
        <f>_xlfn.XLOOKUP(fSales[[#This Row],[ProductID]],dProduct[ProductID],dProduct[CratePrice])*fSales[[#This Row],[Units]]</f>
        <v>6750</v>
      </c>
      <c r="L504">
        <f>fSales[[#This Row],[Total sales]]-_xlfn.XLOOKUP(fSales[[#This Row],[ProductID]],dProduct[ProductID],dProduct[CrateCost])*fSales[[#This Row],[Units]]</f>
        <v>2969.9999999999995</v>
      </c>
      <c r="M504">
        <f>(_xlfn.XLOOKUP(fSales[[#This Row],[ProductID]],dProduct[ProductID],dProduct[CratePrice])-_xlfn.XLOOKUP(fSales[[#This Row],[ProductID]],dProduct[ProductID],dProduct[CrateCost]))/_xlfn.XLOOKUP(fSales[[#This Row],[ProductID]],dProduct[ProductID],dProduct[CratePrice])</f>
        <v>0.43999999999999995</v>
      </c>
      <c r="N504" t="str">
        <f>_xlfn.XLOOKUP(fSales[[#This Row],[SalesRepID]],dPSalesRep[SalesRepID],dPSalesRep[SalesRep])</f>
        <v>Smitty Rad</v>
      </c>
      <c r="O504" t="str">
        <f>_xlfn.XLOOKUP(fSales[[#This Row],[SalesRepID]],dPSalesRep[SalesRepID],dPSalesRep[Region])</f>
        <v>MidWest</v>
      </c>
      <c r="P504" t="str">
        <f>_xlfn.XLOOKUP(fSales[[#This Row],[ProductID]],dProduct[ProductID],dProduct[Product])</f>
        <v>Kiwi</v>
      </c>
      <c r="Q504">
        <f>_xlfn.XLOOKUP(fSales[[#This Row],[ProductID]],dProduct[ProductID],dProduct[CratePrice])-_xlfn.XLOOKUP(fSales[[#This Row],[ProductID]],dProduct[ProductID],dProduct[CrateCost])</f>
        <v>9.8999999999999986</v>
      </c>
      <c r="R504">
        <f>_xlfn.XLOOKUP(fSales[[#This Row],[ProductID]],dProduct[ProductID],dProduct[CratePrice])</f>
        <v>22.5</v>
      </c>
      <c r="S504">
        <f>_xlfn.XLOOKUP(fSales[[#This Row],[ProductID]],dProduct[ProductID],dProduct[CrateCost])</f>
        <v>12.600000000000001</v>
      </c>
    </row>
    <row r="505" spans="7:19" x14ac:dyDescent="0.25">
      <c r="G505" s="2">
        <v>45628</v>
      </c>
      <c r="H505">
        <v>132</v>
      </c>
      <c r="I505" t="s">
        <v>28</v>
      </c>
      <c r="J505" t="s">
        <v>37</v>
      </c>
      <c r="K505">
        <f>_xlfn.XLOOKUP(fSales[[#This Row],[ProductID]],dProduct[ProductID],dProduct[CratePrice])*fSales[[#This Row],[Units]]</f>
        <v>5768.4000000000005</v>
      </c>
      <c r="L505">
        <f>fSales[[#This Row],[Total sales]]-_xlfn.XLOOKUP(fSales[[#This Row],[ProductID]],dProduct[ProductID],dProduct[CrateCost])*fSales[[#This Row],[Units]]</f>
        <v>2422.7280000000005</v>
      </c>
      <c r="M505">
        <f>(_xlfn.XLOOKUP(fSales[[#This Row],[ProductID]],dProduct[ProductID],dProduct[CratePrice])-_xlfn.XLOOKUP(fSales[[#This Row],[ProductID]],dProduct[ProductID],dProduct[CrateCost]))/_xlfn.XLOOKUP(fSales[[#This Row],[ProductID]],dProduct[ProductID],dProduct[CratePrice])</f>
        <v>0.42000000000000004</v>
      </c>
      <c r="N505" t="str">
        <f>_xlfn.XLOOKUP(fSales[[#This Row],[SalesRepID]],dPSalesRep[SalesRepID],dPSalesRep[SalesRep])</f>
        <v>Chantel Mims</v>
      </c>
      <c r="O505" t="str">
        <f>_xlfn.XLOOKUP(fSales[[#This Row],[SalesRepID]],dPSalesRep[SalesRepID],dPSalesRep[Region])</f>
        <v>NW</v>
      </c>
      <c r="P505" t="str">
        <f>_xlfn.XLOOKUP(fSales[[#This Row],[ProductID]],dProduct[ProductID],dProduct[Product])</f>
        <v>Cherry</v>
      </c>
      <c r="Q505">
        <f>_xlfn.XLOOKUP(fSales[[#This Row],[ProductID]],dProduct[ProductID],dProduct[CratePrice])-_xlfn.XLOOKUP(fSales[[#This Row],[ProductID]],dProduct[ProductID],dProduct[CrateCost])</f>
        <v>18.354000000000003</v>
      </c>
      <c r="R505">
        <f>_xlfn.XLOOKUP(fSales[[#This Row],[ProductID]],dProduct[ProductID],dProduct[CratePrice])</f>
        <v>43.7</v>
      </c>
      <c r="S505">
        <f>_xlfn.XLOOKUP(fSales[[#This Row],[ProductID]],dProduct[ProductID],dProduct[CrateCost])</f>
        <v>25.346</v>
      </c>
    </row>
    <row r="506" spans="7:19" x14ac:dyDescent="0.25">
      <c r="G506" s="2">
        <v>45628</v>
      </c>
      <c r="H506">
        <v>72</v>
      </c>
      <c r="I506" t="s">
        <v>21</v>
      </c>
      <c r="J506" t="s">
        <v>29</v>
      </c>
      <c r="K506">
        <f>_xlfn.XLOOKUP(fSales[[#This Row],[ProductID]],dProduct[ProductID],dProduct[CratePrice])*fSales[[#This Row],[Units]]</f>
        <v>1620</v>
      </c>
      <c r="L506">
        <f>fSales[[#This Row],[Total sales]]-_xlfn.XLOOKUP(fSales[[#This Row],[ProductID]],dProduct[ProductID],dProduct[CrateCost])*fSales[[#This Row],[Units]]</f>
        <v>712.8</v>
      </c>
      <c r="M506">
        <f>(_xlfn.XLOOKUP(fSales[[#This Row],[ProductID]],dProduct[ProductID],dProduct[CratePrice])-_xlfn.XLOOKUP(fSales[[#This Row],[ProductID]],dProduct[ProductID],dProduct[CrateCost]))/_xlfn.XLOOKUP(fSales[[#This Row],[ProductID]],dProduct[ProductID],dProduct[CratePrice])</f>
        <v>0.43999999999999995</v>
      </c>
      <c r="N506" t="str">
        <f>_xlfn.XLOOKUP(fSales[[#This Row],[SalesRepID]],dPSalesRep[SalesRepID],dPSalesRep[SalesRep])</f>
        <v>Sioux Best</v>
      </c>
      <c r="O506" t="str">
        <f>_xlfn.XLOOKUP(fSales[[#This Row],[SalesRepID]],dPSalesRep[SalesRepID],dPSalesRep[Region])</f>
        <v>West</v>
      </c>
      <c r="P506" t="str">
        <f>_xlfn.XLOOKUP(fSales[[#This Row],[ProductID]],dProduct[ProductID],dProduct[Product])</f>
        <v>Kiwi</v>
      </c>
      <c r="Q506">
        <f>_xlfn.XLOOKUP(fSales[[#This Row],[ProductID]],dProduct[ProductID],dProduct[CratePrice])-_xlfn.XLOOKUP(fSales[[#This Row],[ProductID]],dProduct[ProductID],dProduct[CrateCost])</f>
        <v>9.8999999999999986</v>
      </c>
      <c r="R506">
        <f>_xlfn.XLOOKUP(fSales[[#This Row],[ProductID]],dProduct[ProductID],dProduct[CratePrice])</f>
        <v>22.5</v>
      </c>
      <c r="S506">
        <f>_xlfn.XLOOKUP(fSales[[#This Row],[ProductID]],dProduct[ProductID],dProduct[CrateCost])</f>
        <v>12.600000000000001</v>
      </c>
    </row>
    <row r="507" spans="7:19" x14ac:dyDescent="0.25">
      <c r="G507" s="2">
        <v>45628</v>
      </c>
      <c r="H507">
        <v>252</v>
      </c>
      <c r="I507" t="s">
        <v>19</v>
      </c>
      <c r="J507" t="s">
        <v>29</v>
      </c>
      <c r="K507">
        <f>_xlfn.XLOOKUP(fSales[[#This Row],[ProductID]],dProduct[ProductID],dProduct[CratePrice])*fSales[[#This Row],[Units]]</f>
        <v>8820</v>
      </c>
      <c r="L507">
        <f>fSales[[#This Row],[Total sales]]-_xlfn.XLOOKUP(fSales[[#This Row],[ProductID]],dProduct[ProductID],dProduct[CrateCost])*fSales[[#This Row],[Units]]</f>
        <v>4939.2</v>
      </c>
      <c r="M507">
        <f>(_xlfn.XLOOKUP(fSales[[#This Row],[ProductID]],dProduct[ProductID],dProduct[CratePrice])-_xlfn.XLOOKUP(fSales[[#This Row],[ProductID]],dProduct[ProductID],dProduct[CrateCost]))/_xlfn.XLOOKUP(fSales[[#This Row],[ProductID]],dProduct[ProductID],dProduct[CratePrice])</f>
        <v>0.56000000000000005</v>
      </c>
      <c r="N507" t="str">
        <f>_xlfn.XLOOKUP(fSales[[#This Row],[SalesRepID]],dPSalesRep[SalesRepID],dPSalesRep[SalesRep])</f>
        <v>Sioux Best</v>
      </c>
      <c r="O507" t="str">
        <f>_xlfn.XLOOKUP(fSales[[#This Row],[SalesRepID]],dPSalesRep[SalesRepID],dPSalesRep[Region])</f>
        <v>West</v>
      </c>
      <c r="P507" t="str">
        <f>_xlfn.XLOOKUP(fSales[[#This Row],[ProductID]],dProduct[ProductID],dProduct[Product])</f>
        <v>Apple</v>
      </c>
      <c r="Q507">
        <f>_xlfn.XLOOKUP(fSales[[#This Row],[ProductID]],dProduct[ProductID],dProduct[CratePrice])-_xlfn.XLOOKUP(fSales[[#This Row],[ProductID]],dProduct[ProductID],dProduct[CrateCost])</f>
        <v>19.600000000000001</v>
      </c>
      <c r="R507">
        <f>_xlfn.XLOOKUP(fSales[[#This Row],[ProductID]],dProduct[ProductID],dProduct[CratePrice])</f>
        <v>35</v>
      </c>
      <c r="S507">
        <f>_xlfn.XLOOKUP(fSales[[#This Row],[ProductID]],dProduct[ProductID],dProduct[CrateCost])</f>
        <v>15.4</v>
      </c>
    </row>
    <row r="508" spans="7:19" x14ac:dyDescent="0.25">
      <c r="G508" s="2">
        <v>45631</v>
      </c>
      <c r="H508">
        <v>300</v>
      </c>
      <c r="I508" t="s">
        <v>19</v>
      </c>
      <c r="J508" t="s">
        <v>37</v>
      </c>
      <c r="K508">
        <f>_xlfn.XLOOKUP(fSales[[#This Row],[ProductID]],dProduct[ProductID],dProduct[CratePrice])*fSales[[#This Row],[Units]]</f>
        <v>10500</v>
      </c>
      <c r="L508">
        <f>fSales[[#This Row],[Total sales]]-_xlfn.XLOOKUP(fSales[[#This Row],[ProductID]],dProduct[ProductID],dProduct[CrateCost])*fSales[[#This Row],[Units]]</f>
        <v>5880</v>
      </c>
      <c r="M508">
        <f>(_xlfn.XLOOKUP(fSales[[#This Row],[ProductID]],dProduct[ProductID],dProduct[CratePrice])-_xlfn.XLOOKUP(fSales[[#This Row],[ProductID]],dProduct[ProductID],dProduct[CrateCost]))/_xlfn.XLOOKUP(fSales[[#This Row],[ProductID]],dProduct[ProductID],dProduct[CratePrice])</f>
        <v>0.56000000000000005</v>
      </c>
      <c r="N508" t="str">
        <f>_xlfn.XLOOKUP(fSales[[#This Row],[SalesRepID]],dPSalesRep[SalesRepID],dPSalesRep[SalesRep])</f>
        <v>Chantel Mims</v>
      </c>
      <c r="O508" t="str">
        <f>_xlfn.XLOOKUP(fSales[[#This Row],[SalesRepID]],dPSalesRep[SalesRepID],dPSalesRep[Region])</f>
        <v>NW</v>
      </c>
      <c r="P508" t="str">
        <f>_xlfn.XLOOKUP(fSales[[#This Row],[ProductID]],dProduct[ProductID],dProduct[Product])</f>
        <v>Apple</v>
      </c>
      <c r="Q508">
        <f>_xlfn.XLOOKUP(fSales[[#This Row],[ProductID]],dProduct[ProductID],dProduct[CratePrice])-_xlfn.XLOOKUP(fSales[[#This Row],[ProductID]],dProduct[ProductID],dProduct[CrateCost])</f>
        <v>19.600000000000001</v>
      </c>
      <c r="R508">
        <f>_xlfn.XLOOKUP(fSales[[#This Row],[ProductID]],dProduct[ProductID],dProduct[CratePrice])</f>
        <v>35</v>
      </c>
      <c r="S508">
        <f>_xlfn.XLOOKUP(fSales[[#This Row],[ProductID]],dProduct[ProductID],dProduct[CrateCost])</f>
        <v>15.4</v>
      </c>
    </row>
    <row r="509" spans="7:19" x14ac:dyDescent="0.25">
      <c r="G509" s="2">
        <v>45631</v>
      </c>
      <c r="H509">
        <v>156</v>
      </c>
      <c r="I509" t="s">
        <v>34</v>
      </c>
      <c r="J509" t="s">
        <v>52</v>
      </c>
      <c r="K509">
        <f>_xlfn.XLOOKUP(fSales[[#This Row],[ProductID]],dProduct[ProductID],dProduct[CratePrice])*fSales[[#This Row],[Units]]</f>
        <v>2730</v>
      </c>
      <c r="L509">
        <f>fSales[[#This Row],[Total sales]]-_xlfn.XLOOKUP(fSales[[#This Row],[ProductID]],dProduct[ProductID],dProduct[CrateCost])*fSales[[#This Row],[Units]]</f>
        <v>900.89999999999986</v>
      </c>
      <c r="M509">
        <f>(_xlfn.XLOOKUP(fSales[[#This Row],[ProductID]],dProduct[ProductID],dProduct[CratePrice])-_xlfn.XLOOKUP(fSales[[#This Row],[ProductID]],dProduct[ProductID],dProduct[CrateCost]))/_xlfn.XLOOKUP(fSales[[#This Row],[ProductID]],dProduct[ProductID],dProduct[CratePrice])</f>
        <v>0.3299999999999999</v>
      </c>
      <c r="N509" t="str">
        <f>_xlfn.XLOOKUP(fSales[[#This Row],[SalesRepID]],dPSalesRep[SalesRepID],dPSalesRep[SalesRep])</f>
        <v>Smitty Rad</v>
      </c>
      <c r="O509" t="str">
        <f>_xlfn.XLOOKUP(fSales[[#This Row],[SalesRepID]],dPSalesRep[SalesRepID],dPSalesRep[Region])</f>
        <v>MidWest</v>
      </c>
      <c r="P509" t="str">
        <f>_xlfn.XLOOKUP(fSales[[#This Row],[ProductID]],dProduct[ProductID],dProduct[Product])</f>
        <v>Banana</v>
      </c>
      <c r="Q509">
        <f>_xlfn.XLOOKUP(fSales[[#This Row],[ProductID]],dProduct[ProductID],dProduct[CratePrice])-_xlfn.XLOOKUP(fSales[[#This Row],[ProductID]],dProduct[ProductID],dProduct[CrateCost])</f>
        <v>5.7749999999999986</v>
      </c>
      <c r="R509">
        <f>_xlfn.XLOOKUP(fSales[[#This Row],[ProductID]],dProduct[ProductID],dProduct[CratePrice])</f>
        <v>17.5</v>
      </c>
      <c r="S509">
        <f>_xlfn.XLOOKUP(fSales[[#This Row],[ProductID]],dProduct[ProductID],dProduct[CrateCost])</f>
        <v>11.725000000000001</v>
      </c>
    </row>
    <row r="510" spans="7:19" x14ac:dyDescent="0.25">
      <c r="G510" s="2">
        <v>45631</v>
      </c>
      <c r="H510">
        <v>204</v>
      </c>
      <c r="I510" t="s">
        <v>34</v>
      </c>
      <c r="J510" t="s">
        <v>22</v>
      </c>
      <c r="K510">
        <f>_xlfn.XLOOKUP(fSales[[#This Row],[ProductID]],dProduct[ProductID],dProduct[CratePrice])*fSales[[#This Row],[Units]]</f>
        <v>3570</v>
      </c>
      <c r="L510">
        <f>fSales[[#This Row],[Total sales]]-_xlfn.XLOOKUP(fSales[[#This Row],[ProductID]],dProduct[ProductID],dProduct[CrateCost])*fSales[[#This Row],[Units]]</f>
        <v>1178.0999999999999</v>
      </c>
      <c r="M510">
        <f>(_xlfn.XLOOKUP(fSales[[#This Row],[ProductID]],dProduct[ProductID],dProduct[CratePrice])-_xlfn.XLOOKUP(fSales[[#This Row],[ProductID]],dProduct[ProductID],dProduct[CrateCost]))/_xlfn.XLOOKUP(fSales[[#This Row],[ProductID]],dProduct[ProductID],dProduct[CratePrice])</f>
        <v>0.3299999999999999</v>
      </c>
      <c r="N510" t="str">
        <f>_xlfn.XLOOKUP(fSales[[#This Row],[SalesRepID]],dPSalesRep[SalesRepID],dPSalesRep[SalesRep])</f>
        <v>Timmy Kips</v>
      </c>
      <c r="O510" t="str">
        <f>_xlfn.XLOOKUP(fSales[[#This Row],[SalesRepID]],dPSalesRep[SalesRepID],dPSalesRep[Region])</f>
        <v>East</v>
      </c>
      <c r="P510" t="str">
        <f>_xlfn.XLOOKUP(fSales[[#This Row],[ProductID]],dProduct[ProductID],dProduct[Product])</f>
        <v>Banana</v>
      </c>
      <c r="Q510">
        <f>_xlfn.XLOOKUP(fSales[[#This Row],[ProductID]],dProduct[ProductID],dProduct[CratePrice])-_xlfn.XLOOKUP(fSales[[#This Row],[ProductID]],dProduct[ProductID],dProduct[CrateCost])</f>
        <v>5.7749999999999986</v>
      </c>
      <c r="R510">
        <f>_xlfn.XLOOKUP(fSales[[#This Row],[ProductID]],dProduct[ProductID],dProduct[CratePrice])</f>
        <v>17.5</v>
      </c>
      <c r="S510">
        <f>_xlfn.XLOOKUP(fSales[[#This Row],[ProductID]],dProduct[ProductID],dProduct[CrateCost])</f>
        <v>11.725000000000001</v>
      </c>
    </row>
    <row r="511" spans="7:19" x14ac:dyDescent="0.25">
      <c r="G511" s="2">
        <v>45631</v>
      </c>
      <c r="H511">
        <v>168</v>
      </c>
      <c r="I511" t="s">
        <v>21</v>
      </c>
      <c r="J511" t="s">
        <v>22</v>
      </c>
      <c r="K511">
        <f>_xlfn.XLOOKUP(fSales[[#This Row],[ProductID]],dProduct[ProductID],dProduct[CratePrice])*fSales[[#This Row],[Units]]</f>
        <v>3780</v>
      </c>
      <c r="L511">
        <f>fSales[[#This Row],[Total sales]]-_xlfn.XLOOKUP(fSales[[#This Row],[ProductID]],dProduct[ProductID],dProduct[CrateCost])*fSales[[#This Row],[Units]]</f>
        <v>1663.1999999999998</v>
      </c>
      <c r="M511">
        <f>(_xlfn.XLOOKUP(fSales[[#This Row],[ProductID]],dProduct[ProductID],dProduct[CratePrice])-_xlfn.XLOOKUP(fSales[[#This Row],[ProductID]],dProduct[ProductID],dProduct[CrateCost]))/_xlfn.XLOOKUP(fSales[[#This Row],[ProductID]],dProduct[ProductID],dProduct[CratePrice])</f>
        <v>0.43999999999999995</v>
      </c>
      <c r="N511" t="str">
        <f>_xlfn.XLOOKUP(fSales[[#This Row],[SalesRepID]],dPSalesRep[SalesRepID],dPSalesRep[SalesRep])</f>
        <v>Timmy Kips</v>
      </c>
      <c r="O511" t="str">
        <f>_xlfn.XLOOKUP(fSales[[#This Row],[SalesRepID]],dPSalesRep[SalesRepID],dPSalesRep[Region])</f>
        <v>East</v>
      </c>
      <c r="P511" t="str">
        <f>_xlfn.XLOOKUP(fSales[[#This Row],[ProductID]],dProduct[ProductID],dProduct[Product])</f>
        <v>Kiwi</v>
      </c>
      <c r="Q511">
        <f>_xlfn.XLOOKUP(fSales[[#This Row],[ProductID]],dProduct[ProductID],dProduct[CratePrice])-_xlfn.XLOOKUP(fSales[[#This Row],[ProductID]],dProduct[ProductID],dProduct[CrateCost])</f>
        <v>9.8999999999999986</v>
      </c>
      <c r="R511">
        <f>_xlfn.XLOOKUP(fSales[[#This Row],[ProductID]],dProduct[ProductID],dProduct[CratePrice])</f>
        <v>22.5</v>
      </c>
      <c r="S511">
        <f>_xlfn.XLOOKUP(fSales[[#This Row],[ProductID]],dProduct[ProductID],dProduct[CrateCost])</f>
        <v>12.600000000000001</v>
      </c>
    </row>
    <row r="512" spans="7:19" x14ac:dyDescent="0.25">
      <c r="G512" s="2">
        <v>45632</v>
      </c>
      <c r="H512">
        <v>156</v>
      </c>
      <c r="I512" t="s">
        <v>34</v>
      </c>
      <c r="J512" t="s">
        <v>37</v>
      </c>
      <c r="K512">
        <f>_xlfn.XLOOKUP(fSales[[#This Row],[ProductID]],dProduct[ProductID],dProduct[CratePrice])*fSales[[#This Row],[Units]]</f>
        <v>2730</v>
      </c>
      <c r="L512">
        <f>fSales[[#This Row],[Total sales]]-_xlfn.XLOOKUP(fSales[[#This Row],[ProductID]],dProduct[ProductID],dProduct[CrateCost])*fSales[[#This Row],[Units]]</f>
        <v>900.89999999999986</v>
      </c>
      <c r="M512">
        <f>(_xlfn.XLOOKUP(fSales[[#This Row],[ProductID]],dProduct[ProductID],dProduct[CratePrice])-_xlfn.XLOOKUP(fSales[[#This Row],[ProductID]],dProduct[ProductID],dProduct[CrateCost]))/_xlfn.XLOOKUP(fSales[[#This Row],[ProductID]],dProduct[ProductID],dProduct[CratePrice])</f>
        <v>0.3299999999999999</v>
      </c>
      <c r="N512" t="str">
        <f>_xlfn.XLOOKUP(fSales[[#This Row],[SalesRepID]],dPSalesRep[SalesRepID],dPSalesRep[SalesRep])</f>
        <v>Chantel Mims</v>
      </c>
      <c r="O512" t="str">
        <f>_xlfn.XLOOKUP(fSales[[#This Row],[SalesRepID]],dPSalesRep[SalesRepID],dPSalesRep[Region])</f>
        <v>NW</v>
      </c>
      <c r="P512" t="str">
        <f>_xlfn.XLOOKUP(fSales[[#This Row],[ProductID]],dProduct[ProductID],dProduct[Product])</f>
        <v>Banana</v>
      </c>
      <c r="Q512">
        <f>_xlfn.XLOOKUP(fSales[[#This Row],[ProductID]],dProduct[ProductID],dProduct[CratePrice])-_xlfn.XLOOKUP(fSales[[#This Row],[ProductID]],dProduct[ProductID],dProduct[CrateCost])</f>
        <v>5.7749999999999986</v>
      </c>
      <c r="R512">
        <f>_xlfn.XLOOKUP(fSales[[#This Row],[ProductID]],dProduct[ProductID],dProduct[CratePrice])</f>
        <v>17.5</v>
      </c>
      <c r="S512">
        <f>_xlfn.XLOOKUP(fSales[[#This Row],[ProductID]],dProduct[ProductID],dProduct[CrateCost])</f>
        <v>11.725000000000001</v>
      </c>
    </row>
    <row r="513" spans="7:19" x14ac:dyDescent="0.25">
      <c r="G513" s="2">
        <v>45632</v>
      </c>
      <c r="H513">
        <v>120</v>
      </c>
      <c r="I513" t="s">
        <v>19</v>
      </c>
      <c r="J513" t="s">
        <v>52</v>
      </c>
      <c r="K513">
        <f>_xlfn.XLOOKUP(fSales[[#This Row],[ProductID]],dProduct[ProductID],dProduct[CratePrice])*fSales[[#This Row],[Units]]</f>
        <v>4200</v>
      </c>
      <c r="L513">
        <f>fSales[[#This Row],[Total sales]]-_xlfn.XLOOKUP(fSales[[#This Row],[ProductID]],dProduct[ProductID],dProduct[CrateCost])*fSales[[#This Row],[Units]]</f>
        <v>2352</v>
      </c>
      <c r="M513">
        <f>(_xlfn.XLOOKUP(fSales[[#This Row],[ProductID]],dProduct[ProductID],dProduct[CratePrice])-_xlfn.XLOOKUP(fSales[[#This Row],[ProductID]],dProduct[ProductID],dProduct[CrateCost]))/_xlfn.XLOOKUP(fSales[[#This Row],[ProductID]],dProduct[ProductID],dProduct[CratePrice])</f>
        <v>0.56000000000000005</v>
      </c>
      <c r="N513" t="str">
        <f>_xlfn.XLOOKUP(fSales[[#This Row],[SalesRepID]],dPSalesRep[SalesRepID],dPSalesRep[SalesRep])</f>
        <v>Smitty Rad</v>
      </c>
      <c r="O513" t="str">
        <f>_xlfn.XLOOKUP(fSales[[#This Row],[SalesRepID]],dPSalesRep[SalesRepID],dPSalesRep[Region])</f>
        <v>MidWest</v>
      </c>
      <c r="P513" t="str">
        <f>_xlfn.XLOOKUP(fSales[[#This Row],[ProductID]],dProduct[ProductID],dProduct[Product])</f>
        <v>Apple</v>
      </c>
      <c r="Q513">
        <f>_xlfn.XLOOKUP(fSales[[#This Row],[ProductID]],dProduct[ProductID],dProduct[CratePrice])-_xlfn.XLOOKUP(fSales[[#This Row],[ProductID]],dProduct[ProductID],dProduct[CrateCost])</f>
        <v>19.600000000000001</v>
      </c>
      <c r="R513">
        <f>_xlfn.XLOOKUP(fSales[[#This Row],[ProductID]],dProduct[ProductID],dProduct[CratePrice])</f>
        <v>35</v>
      </c>
      <c r="S513">
        <f>_xlfn.XLOOKUP(fSales[[#This Row],[ProductID]],dProduct[ProductID],dProduct[CrateCost])</f>
        <v>15.4</v>
      </c>
    </row>
    <row r="514" spans="7:19" x14ac:dyDescent="0.25">
      <c r="G514" s="2">
        <v>45633</v>
      </c>
      <c r="H514">
        <v>84</v>
      </c>
      <c r="I514" t="s">
        <v>28</v>
      </c>
      <c r="J514" t="s">
        <v>22</v>
      </c>
      <c r="K514">
        <f>_xlfn.XLOOKUP(fSales[[#This Row],[ProductID]],dProduct[ProductID],dProduct[CratePrice])*fSales[[#This Row],[Units]]</f>
        <v>3670.8</v>
      </c>
      <c r="L514">
        <f>fSales[[#This Row],[Total sales]]-_xlfn.XLOOKUP(fSales[[#This Row],[ProductID]],dProduct[ProductID],dProduct[CrateCost])*fSales[[#This Row],[Units]]</f>
        <v>1541.7360000000003</v>
      </c>
      <c r="M514">
        <f>(_xlfn.XLOOKUP(fSales[[#This Row],[ProductID]],dProduct[ProductID],dProduct[CratePrice])-_xlfn.XLOOKUP(fSales[[#This Row],[ProductID]],dProduct[ProductID],dProduct[CrateCost]))/_xlfn.XLOOKUP(fSales[[#This Row],[ProductID]],dProduct[ProductID],dProduct[CratePrice])</f>
        <v>0.42000000000000004</v>
      </c>
      <c r="N514" t="str">
        <f>_xlfn.XLOOKUP(fSales[[#This Row],[SalesRepID]],dPSalesRep[SalesRepID],dPSalesRep[SalesRep])</f>
        <v>Timmy Kips</v>
      </c>
      <c r="O514" t="str">
        <f>_xlfn.XLOOKUP(fSales[[#This Row],[SalesRepID]],dPSalesRep[SalesRepID],dPSalesRep[Region])</f>
        <v>East</v>
      </c>
      <c r="P514" t="str">
        <f>_xlfn.XLOOKUP(fSales[[#This Row],[ProductID]],dProduct[ProductID],dProduct[Product])</f>
        <v>Cherry</v>
      </c>
      <c r="Q514">
        <f>_xlfn.XLOOKUP(fSales[[#This Row],[ProductID]],dProduct[ProductID],dProduct[CratePrice])-_xlfn.XLOOKUP(fSales[[#This Row],[ProductID]],dProduct[ProductID],dProduct[CrateCost])</f>
        <v>18.354000000000003</v>
      </c>
      <c r="R514">
        <f>_xlfn.XLOOKUP(fSales[[#This Row],[ProductID]],dProduct[ProductID],dProduct[CratePrice])</f>
        <v>43.7</v>
      </c>
      <c r="S514">
        <f>_xlfn.XLOOKUP(fSales[[#This Row],[ProductID]],dProduct[ProductID],dProduct[CrateCost])</f>
        <v>25.346</v>
      </c>
    </row>
    <row r="515" spans="7:19" x14ac:dyDescent="0.25">
      <c r="G515" s="2">
        <v>45633</v>
      </c>
      <c r="H515">
        <v>24</v>
      </c>
      <c r="I515" t="s">
        <v>19</v>
      </c>
      <c r="J515" t="s">
        <v>29</v>
      </c>
      <c r="K515">
        <f>_xlfn.XLOOKUP(fSales[[#This Row],[ProductID]],dProduct[ProductID],dProduct[CratePrice])*fSales[[#This Row],[Units]]</f>
        <v>840</v>
      </c>
      <c r="L515">
        <f>fSales[[#This Row],[Total sales]]-_xlfn.XLOOKUP(fSales[[#This Row],[ProductID]],dProduct[ProductID],dProduct[CrateCost])*fSales[[#This Row],[Units]]</f>
        <v>470.4</v>
      </c>
      <c r="M515">
        <f>(_xlfn.XLOOKUP(fSales[[#This Row],[ProductID]],dProduct[ProductID],dProduct[CratePrice])-_xlfn.XLOOKUP(fSales[[#This Row],[ProductID]],dProduct[ProductID],dProduct[CrateCost]))/_xlfn.XLOOKUP(fSales[[#This Row],[ProductID]],dProduct[ProductID],dProduct[CratePrice])</f>
        <v>0.56000000000000005</v>
      </c>
      <c r="N515" t="str">
        <f>_xlfn.XLOOKUP(fSales[[#This Row],[SalesRepID]],dPSalesRep[SalesRepID],dPSalesRep[SalesRep])</f>
        <v>Sioux Best</v>
      </c>
      <c r="O515" t="str">
        <f>_xlfn.XLOOKUP(fSales[[#This Row],[SalesRepID]],dPSalesRep[SalesRepID],dPSalesRep[Region])</f>
        <v>West</v>
      </c>
      <c r="P515" t="str">
        <f>_xlfn.XLOOKUP(fSales[[#This Row],[ProductID]],dProduct[ProductID],dProduct[Product])</f>
        <v>Apple</v>
      </c>
      <c r="Q515">
        <f>_xlfn.XLOOKUP(fSales[[#This Row],[ProductID]],dProduct[ProductID],dProduct[CratePrice])-_xlfn.XLOOKUP(fSales[[#This Row],[ProductID]],dProduct[ProductID],dProduct[CrateCost])</f>
        <v>19.600000000000001</v>
      </c>
      <c r="R515">
        <f>_xlfn.XLOOKUP(fSales[[#This Row],[ProductID]],dProduct[ProductID],dProduct[CratePrice])</f>
        <v>35</v>
      </c>
      <c r="S515">
        <f>_xlfn.XLOOKUP(fSales[[#This Row],[ProductID]],dProduct[ProductID],dProduct[CrateCost])</f>
        <v>15.4</v>
      </c>
    </row>
    <row r="516" spans="7:19" x14ac:dyDescent="0.25">
      <c r="G516" s="2">
        <v>45638</v>
      </c>
      <c r="H516">
        <v>72</v>
      </c>
      <c r="I516" t="s">
        <v>34</v>
      </c>
      <c r="J516" t="s">
        <v>22</v>
      </c>
      <c r="K516">
        <f>_xlfn.XLOOKUP(fSales[[#This Row],[ProductID]],dProduct[ProductID],dProduct[CratePrice])*fSales[[#This Row],[Units]]</f>
        <v>1260</v>
      </c>
      <c r="L516">
        <f>fSales[[#This Row],[Total sales]]-_xlfn.XLOOKUP(fSales[[#This Row],[ProductID]],dProduct[ProductID],dProduct[CrateCost])*fSales[[#This Row],[Units]]</f>
        <v>415.79999999999995</v>
      </c>
      <c r="M516">
        <f>(_xlfn.XLOOKUP(fSales[[#This Row],[ProductID]],dProduct[ProductID],dProduct[CratePrice])-_xlfn.XLOOKUP(fSales[[#This Row],[ProductID]],dProduct[ProductID],dProduct[CrateCost]))/_xlfn.XLOOKUP(fSales[[#This Row],[ProductID]],dProduct[ProductID],dProduct[CratePrice])</f>
        <v>0.3299999999999999</v>
      </c>
      <c r="N516" t="str">
        <f>_xlfn.XLOOKUP(fSales[[#This Row],[SalesRepID]],dPSalesRep[SalesRepID],dPSalesRep[SalesRep])</f>
        <v>Timmy Kips</v>
      </c>
      <c r="O516" t="str">
        <f>_xlfn.XLOOKUP(fSales[[#This Row],[SalesRepID]],dPSalesRep[SalesRepID],dPSalesRep[Region])</f>
        <v>East</v>
      </c>
      <c r="P516" t="str">
        <f>_xlfn.XLOOKUP(fSales[[#This Row],[ProductID]],dProduct[ProductID],dProduct[Product])</f>
        <v>Banana</v>
      </c>
      <c r="Q516">
        <f>_xlfn.XLOOKUP(fSales[[#This Row],[ProductID]],dProduct[ProductID],dProduct[CratePrice])-_xlfn.XLOOKUP(fSales[[#This Row],[ProductID]],dProduct[ProductID],dProduct[CrateCost])</f>
        <v>5.7749999999999986</v>
      </c>
      <c r="R516">
        <f>_xlfn.XLOOKUP(fSales[[#This Row],[ProductID]],dProduct[ProductID],dProduct[CratePrice])</f>
        <v>17.5</v>
      </c>
      <c r="S516">
        <f>_xlfn.XLOOKUP(fSales[[#This Row],[ProductID]],dProduct[ProductID],dProduct[CrateCost])</f>
        <v>11.725000000000001</v>
      </c>
    </row>
    <row r="517" spans="7:19" x14ac:dyDescent="0.25">
      <c r="G517" s="2">
        <v>45639</v>
      </c>
      <c r="H517">
        <v>132</v>
      </c>
      <c r="I517" t="s">
        <v>26</v>
      </c>
      <c r="J517" t="s">
        <v>37</v>
      </c>
      <c r="K517">
        <f>_xlfn.XLOOKUP(fSales[[#This Row],[ProductID]],dProduct[ProductID],dProduct[CratePrice])*fSales[[#This Row],[Units]]</f>
        <v>3927</v>
      </c>
      <c r="L517">
        <f>fSales[[#This Row],[Total sales]]-_xlfn.XLOOKUP(fSales[[#This Row],[ProductID]],dProduct[ProductID],dProduct[CrateCost])*fSales[[#This Row],[Units]]</f>
        <v>1649.3400000000001</v>
      </c>
      <c r="M517">
        <f>(_xlfn.XLOOKUP(fSales[[#This Row],[ProductID]],dProduct[ProductID],dProduct[CratePrice])-_xlfn.XLOOKUP(fSales[[#This Row],[ProductID]],dProduct[ProductID],dProduct[CrateCost]))/_xlfn.XLOOKUP(fSales[[#This Row],[ProductID]],dProduct[ProductID],dProduct[CratePrice])</f>
        <v>0.42000000000000004</v>
      </c>
      <c r="N517" t="str">
        <f>_xlfn.XLOOKUP(fSales[[#This Row],[SalesRepID]],dPSalesRep[SalesRepID],dPSalesRep[SalesRep])</f>
        <v>Chantel Mims</v>
      </c>
      <c r="O517" t="str">
        <f>_xlfn.XLOOKUP(fSales[[#This Row],[SalesRepID]],dPSalesRep[SalesRepID],dPSalesRep[Region])</f>
        <v>NW</v>
      </c>
      <c r="P517" t="str">
        <f>_xlfn.XLOOKUP(fSales[[#This Row],[ProductID]],dProduct[ProductID],dProduct[Product])</f>
        <v>Orange</v>
      </c>
      <c r="Q517">
        <f>_xlfn.XLOOKUP(fSales[[#This Row],[ProductID]],dProduct[ProductID],dProduct[CratePrice])-_xlfn.XLOOKUP(fSales[[#This Row],[ProductID]],dProduct[ProductID],dProduct[CrateCost])</f>
        <v>12.495000000000001</v>
      </c>
      <c r="R517">
        <f>_xlfn.XLOOKUP(fSales[[#This Row],[ProductID]],dProduct[ProductID],dProduct[CratePrice])</f>
        <v>29.75</v>
      </c>
      <c r="S517">
        <f>_xlfn.XLOOKUP(fSales[[#This Row],[ProductID]],dProduct[ProductID],dProduct[CrateCost])</f>
        <v>17.254999999999999</v>
      </c>
    </row>
    <row r="518" spans="7:19" x14ac:dyDescent="0.25">
      <c r="G518" s="2">
        <v>45640</v>
      </c>
      <c r="H518">
        <v>60</v>
      </c>
      <c r="I518" t="s">
        <v>19</v>
      </c>
      <c r="J518" t="s">
        <v>29</v>
      </c>
      <c r="K518">
        <f>_xlfn.XLOOKUP(fSales[[#This Row],[ProductID]],dProduct[ProductID],dProduct[CratePrice])*fSales[[#This Row],[Units]]</f>
        <v>2100</v>
      </c>
      <c r="L518">
        <f>fSales[[#This Row],[Total sales]]-_xlfn.XLOOKUP(fSales[[#This Row],[ProductID]],dProduct[ProductID],dProduct[CrateCost])*fSales[[#This Row],[Units]]</f>
        <v>1176</v>
      </c>
      <c r="M518">
        <f>(_xlfn.XLOOKUP(fSales[[#This Row],[ProductID]],dProduct[ProductID],dProduct[CratePrice])-_xlfn.XLOOKUP(fSales[[#This Row],[ProductID]],dProduct[ProductID],dProduct[CrateCost]))/_xlfn.XLOOKUP(fSales[[#This Row],[ProductID]],dProduct[ProductID],dProduct[CratePrice])</f>
        <v>0.56000000000000005</v>
      </c>
      <c r="N518" t="str">
        <f>_xlfn.XLOOKUP(fSales[[#This Row],[SalesRepID]],dPSalesRep[SalesRepID],dPSalesRep[SalesRep])</f>
        <v>Sioux Best</v>
      </c>
      <c r="O518" t="str">
        <f>_xlfn.XLOOKUP(fSales[[#This Row],[SalesRepID]],dPSalesRep[SalesRepID],dPSalesRep[Region])</f>
        <v>West</v>
      </c>
      <c r="P518" t="str">
        <f>_xlfn.XLOOKUP(fSales[[#This Row],[ProductID]],dProduct[ProductID],dProduct[Product])</f>
        <v>Apple</v>
      </c>
      <c r="Q518">
        <f>_xlfn.XLOOKUP(fSales[[#This Row],[ProductID]],dProduct[ProductID],dProduct[CratePrice])-_xlfn.XLOOKUP(fSales[[#This Row],[ProductID]],dProduct[ProductID],dProduct[CrateCost])</f>
        <v>19.600000000000001</v>
      </c>
      <c r="R518">
        <f>_xlfn.XLOOKUP(fSales[[#This Row],[ProductID]],dProduct[ProductID],dProduct[CratePrice])</f>
        <v>35</v>
      </c>
      <c r="S518">
        <f>_xlfn.XLOOKUP(fSales[[#This Row],[ProductID]],dProduct[ProductID],dProduct[CrateCost])</f>
        <v>15.4</v>
      </c>
    </row>
    <row r="519" spans="7:19" x14ac:dyDescent="0.25">
      <c r="G519" s="2">
        <v>45641</v>
      </c>
      <c r="H519">
        <v>216</v>
      </c>
      <c r="I519" t="s">
        <v>21</v>
      </c>
      <c r="J519" t="s">
        <v>32</v>
      </c>
      <c r="K519">
        <f>_xlfn.XLOOKUP(fSales[[#This Row],[ProductID]],dProduct[ProductID],dProduct[CratePrice])*fSales[[#This Row],[Units]]</f>
        <v>4860</v>
      </c>
      <c r="L519">
        <f>fSales[[#This Row],[Total sales]]-_xlfn.XLOOKUP(fSales[[#This Row],[ProductID]],dProduct[ProductID],dProduct[CrateCost])*fSales[[#This Row],[Units]]</f>
        <v>2138.3999999999996</v>
      </c>
      <c r="M519">
        <f>(_xlfn.XLOOKUP(fSales[[#This Row],[ProductID]],dProduct[ProductID],dProduct[CratePrice])-_xlfn.XLOOKUP(fSales[[#This Row],[ProductID]],dProduct[ProductID],dProduct[CrateCost]))/_xlfn.XLOOKUP(fSales[[#This Row],[ProductID]],dProduct[ProductID],dProduct[CratePrice])</f>
        <v>0.43999999999999995</v>
      </c>
      <c r="N519" t="str">
        <f>_xlfn.XLOOKUP(fSales[[#This Row],[SalesRepID]],dPSalesRep[SalesRepID],dPSalesRep[SalesRep])</f>
        <v>Shihara Fazzaa</v>
      </c>
      <c r="O519" t="str">
        <f>_xlfn.XLOOKUP(fSales[[#This Row],[SalesRepID]],dPSalesRep[SalesRepID],dPSalesRep[Region])</f>
        <v>East</v>
      </c>
      <c r="P519" t="str">
        <f>_xlfn.XLOOKUP(fSales[[#This Row],[ProductID]],dProduct[ProductID],dProduct[Product])</f>
        <v>Kiwi</v>
      </c>
      <c r="Q519">
        <f>_xlfn.XLOOKUP(fSales[[#This Row],[ProductID]],dProduct[ProductID],dProduct[CratePrice])-_xlfn.XLOOKUP(fSales[[#This Row],[ProductID]],dProduct[ProductID],dProduct[CrateCost])</f>
        <v>9.8999999999999986</v>
      </c>
      <c r="R519">
        <f>_xlfn.XLOOKUP(fSales[[#This Row],[ProductID]],dProduct[ProductID],dProduct[CratePrice])</f>
        <v>22.5</v>
      </c>
      <c r="S519">
        <f>_xlfn.XLOOKUP(fSales[[#This Row],[ProductID]],dProduct[ProductID],dProduct[CrateCost])</f>
        <v>12.600000000000001</v>
      </c>
    </row>
    <row r="520" spans="7:19" x14ac:dyDescent="0.25">
      <c r="G520" s="2">
        <v>45641</v>
      </c>
      <c r="H520">
        <v>84</v>
      </c>
      <c r="I520" t="s">
        <v>21</v>
      </c>
      <c r="J520" t="s">
        <v>52</v>
      </c>
      <c r="K520">
        <f>_xlfn.XLOOKUP(fSales[[#This Row],[ProductID]],dProduct[ProductID],dProduct[CratePrice])*fSales[[#This Row],[Units]]</f>
        <v>1890</v>
      </c>
      <c r="L520">
        <f>fSales[[#This Row],[Total sales]]-_xlfn.XLOOKUP(fSales[[#This Row],[ProductID]],dProduct[ProductID],dProduct[CrateCost])*fSales[[#This Row],[Units]]</f>
        <v>831.59999999999991</v>
      </c>
      <c r="M520">
        <f>(_xlfn.XLOOKUP(fSales[[#This Row],[ProductID]],dProduct[ProductID],dProduct[CratePrice])-_xlfn.XLOOKUP(fSales[[#This Row],[ProductID]],dProduct[ProductID],dProduct[CrateCost]))/_xlfn.XLOOKUP(fSales[[#This Row],[ProductID]],dProduct[ProductID],dProduct[CratePrice])</f>
        <v>0.43999999999999995</v>
      </c>
      <c r="N520" t="str">
        <f>_xlfn.XLOOKUP(fSales[[#This Row],[SalesRepID]],dPSalesRep[SalesRepID],dPSalesRep[SalesRep])</f>
        <v>Smitty Rad</v>
      </c>
      <c r="O520" t="str">
        <f>_xlfn.XLOOKUP(fSales[[#This Row],[SalesRepID]],dPSalesRep[SalesRepID],dPSalesRep[Region])</f>
        <v>MidWest</v>
      </c>
      <c r="P520" t="str">
        <f>_xlfn.XLOOKUP(fSales[[#This Row],[ProductID]],dProduct[ProductID],dProduct[Product])</f>
        <v>Kiwi</v>
      </c>
      <c r="Q520">
        <f>_xlfn.XLOOKUP(fSales[[#This Row],[ProductID]],dProduct[ProductID],dProduct[CratePrice])-_xlfn.XLOOKUP(fSales[[#This Row],[ProductID]],dProduct[ProductID],dProduct[CrateCost])</f>
        <v>9.8999999999999986</v>
      </c>
      <c r="R520">
        <f>_xlfn.XLOOKUP(fSales[[#This Row],[ProductID]],dProduct[ProductID],dProduct[CratePrice])</f>
        <v>22.5</v>
      </c>
      <c r="S520">
        <f>_xlfn.XLOOKUP(fSales[[#This Row],[ProductID]],dProduct[ProductID],dProduct[CrateCost])</f>
        <v>12.600000000000001</v>
      </c>
    </row>
    <row r="521" spans="7:19" x14ac:dyDescent="0.25">
      <c r="G521" s="2">
        <v>45642</v>
      </c>
      <c r="H521">
        <v>120</v>
      </c>
      <c r="I521" t="s">
        <v>28</v>
      </c>
      <c r="J521" t="s">
        <v>22</v>
      </c>
      <c r="K521">
        <f>_xlfn.XLOOKUP(fSales[[#This Row],[ProductID]],dProduct[ProductID],dProduct[CratePrice])*fSales[[#This Row],[Units]]</f>
        <v>5244</v>
      </c>
      <c r="L521">
        <f>fSales[[#This Row],[Total sales]]-_xlfn.XLOOKUP(fSales[[#This Row],[ProductID]],dProduct[ProductID],dProduct[CrateCost])*fSales[[#This Row],[Units]]</f>
        <v>2202.48</v>
      </c>
      <c r="M521">
        <f>(_xlfn.XLOOKUP(fSales[[#This Row],[ProductID]],dProduct[ProductID],dProduct[CratePrice])-_xlfn.XLOOKUP(fSales[[#This Row],[ProductID]],dProduct[ProductID],dProduct[CrateCost]))/_xlfn.XLOOKUP(fSales[[#This Row],[ProductID]],dProduct[ProductID],dProduct[CratePrice])</f>
        <v>0.42000000000000004</v>
      </c>
      <c r="N521" t="str">
        <f>_xlfn.XLOOKUP(fSales[[#This Row],[SalesRepID]],dPSalesRep[SalesRepID],dPSalesRep[SalesRep])</f>
        <v>Timmy Kips</v>
      </c>
      <c r="O521" t="str">
        <f>_xlfn.XLOOKUP(fSales[[#This Row],[SalesRepID]],dPSalesRep[SalesRepID],dPSalesRep[Region])</f>
        <v>East</v>
      </c>
      <c r="P521" t="str">
        <f>_xlfn.XLOOKUP(fSales[[#This Row],[ProductID]],dProduct[ProductID],dProduct[Product])</f>
        <v>Cherry</v>
      </c>
      <c r="Q521">
        <f>_xlfn.XLOOKUP(fSales[[#This Row],[ProductID]],dProduct[ProductID],dProduct[CratePrice])-_xlfn.XLOOKUP(fSales[[#This Row],[ProductID]],dProduct[ProductID],dProduct[CrateCost])</f>
        <v>18.354000000000003</v>
      </c>
      <c r="R521">
        <f>_xlfn.XLOOKUP(fSales[[#This Row],[ProductID]],dProduct[ProductID],dProduct[CratePrice])</f>
        <v>43.7</v>
      </c>
      <c r="S521">
        <f>_xlfn.XLOOKUP(fSales[[#This Row],[ProductID]],dProduct[ProductID],dProduct[CrateCost])</f>
        <v>25.346</v>
      </c>
    </row>
    <row r="522" spans="7:19" x14ac:dyDescent="0.25">
      <c r="G522" s="2">
        <v>45642</v>
      </c>
      <c r="H522">
        <v>276</v>
      </c>
      <c r="I522" t="s">
        <v>28</v>
      </c>
      <c r="J522" t="s">
        <v>32</v>
      </c>
      <c r="K522">
        <f>_xlfn.XLOOKUP(fSales[[#This Row],[ProductID]],dProduct[ProductID],dProduct[CratePrice])*fSales[[#This Row],[Units]]</f>
        <v>12061.2</v>
      </c>
      <c r="L522">
        <f>fSales[[#This Row],[Total sales]]-_xlfn.XLOOKUP(fSales[[#This Row],[ProductID]],dProduct[ProductID],dProduct[CrateCost])*fSales[[#This Row],[Units]]</f>
        <v>5065.7040000000006</v>
      </c>
      <c r="M522">
        <f>(_xlfn.XLOOKUP(fSales[[#This Row],[ProductID]],dProduct[ProductID],dProduct[CratePrice])-_xlfn.XLOOKUP(fSales[[#This Row],[ProductID]],dProduct[ProductID],dProduct[CrateCost]))/_xlfn.XLOOKUP(fSales[[#This Row],[ProductID]],dProduct[ProductID],dProduct[CratePrice])</f>
        <v>0.42000000000000004</v>
      </c>
      <c r="N522" t="str">
        <f>_xlfn.XLOOKUP(fSales[[#This Row],[SalesRepID]],dPSalesRep[SalesRepID],dPSalesRep[SalesRep])</f>
        <v>Shihara Fazzaa</v>
      </c>
      <c r="O522" t="str">
        <f>_xlfn.XLOOKUP(fSales[[#This Row],[SalesRepID]],dPSalesRep[SalesRepID],dPSalesRep[Region])</f>
        <v>East</v>
      </c>
      <c r="P522" t="str">
        <f>_xlfn.XLOOKUP(fSales[[#This Row],[ProductID]],dProduct[ProductID],dProduct[Product])</f>
        <v>Cherry</v>
      </c>
      <c r="Q522">
        <f>_xlfn.XLOOKUP(fSales[[#This Row],[ProductID]],dProduct[ProductID],dProduct[CratePrice])-_xlfn.XLOOKUP(fSales[[#This Row],[ProductID]],dProduct[ProductID],dProduct[CrateCost])</f>
        <v>18.354000000000003</v>
      </c>
      <c r="R522">
        <f>_xlfn.XLOOKUP(fSales[[#This Row],[ProductID]],dProduct[ProductID],dProduct[CratePrice])</f>
        <v>43.7</v>
      </c>
      <c r="S522">
        <f>_xlfn.XLOOKUP(fSales[[#This Row],[ProductID]],dProduct[ProductID],dProduct[CrateCost])</f>
        <v>25.346</v>
      </c>
    </row>
    <row r="523" spans="7:19" x14ac:dyDescent="0.25">
      <c r="G523" s="2">
        <v>45642</v>
      </c>
      <c r="H523">
        <v>120</v>
      </c>
      <c r="I523" t="s">
        <v>21</v>
      </c>
      <c r="J523" t="s">
        <v>52</v>
      </c>
      <c r="K523">
        <f>_xlfn.XLOOKUP(fSales[[#This Row],[ProductID]],dProduct[ProductID],dProduct[CratePrice])*fSales[[#This Row],[Units]]</f>
        <v>2700</v>
      </c>
      <c r="L523">
        <f>fSales[[#This Row],[Total sales]]-_xlfn.XLOOKUP(fSales[[#This Row],[ProductID]],dProduct[ProductID],dProduct[CrateCost])*fSales[[#This Row],[Units]]</f>
        <v>1187.9999999999998</v>
      </c>
      <c r="M523">
        <f>(_xlfn.XLOOKUP(fSales[[#This Row],[ProductID]],dProduct[ProductID],dProduct[CratePrice])-_xlfn.XLOOKUP(fSales[[#This Row],[ProductID]],dProduct[ProductID],dProduct[CrateCost]))/_xlfn.XLOOKUP(fSales[[#This Row],[ProductID]],dProduct[ProductID],dProduct[CratePrice])</f>
        <v>0.43999999999999995</v>
      </c>
      <c r="N523" t="str">
        <f>_xlfn.XLOOKUP(fSales[[#This Row],[SalesRepID]],dPSalesRep[SalesRepID],dPSalesRep[SalesRep])</f>
        <v>Smitty Rad</v>
      </c>
      <c r="O523" t="str">
        <f>_xlfn.XLOOKUP(fSales[[#This Row],[SalesRepID]],dPSalesRep[SalesRepID],dPSalesRep[Region])</f>
        <v>MidWest</v>
      </c>
      <c r="P523" t="str">
        <f>_xlfn.XLOOKUP(fSales[[#This Row],[ProductID]],dProduct[ProductID],dProduct[Product])</f>
        <v>Kiwi</v>
      </c>
      <c r="Q523">
        <f>_xlfn.XLOOKUP(fSales[[#This Row],[ProductID]],dProduct[ProductID],dProduct[CratePrice])-_xlfn.XLOOKUP(fSales[[#This Row],[ProductID]],dProduct[ProductID],dProduct[CrateCost])</f>
        <v>9.8999999999999986</v>
      </c>
      <c r="R523">
        <f>_xlfn.XLOOKUP(fSales[[#This Row],[ProductID]],dProduct[ProductID],dProduct[CratePrice])</f>
        <v>22.5</v>
      </c>
      <c r="S523">
        <f>_xlfn.XLOOKUP(fSales[[#This Row],[ProductID]],dProduct[ProductID],dProduct[CrateCost])</f>
        <v>12.600000000000001</v>
      </c>
    </row>
    <row r="524" spans="7:19" x14ac:dyDescent="0.25">
      <c r="G524" s="2">
        <v>45643</v>
      </c>
      <c r="H524">
        <v>72</v>
      </c>
      <c r="I524" t="s">
        <v>19</v>
      </c>
      <c r="J524" t="s">
        <v>37</v>
      </c>
      <c r="K524">
        <f>_xlfn.XLOOKUP(fSales[[#This Row],[ProductID]],dProduct[ProductID],dProduct[CratePrice])*fSales[[#This Row],[Units]]</f>
        <v>2520</v>
      </c>
      <c r="L524">
        <f>fSales[[#This Row],[Total sales]]-_xlfn.XLOOKUP(fSales[[#This Row],[ProductID]],dProduct[ProductID],dProduct[CrateCost])*fSales[[#This Row],[Units]]</f>
        <v>1411.2</v>
      </c>
      <c r="M524">
        <f>(_xlfn.XLOOKUP(fSales[[#This Row],[ProductID]],dProduct[ProductID],dProduct[CratePrice])-_xlfn.XLOOKUP(fSales[[#This Row],[ProductID]],dProduct[ProductID],dProduct[CrateCost]))/_xlfn.XLOOKUP(fSales[[#This Row],[ProductID]],dProduct[ProductID],dProduct[CratePrice])</f>
        <v>0.56000000000000005</v>
      </c>
      <c r="N524" t="str">
        <f>_xlfn.XLOOKUP(fSales[[#This Row],[SalesRepID]],dPSalesRep[SalesRepID],dPSalesRep[SalesRep])</f>
        <v>Chantel Mims</v>
      </c>
      <c r="O524" t="str">
        <f>_xlfn.XLOOKUP(fSales[[#This Row],[SalesRepID]],dPSalesRep[SalesRepID],dPSalesRep[Region])</f>
        <v>NW</v>
      </c>
      <c r="P524" t="str">
        <f>_xlfn.XLOOKUP(fSales[[#This Row],[ProductID]],dProduct[ProductID],dProduct[Product])</f>
        <v>Apple</v>
      </c>
      <c r="Q524">
        <f>_xlfn.XLOOKUP(fSales[[#This Row],[ProductID]],dProduct[ProductID],dProduct[CratePrice])-_xlfn.XLOOKUP(fSales[[#This Row],[ProductID]],dProduct[ProductID],dProduct[CrateCost])</f>
        <v>19.600000000000001</v>
      </c>
      <c r="R524">
        <f>_xlfn.XLOOKUP(fSales[[#This Row],[ProductID]],dProduct[ProductID],dProduct[CratePrice])</f>
        <v>35</v>
      </c>
      <c r="S524">
        <f>_xlfn.XLOOKUP(fSales[[#This Row],[ProductID]],dProduct[ProductID],dProduct[CrateCost])</f>
        <v>15.4</v>
      </c>
    </row>
    <row r="525" spans="7:19" x14ac:dyDescent="0.25">
      <c r="G525" s="2">
        <v>45644</v>
      </c>
      <c r="H525">
        <v>144</v>
      </c>
      <c r="I525" t="s">
        <v>28</v>
      </c>
      <c r="J525" t="s">
        <v>22</v>
      </c>
      <c r="K525">
        <f>_xlfn.XLOOKUP(fSales[[#This Row],[ProductID]],dProduct[ProductID],dProduct[CratePrice])*fSales[[#This Row],[Units]]</f>
        <v>6292.8</v>
      </c>
      <c r="L525">
        <f>fSales[[#This Row],[Total sales]]-_xlfn.XLOOKUP(fSales[[#This Row],[ProductID]],dProduct[ProductID],dProduct[CrateCost])*fSales[[#This Row],[Units]]</f>
        <v>2642.9760000000001</v>
      </c>
      <c r="M525">
        <f>(_xlfn.XLOOKUP(fSales[[#This Row],[ProductID]],dProduct[ProductID],dProduct[CratePrice])-_xlfn.XLOOKUP(fSales[[#This Row],[ProductID]],dProduct[ProductID],dProduct[CrateCost]))/_xlfn.XLOOKUP(fSales[[#This Row],[ProductID]],dProduct[ProductID],dProduct[CratePrice])</f>
        <v>0.42000000000000004</v>
      </c>
      <c r="N525" t="str">
        <f>_xlfn.XLOOKUP(fSales[[#This Row],[SalesRepID]],dPSalesRep[SalesRepID],dPSalesRep[SalesRep])</f>
        <v>Timmy Kips</v>
      </c>
      <c r="O525" t="str">
        <f>_xlfn.XLOOKUP(fSales[[#This Row],[SalesRepID]],dPSalesRep[SalesRepID],dPSalesRep[Region])</f>
        <v>East</v>
      </c>
      <c r="P525" t="str">
        <f>_xlfn.XLOOKUP(fSales[[#This Row],[ProductID]],dProduct[ProductID],dProduct[Product])</f>
        <v>Cherry</v>
      </c>
      <c r="Q525">
        <f>_xlfn.XLOOKUP(fSales[[#This Row],[ProductID]],dProduct[ProductID],dProduct[CratePrice])-_xlfn.XLOOKUP(fSales[[#This Row],[ProductID]],dProduct[ProductID],dProduct[CrateCost])</f>
        <v>18.354000000000003</v>
      </c>
      <c r="R525">
        <f>_xlfn.XLOOKUP(fSales[[#This Row],[ProductID]],dProduct[ProductID],dProduct[CratePrice])</f>
        <v>43.7</v>
      </c>
      <c r="S525">
        <f>_xlfn.XLOOKUP(fSales[[#This Row],[ProductID]],dProduct[ProductID],dProduct[CrateCost])</f>
        <v>25.346</v>
      </c>
    </row>
    <row r="526" spans="7:19" x14ac:dyDescent="0.25">
      <c r="G526" s="2">
        <v>45644</v>
      </c>
      <c r="H526">
        <v>144</v>
      </c>
      <c r="I526" t="s">
        <v>21</v>
      </c>
      <c r="J526" t="s">
        <v>52</v>
      </c>
      <c r="K526">
        <f>_xlfn.XLOOKUP(fSales[[#This Row],[ProductID]],dProduct[ProductID],dProduct[CratePrice])*fSales[[#This Row],[Units]]</f>
        <v>3240</v>
      </c>
      <c r="L526">
        <f>fSales[[#This Row],[Total sales]]-_xlfn.XLOOKUP(fSales[[#This Row],[ProductID]],dProduct[ProductID],dProduct[CrateCost])*fSales[[#This Row],[Units]]</f>
        <v>1425.6</v>
      </c>
      <c r="M526">
        <f>(_xlfn.XLOOKUP(fSales[[#This Row],[ProductID]],dProduct[ProductID],dProduct[CratePrice])-_xlfn.XLOOKUP(fSales[[#This Row],[ProductID]],dProduct[ProductID],dProduct[CrateCost]))/_xlfn.XLOOKUP(fSales[[#This Row],[ProductID]],dProduct[ProductID],dProduct[CratePrice])</f>
        <v>0.43999999999999995</v>
      </c>
      <c r="N526" t="str">
        <f>_xlfn.XLOOKUP(fSales[[#This Row],[SalesRepID]],dPSalesRep[SalesRepID],dPSalesRep[SalesRep])</f>
        <v>Smitty Rad</v>
      </c>
      <c r="O526" t="str">
        <f>_xlfn.XLOOKUP(fSales[[#This Row],[SalesRepID]],dPSalesRep[SalesRepID],dPSalesRep[Region])</f>
        <v>MidWest</v>
      </c>
      <c r="P526" t="str">
        <f>_xlfn.XLOOKUP(fSales[[#This Row],[ProductID]],dProduct[ProductID],dProduct[Product])</f>
        <v>Kiwi</v>
      </c>
      <c r="Q526">
        <f>_xlfn.XLOOKUP(fSales[[#This Row],[ProductID]],dProduct[ProductID],dProduct[CratePrice])-_xlfn.XLOOKUP(fSales[[#This Row],[ProductID]],dProduct[ProductID],dProduct[CrateCost])</f>
        <v>9.8999999999999986</v>
      </c>
      <c r="R526">
        <f>_xlfn.XLOOKUP(fSales[[#This Row],[ProductID]],dProduct[ProductID],dProduct[CratePrice])</f>
        <v>22.5</v>
      </c>
      <c r="S526">
        <f>_xlfn.XLOOKUP(fSales[[#This Row],[ProductID]],dProduct[ProductID],dProduct[CrateCost])</f>
        <v>12.600000000000001</v>
      </c>
    </row>
    <row r="527" spans="7:19" x14ac:dyDescent="0.25">
      <c r="G527" s="2">
        <v>45645</v>
      </c>
      <c r="H527">
        <v>48</v>
      </c>
      <c r="I527" t="s">
        <v>34</v>
      </c>
      <c r="J527" t="s">
        <v>32</v>
      </c>
      <c r="K527">
        <f>_xlfn.XLOOKUP(fSales[[#This Row],[ProductID]],dProduct[ProductID],dProduct[CratePrice])*fSales[[#This Row],[Units]]</f>
        <v>840</v>
      </c>
      <c r="L527">
        <f>fSales[[#This Row],[Total sales]]-_xlfn.XLOOKUP(fSales[[#This Row],[ProductID]],dProduct[ProductID],dProduct[CrateCost])*fSales[[#This Row],[Units]]</f>
        <v>277.19999999999993</v>
      </c>
      <c r="M527">
        <f>(_xlfn.XLOOKUP(fSales[[#This Row],[ProductID]],dProduct[ProductID],dProduct[CratePrice])-_xlfn.XLOOKUP(fSales[[#This Row],[ProductID]],dProduct[ProductID],dProduct[CrateCost]))/_xlfn.XLOOKUP(fSales[[#This Row],[ProductID]],dProduct[ProductID],dProduct[CratePrice])</f>
        <v>0.3299999999999999</v>
      </c>
      <c r="N527" t="str">
        <f>_xlfn.XLOOKUP(fSales[[#This Row],[SalesRepID]],dPSalesRep[SalesRepID],dPSalesRep[SalesRep])</f>
        <v>Shihara Fazzaa</v>
      </c>
      <c r="O527" t="str">
        <f>_xlfn.XLOOKUP(fSales[[#This Row],[SalesRepID]],dPSalesRep[SalesRepID],dPSalesRep[Region])</f>
        <v>East</v>
      </c>
      <c r="P527" t="str">
        <f>_xlfn.XLOOKUP(fSales[[#This Row],[ProductID]],dProduct[ProductID],dProduct[Product])</f>
        <v>Banana</v>
      </c>
      <c r="Q527">
        <f>_xlfn.XLOOKUP(fSales[[#This Row],[ProductID]],dProduct[ProductID],dProduct[CratePrice])-_xlfn.XLOOKUP(fSales[[#This Row],[ProductID]],dProduct[ProductID],dProduct[CrateCost])</f>
        <v>5.7749999999999986</v>
      </c>
      <c r="R527">
        <f>_xlfn.XLOOKUP(fSales[[#This Row],[ProductID]],dProduct[ProductID],dProduct[CratePrice])</f>
        <v>17.5</v>
      </c>
      <c r="S527">
        <f>_xlfn.XLOOKUP(fSales[[#This Row],[ProductID]],dProduct[ProductID],dProduct[CrateCost])</f>
        <v>11.725000000000001</v>
      </c>
    </row>
    <row r="528" spans="7:19" x14ac:dyDescent="0.25">
      <c r="G528" s="2">
        <v>45645</v>
      </c>
      <c r="H528">
        <v>156</v>
      </c>
      <c r="I528" t="s">
        <v>19</v>
      </c>
      <c r="J528" t="s">
        <v>37</v>
      </c>
      <c r="K528">
        <f>_xlfn.XLOOKUP(fSales[[#This Row],[ProductID]],dProduct[ProductID],dProduct[CratePrice])*fSales[[#This Row],[Units]]</f>
        <v>5460</v>
      </c>
      <c r="L528">
        <f>fSales[[#This Row],[Total sales]]-_xlfn.XLOOKUP(fSales[[#This Row],[ProductID]],dProduct[ProductID],dProduct[CrateCost])*fSales[[#This Row],[Units]]</f>
        <v>3057.6</v>
      </c>
      <c r="M528">
        <f>(_xlfn.XLOOKUP(fSales[[#This Row],[ProductID]],dProduct[ProductID],dProduct[CratePrice])-_xlfn.XLOOKUP(fSales[[#This Row],[ProductID]],dProduct[ProductID],dProduct[CrateCost]))/_xlfn.XLOOKUP(fSales[[#This Row],[ProductID]],dProduct[ProductID],dProduct[CratePrice])</f>
        <v>0.56000000000000005</v>
      </c>
      <c r="N528" t="str">
        <f>_xlfn.XLOOKUP(fSales[[#This Row],[SalesRepID]],dPSalesRep[SalesRepID],dPSalesRep[SalesRep])</f>
        <v>Chantel Mims</v>
      </c>
      <c r="O528" t="str">
        <f>_xlfn.XLOOKUP(fSales[[#This Row],[SalesRepID]],dPSalesRep[SalesRepID],dPSalesRep[Region])</f>
        <v>NW</v>
      </c>
      <c r="P528" t="str">
        <f>_xlfn.XLOOKUP(fSales[[#This Row],[ProductID]],dProduct[ProductID],dProduct[Product])</f>
        <v>Apple</v>
      </c>
      <c r="Q528">
        <f>_xlfn.XLOOKUP(fSales[[#This Row],[ProductID]],dProduct[ProductID],dProduct[CratePrice])-_xlfn.XLOOKUP(fSales[[#This Row],[ProductID]],dProduct[ProductID],dProduct[CrateCost])</f>
        <v>19.600000000000001</v>
      </c>
      <c r="R528">
        <f>_xlfn.XLOOKUP(fSales[[#This Row],[ProductID]],dProduct[ProductID],dProduct[CratePrice])</f>
        <v>35</v>
      </c>
      <c r="S528">
        <f>_xlfn.XLOOKUP(fSales[[#This Row],[ProductID]],dProduct[ProductID],dProduct[CrateCost])</f>
        <v>15.4</v>
      </c>
    </row>
    <row r="529" spans="7:19" x14ac:dyDescent="0.25">
      <c r="G529" s="2">
        <v>45645</v>
      </c>
      <c r="H529">
        <v>108</v>
      </c>
      <c r="I529" t="s">
        <v>28</v>
      </c>
      <c r="J529" t="s">
        <v>29</v>
      </c>
      <c r="K529">
        <f>_xlfn.XLOOKUP(fSales[[#This Row],[ProductID]],dProduct[ProductID],dProduct[CratePrice])*fSales[[#This Row],[Units]]</f>
        <v>4719.6000000000004</v>
      </c>
      <c r="L529">
        <f>fSales[[#This Row],[Total sales]]-_xlfn.XLOOKUP(fSales[[#This Row],[ProductID]],dProduct[ProductID],dProduct[CrateCost])*fSales[[#This Row],[Units]]</f>
        <v>1982.2320000000004</v>
      </c>
      <c r="M529">
        <f>(_xlfn.XLOOKUP(fSales[[#This Row],[ProductID]],dProduct[ProductID],dProduct[CratePrice])-_xlfn.XLOOKUP(fSales[[#This Row],[ProductID]],dProduct[ProductID],dProduct[CrateCost]))/_xlfn.XLOOKUP(fSales[[#This Row],[ProductID]],dProduct[ProductID],dProduct[CratePrice])</f>
        <v>0.42000000000000004</v>
      </c>
      <c r="N529" t="str">
        <f>_xlfn.XLOOKUP(fSales[[#This Row],[SalesRepID]],dPSalesRep[SalesRepID],dPSalesRep[SalesRep])</f>
        <v>Sioux Best</v>
      </c>
      <c r="O529" t="str">
        <f>_xlfn.XLOOKUP(fSales[[#This Row],[SalesRepID]],dPSalesRep[SalesRepID],dPSalesRep[Region])</f>
        <v>West</v>
      </c>
      <c r="P529" t="str">
        <f>_xlfn.XLOOKUP(fSales[[#This Row],[ProductID]],dProduct[ProductID],dProduct[Product])</f>
        <v>Cherry</v>
      </c>
      <c r="Q529">
        <f>_xlfn.XLOOKUP(fSales[[#This Row],[ProductID]],dProduct[ProductID],dProduct[CratePrice])-_xlfn.XLOOKUP(fSales[[#This Row],[ProductID]],dProduct[ProductID],dProduct[CrateCost])</f>
        <v>18.354000000000003</v>
      </c>
      <c r="R529">
        <f>_xlfn.XLOOKUP(fSales[[#This Row],[ProductID]],dProduct[ProductID],dProduct[CratePrice])</f>
        <v>43.7</v>
      </c>
      <c r="S529">
        <f>_xlfn.XLOOKUP(fSales[[#This Row],[ProductID]],dProduct[ProductID],dProduct[CrateCost])</f>
        <v>25.346</v>
      </c>
    </row>
    <row r="530" spans="7:19" x14ac:dyDescent="0.25">
      <c r="G530" s="2">
        <v>45645</v>
      </c>
      <c r="H530">
        <v>192</v>
      </c>
      <c r="I530" t="s">
        <v>28</v>
      </c>
      <c r="J530" t="s">
        <v>32</v>
      </c>
      <c r="K530">
        <f>_xlfn.XLOOKUP(fSales[[#This Row],[ProductID]],dProduct[ProductID],dProduct[CratePrice])*fSales[[#This Row],[Units]]</f>
        <v>8390.4000000000015</v>
      </c>
      <c r="L530">
        <f>fSales[[#This Row],[Total sales]]-_xlfn.XLOOKUP(fSales[[#This Row],[ProductID]],dProduct[ProductID],dProduct[CrateCost])*fSales[[#This Row],[Units]]</f>
        <v>3523.9680000000017</v>
      </c>
      <c r="M530">
        <f>(_xlfn.XLOOKUP(fSales[[#This Row],[ProductID]],dProduct[ProductID],dProduct[CratePrice])-_xlfn.XLOOKUP(fSales[[#This Row],[ProductID]],dProduct[ProductID],dProduct[CrateCost]))/_xlfn.XLOOKUP(fSales[[#This Row],[ProductID]],dProduct[ProductID],dProduct[CratePrice])</f>
        <v>0.42000000000000004</v>
      </c>
      <c r="N530" t="str">
        <f>_xlfn.XLOOKUP(fSales[[#This Row],[SalesRepID]],dPSalesRep[SalesRepID],dPSalesRep[SalesRep])</f>
        <v>Shihara Fazzaa</v>
      </c>
      <c r="O530" t="str">
        <f>_xlfn.XLOOKUP(fSales[[#This Row],[SalesRepID]],dPSalesRep[SalesRepID],dPSalesRep[Region])</f>
        <v>East</v>
      </c>
      <c r="P530" t="str">
        <f>_xlfn.XLOOKUP(fSales[[#This Row],[ProductID]],dProduct[ProductID],dProduct[Product])</f>
        <v>Cherry</v>
      </c>
      <c r="Q530">
        <f>_xlfn.XLOOKUP(fSales[[#This Row],[ProductID]],dProduct[ProductID],dProduct[CratePrice])-_xlfn.XLOOKUP(fSales[[#This Row],[ProductID]],dProduct[ProductID],dProduct[CrateCost])</f>
        <v>18.354000000000003</v>
      </c>
      <c r="R530">
        <f>_xlfn.XLOOKUP(fSales[[#This Row],[ProductID]],dProduct[ProductID],dProduct[CratePrice])</f>
        <v>43.7</v>
      </c>
      <c r="S530">
        <f>_xlfn.XLOOKUP(fSales[[#This Row],[ProductID]],dProduct[ProductID],dProduct[CrateCost])</f>
        <v>25.346</v>
      </c>
    </row>
    <row r="531" spans="7:19" x14ac:dyDescent="0.25">
      <c r="G531" s="2">
        <v>45645</v>
      </c>
      <c r="H531">
        <v>228</v>
      </c>
      <c r="I531" t="s">
        <v>21</v>
      </c>
      <c r="J531" t="s">
        <v>32</v>
      </c>
      <c r="K531">
        <f>_xlfn.XLOOKUP(fSales[[#This Row],[ProductID]],dProduct[ProductID],dProduct[CratePrice])*fSales[[#This Row],[Units]]</f>
        <v>5130</v>
      </c>
      <c r="L531">
        <f>fSales[[#This Row],[Total sales]]-_xlfn.XLOOKUP(fSales[[#This Row],[ProductID]],dProduct[ProductID],dProduct[CrateCost])*fSales[[#This Row],[Units]]</f>
        <v>2257.1999999999998</v>
      </c>
      <c r="M531">
        <f>(_xlfn.XLOOKUP(fSales[[#This Row],[ProductID]],dProduct[ProductID],dProduct[CratePrice])-_xlfn.XLOOKUP(fSales[[#This Row],[ProductID]],dProduct[ProductID],dProduct[CrateCost]))/_xlfn.XLOOKUP(fSales[[#This Row],[ProductID]],dProduct[ProductID],dProduct[CratePrice])</f>
        <v>0.43999999999999995</v>
      </c>
      <c r="N531" t="str">
        <f>_xlfn.XLOOKUP(fSales[[#This Row],[SalesRepID]],dPSalesRep[SalesRepID],dPSalesRep[SalesRep])</f>
        <v>Shihara Fazzaa</v>
      </c>
      <c r="O531" t="str">
        <f>_xlfn.XLOOKUP(fSales[[#This Row],[SalesRepID]],dPSalesRep[SalesRepID],dPSalesRep[Region])</f>
        <v>East</v>
      </c>
      <c r="P531" t="str">
        <f>_xlfn.XLOOKUP(fSales[[#This Row],[ProductID]],dProduct[ProductID],dProduct[Product])</f>
        <v>Kiwi</v>
      </c>
      <c r="Q531">
        <f>_xlfn.XLOOKUP(fSales[[#This Row],[ProductID]],dProduct[ProductID],dProduct[CratePrice])-_xlfn.XLOOKUP(fSales[[#This Row],[ProductID]],dProduct[ProductID],dProduct[CrateCost])</f>
        <v>9.8999999999999986</v>
      </c>
      <c r="R531">
        <f>_xlfn.XLOOKUP(fSales[[#This Row],[ProductID]],dProduct[ProductID],dProduct[CratePrice])</f>
        <v>22.5</v>
      </c>
      <c r="S531">
        <f>_xlfn.XLOOKUP(fSales[[#This Row],[ProductID]],dProduct[ProductID],dProduct[CrateCost])</f>
        <v>12.600000000000001</v>
      </c>
    </row>
    <row r="532" spans="7:19" x14ac:dyDescent="0.25">
      <c r="G532" s="2">
        <v>45646</v>
      </c>
      <c r="H532">
        <v>72</v>
      </c>
      <c r="I532" t="s">
        <v>19</v>
      </c>
      <c r="J532" t="s">
        <v>29</v>
      </c>
      <c r="K532">
        <f>_xlfn.XLOOKUP(fSales[[#This Row],[ProductID]],dProduct[ProductID],dProduct[CratePrice])*fSales[[#This Row],[Units]]</f>
        <v>2520</v>
      </c>
      <c r="L532">
        <f>fSales[[#This Row],[Total sales]]-_xlfn.XLOOKUP(fSales[[#This Row],[ProductID]],dProduct[ProductID],dProduct[CrateCost])*fSales[[#This Row],[Units]]</f>
        <v>1411.2</v>
      </c>
      <c r="M532">
        <f>(_xlfn.XLOOKUP(fSales[[#This Row],[ProductID]],dProduct[ProductID],dProduct[CratePrice])-_xlfn.XLOOKUP(fSales[[#This Row],[ProductID]],dProduct[ProductID],dProduct[CrateCost]))/_xlfn.XLOOKUP(fSales[[#This Row],[ProductID]],dProduct[ProductID],dProduct[CratePrice])</f>
        <v>0.56000000000000005</v>
      </c>
      <c r="N532" t="str">
        <f>_xlfn.XLOOKUP(fSales[[#This Row],[SalesRepID]],dPSalesRep[SalesRepID],dPSalesRep[SalesRep])</f>
        <v>Sioux Best</v>
      </c>
      <c r="O532" t="str">
        <f>_xlfn.XLOOKUP(fSales[[#This Row],[SalesRepID]],dPSalesRep[SalesRepID],dPSalesRep[Region])</f>
        <v>West</v>
      </c>
      <c r="P532" t="str">
        <f>_xlfn.XLOOKUP(fSales[[#This Row],[ProductID]],dProduct[ProductID],dProduct[Product])</f>
        <v>Apple</v>
      </c>
      <c r="Q532">
        <f>_xlfn.XLOOKUP(fSales[[#This Row],[ProductID]],dProduct[ProductID],dProduct[CratePrice])-_xlfn.XLOOKUP(fSales[[#This Row],[ProductID]],dProduct[ProductID],dProduct[CrateCost])</f>
        <v>19.600000000000001</v>
      </c>
      <c r="R532">
        <f>_xlfn.XLOOKUP(fSales[[#This Row],[ProductID]],dProduct[ProductID],dProduct[CratePrice])</f>
        <v>35</v>
      </c>
      <c r="S532">
        <f>_xlfn.XLOOKUP(fSales[[#This Row],[ProductID]],dProduct[ProductID],dProduct[CrateCost])</f>
        <v>15.4</v>
      </c>
    </row>
    <row r="533" spans="7:19" x14ac:dyDescent="0.25">
      <c r="G533" s="2">
        <v>45647</v>
      </c>
      <c r="H533">
        <v>192</v>
      </c>
      <c r="I533" t="s">
        <v>34</v>
      </c>
      <c r="J533" t="s">
        <v>32</v>
      </c>
      <c r="K533">
        <f>_xlfn.XLOOKUP(fSales[[#This Row],[ProductID]],dProduct[ProductID],dProduct[CratePrice])*fSales[[#This Row],[Units]]</f>
        <v>3360</v>
      </c>
      <c r="L533">
        <f>fSales[[#This Row],[Total sales]]-_xlfn.XLOOKUP(fSales[[#This Row],[ProductID]],dProduct[ProductID],dProduct[CrateCost])*fSales[[#This Row],[Units]]</f>
        <v>1108.7999999999997</v>
      </c>
      <c r="M533">
        <f>(_xlfn.XLOOKUP(fSales[[#This Row],[ProductID]],dProduct[ProductID],dProduct[CratePrice])-_xlfn.XLOOKUP(fSales[[#This Row],[ProductID]],dProduct[ProductID],dProduct[CrateCost]))/_xlfn.XLOOKUP(fSales[[#This Row],[ProductID]],dProduct[ProductID],dProduct[CratePrice])</f>
        <v>0.3299999999999999</v>
      </c>
      <c r="N533" t="str">
        <f>_xlfn.XLOOKUP(fSales[[#This Row],[SalesRepID]],dPSalesRep[SalesRepID],dPSalesRep[SalesRep])</f>
        <v>Shihara Fazzaa</v>
      </c>
      <c r="O533" t="str">
        <f>_xlfn.XLOOKUP(fSales[[#This Row],[SalesRepID]],dPSalesRep[SalesRepID],dPSalesRep[Region])</f>
        <v>East</v>
      </c>
      <c r="P533" t="str">
        <f>_xlfn.XLOOKUP(fSales[[#This Row],[ProductID]],dProduct[ProductID],dProduct[Product])</f>
        <v>Banana</v>
      </c>
      <c r="Q533">
        <f>_xlfn.XLOOKUP(fSales[[#This Row],[ProductID]],dProduct[ProductID],dProduct[CratePrice])-_xlfn.XLOOKUP(fSales[[#This Row],[ProductID]],dProduct[ProductID],dProduct[CrateCost])</f>
        <v>5.7749999999999986</v>
      </c>
      <c r="R533">
        <f>_xlfn.XLOOKUP(fSales[[#This Row],[ProductID]],dProduct[ProductID],dProduct[CratePrice])</f>
        <v>17.5</v>
      </c>
      <c r="S533">
        <f>_xlfn.XLOOKUP(fSales[[#This Row],[ProductID]],dProduct[ProductID],dProduct[CrateCost])</f>
        <v>11.725000000000001</v>
      </c>
    </row>
    <row r="534" spans="7:19" x14ac:dyDescent="0.25">
      <c r="G534" s="2">
        <v>45647</v>
      </c>
      <c r="H534">
        <v>264</v>
      </c>
      <c r="I534" t="s">
        <v>28</v>
      </c>
      <c r="J534" t="s">
        <v>32</v>
      </c>
      <c r="K534">
        <f>_xlfn.XLOOKUP(fSales[[#This Row],[ProductID]],dProduct[ProductID],dProduct[CratePrice])*fSales[[#This Row],[Units]]</f>
        <v>11536.800000000001</v>
      </c>
      <c r="L534">
        <f>fSales[[#This Row],[Total sales]]-_xlfn.XLOOKUP(fSales[[#This Row],[ProductID]],dProduct[ProductID],dProduct[CrateCost])*fSales[[#This Row],[Units]]</f>
        <v>4845.456000000001</v>
      </c>
      <c r="M534">
        <f>(_xlfn.XLOOKUP(fSales[[#This Row],[ProductID]],dProduct[ProductID],dProduct[CratePrice])-_xlfn.XLOOKUP(fSales[[#This Row],[ProductID]],dProduct[ProductID],dProduct[CrateCost]))/_xlfn.XLOOKUP(fSales[[#This Row],[ProductID]],dProduct[ProductID],dProduct[CratePrice])</f>
        <v>0.42000000000000004</v>
      </c>
      <c r="N534" t="str">
        <f>_xlfn.XLOOKUP(fSales[[#This Row],[SalesRepID]],dPSalesRep[SalesRepID],dPSalesRep[SalesRep])</f>
        <v>Shihara Fazzaa</v>
      </c>
      <c r="O534" t="str">
        <f>_xlfn.XLOOKUP(fSales[[#This Row],[SalesRepID]],dPSalesRep[SalesRepID],dPSalesRep[Region])</f>
        <v>East</v>
      </c>
      <c r="P534" t="str">
        <f>_xlfn.XLOOKUP(fSales[[#This Row],[ProductID]],dProduct[ProductID],dProduct[Product])</f>
        <v>Cherry</v>
      </c>
      <c r="Q534">
        <f>_xlfn.XLOOKUP(fSales[[#This Row],[ProductID]],dProduct[ProductID],dProduct[CratePrice])-_xlfn.XLOOKUP(fSales[[#This Row],[ProductID]],dProduct[ProductID],dProduct[CrateCost])</f>
        <v>18.354000000000003</v>
      </c>
      <c r="R534">
        <f>_xlfn.XLOOKUP(fSales[[#This Row],[ProductID]],dProduct[ProductID],dProduct[CratePrice])</f>
        <v>43.7</v>
      </c>
      <c r="S534">
        <f>_xlfn.XLOOKUP(fSales[[#This Row],[ProductID]],dProduct[ProductID],dProduct[CrateCost])</f>
        <v>25.346</v>
      </c>
    </row>
    <row r="535" spans="7:19" x14ac:dyDescent="0.25">
      <c r="G535" s="2">
        <v>45648</v>
      </c>
      <c r="H535">
        <v>276</v>
      </c>
      <c r="I535" t="s">
        <v>28</v>
      </c>
      <c r="J535" t="s">
        <v>37</v>
      </c>
      <c r="K535">
        <f>_xlfn.XLOOKUP(fSales[[#This Row],[ProductID]],dProduct[ProductID],dProduct[CratePrice])*fSales[[#This Row],[Units]]</f>
        <v>12061.2</v>
      </c>
      <c r="L535">
        <f>fSales[[#This Row],[Total sales]]-_xlfn.XLOOKUP(fSales[[#This Row],[ProductID]],dProduct[ProductID],dProduct[CrateCost])*fSales[[#This Row],[Units]]</f>
        <v>5065.7040000000006</v>
      </c>
      <c r="M535">
        <f>(_xlfn.XLOOKUP(fSales[[#This Row],[ProductID]],dProduct[ProductID],dProduct[CratePrice])-_xlfn.XLOOKUP(fSales[[#This Row],[ProductID]],dProduct[ProductID],dProduct[CrateCost]))/_xlfn.XLOOKUP(fSales[[#This Row],[ProductID]],dProduct[ProductID],dProduct[CratePrice])</f>
        <v>0.42000000000000004</v>
      </c>
      <c r="N535" t="str">
        <f>_xlfn.XLOOKUP(fSales[[#This Row],[SalesRepID]],dPSalesRep[SalesRepID],dPSalesRep[SalesRep])</f>
        <v>Chantel Mims</v>
      </c>
      <c r="O535" t="str">
        <f>_xlfn.XLOOKUP(fSales[[#This Row],[SalesRepID]],dPSalesRep[SalesRepID],dPSalesRep[Region])</f>
        <v>NW</v>
      </c>
      <c r="P535" t="str">
        <f>_xlfn.XLOOKUP(fSales[[#This Row],[ProductID]],dProduct[ProductID],dProduct[Product])</f>
        <v>Cherry</v>
      </c>
      <c r="Q535">
        <f>_xlfn.XLOOKUP(fSales[[#This Row],[ProductID]],dProduct[ProductID],dProduct[CratePrice])-_xlfn.XLOOKUP(fSales[[#This Row],[ProductID]],dProduct[ProductID],dProduct[CrateCost])</f>
        <v>18.354000000000003</v>
      </c>
      <c r="R535">
        <f>_xlfn.XLOOKUP(fSales[[#This Row],[ProductID]],dProduct[ProductID],dProduct[CratePrice])</f>
        <v>43.7</v>
      </c>
      <c r="S535">
        <f>_xlfn.XLOOKUP(fSales[[#This Row],[ProductID]],dProduct[ProductID],dProduct[CrateCost])</f>
        <v>25.346</v>
      </c>
    </row>
    <row r="536" spans="7:19" x14ac:dyDescent="0.25">
      <c r="G536" s="2">
        <v>45648</v>
      </c>
      <c r="H536">
        <v>24</v>
      </c>
      <c r="I536" t="s">
        <v>21</v>
      </c>
      <c r="J536" t="s">
        <v>29</v>
      </c>
      <c r="K536">
        <f>_xlfn.XLOOKUP(fSales[[#This Row],[ProductID]],dProduct[ProductID],dProduct[CratePrice])*fSales[[#This Row],[Units]]</f>
        <v>540</v>
      </c>
      <c r="L536">
        <f>fSales[[#This Row],[Total sales]]-_xlfn.XLOOKUP(fSales[[#This Row],[ProductID]],dProduct[ProductID],dProduct[CrateCost])*fSales[[#This Row],[Units]]</f>
        <v>237.59999999999997</v>
      </c>
      <c r="M536">
        <f>(_xlfn.XLOOKUP(fSales[[#This Row],[ProductID]],dProduct[ProductID],dProduct[CratePrice])-_xlfn.XLOOKUP(fSales[[#This Row],[ProductID]],dProduct[ProductID],dProduct[CrateCost]))/_xlfn.XLOOKUP(fSales[[#This Row],[ProductID]],dProduct[ProductID],dProduct[CratePrice])</f>
        <v>0.43999999999999995</v>
      </c>
      <c r="N536" t="str">
        <f>_xlfn.XLOOKUP(fSales[[#This Row],[SalesRepID]],dPSalesRep[SalesRepID],dPSalesRep[SalesRep])</f>
        <v>Sioux Best</v>
      </c>
      <c r="O536" t="str">
        <f>_xlfn.XLOOKUP(fSales[[#This Row],[SalesRepID]],dPSalesRep[SalesRepID],dPSalesRep[Region])</f>
        <v>West</v>
      </c>
      <c r="P536" t="str">
        <f>_xlfn.XLOOKUP(fSales[[#This Row],[ProductID]],dProduct[ProductID],dProduct[Product])</f>
        <v>Kiwi</v>
      </c>
      <c r="Q536">
        <f>_xlfn.XLOOKUP(fSales[[#This Row],[ProductID]],dProduct[ProductID],dProduct[CratePrice])-_xlfn.XLOOKUP(fSales[[#This Row],[ProductID]],dProduct[ProductID],dProduct[CrateCost])</f>
        <v>9.8999999999999986</v>
      </c>
      <c r="R536">
        <f>_xlfn.XLOOKUP(fSales[[#This Row],[ProductID]],dProduct[ProductID],dProduct[CratePrice])</f>
        <v>22.5</v>
      </c>
      <c r="S536">
        <f>_xlfn.XLOOKUP(fSales[[#This Row],[ProductID]],dProduct[ProductID],dProduct[CrateCost])</f>
        <v>12.600000000000001</v>
      </c>
    </row>
    <row r="537" spans="7:19" x14ac:dyDescent="0.25">
      <c r="G537" s="2">
        <v>45650</v>
      </c>
      <c r="H537">
        <v>72</v>
      </c>
      <c r="I537" t="s">
        <v>34</v>
      </c>
      <c r="J537" t="s">
        <v>29</v>
      </c>
      <c r="K537">
        <f>_xlfn.XLOOKUP(fSales[[#This Row],[ProductID]],dProduct[ProductID],dProduct[CratePrice])*fSales[[#This Row],[Units]]</f>
        <v>1260</v>
      </c>
      <c r="L537">
        <f>fSales[[#This Row],[Total sales]]-_xlfn.XLOOKUP(fSales[[#This Row],[ProductID]],dProduct[ProductID],dProduct[CrateCost])*fSales[[#This Row],[Units]]</f>
        <v>415.79999999999995</v>
      </c>
      <c r="M537">
        <f>(_xlfn.XLOOKUP(fSales[[#This Row],[ProductID]],dProduct[ProductID],dProduct[CratePrice])-_xlfn.XLOOKUP(fSales[[#This Row],[ProductID]],dProduct[ProductID],dProduct[CrateCost]))/_xlfn.XLOOKUP(fSales[[#This Row],[ProductID]],dProduct[ProductID],dProduct[CratePrice])</f>
        <v>0.3299999999999999</v>
      </c>
      <c r="N537" t="str">
        <f>_xlfn.XLOOKUP(fSales[[#This Row],[SalesRepID]],dPSalesRep[SalesRepID],dPSalesRep[SalesRep])</f>
        <v>Sioux Best</v>
      </c>
      <c r="O537" t="str">
        <f>_xlfn.XLOOKUP(fSales[[#This Row],[SalesRepID]],dPSalesRep[SalesRepID],dPSalesRep[Region])</f>
        <v>West</v>
      </c>
      <c r="P537" t="str">
        <f>_xlfn.XLOOKUP(fSales[[#This Row],[ProductID]],dProduct[ProductID],dProduct[Product])</f>
        <v>Banana</v>
      </c>
      <c r="Q537">
        <f>_xlfn.XLOOKUP(fSales[[#This Row],[ProductID]],dProduct[ProductID],dProduct[CratePrice])-_xlfn.XLOOKUP(fSales[[#This Row],[ProductID]],dProduct[ProductID],dProduct[CrateCost])</f>
        <v>5.7749999999999986</v>
      </c>
      <c r="R537">
        <f>_xlfn.XLOOKUP(fSales[[#This Row],[ProductID]],dProduct[ProductID],dProduct[CratePrice])</f>
        <v>17.5</v>
      </c>
      <c r="S537">
        <f>_xlfn.XLOOKUP(fSales[[#This Row],[ProductID]],dProduct[ProductID],dProduct[CrateCost])</f>
        <v>11.725000000000001</v>
      </c>
    </row>
    <row r="538" spans="7:19" x14ac:dyDescent="0.25">
      <c r="G538" s="2">
        <v>45650</v>
      </c>
      <c r="H538">
        <v>252</v>
      </c>
      <c r="I538" t="s">
        <v>34</v>
      </c>
      <c r="J538" t="s">
        <v>22</v>
      </c>
      <c r="K538">
        <f>_xlfn.XLOOKUP(fSales[[#This Row],[ProductID]],dProduct[ProductID],dProduct[CratePrice])*fSales[[#This Row],[Units]]</f>
        <v>4410</v>
      </c>
      <c r="L538">
        <f>fSales[[#This Row],[Total sales]]-_xlfn.XLOOKUP(fSales[[#This Row],[ProductID]],dProduct[ProductID],dProduct[CrateCost])*fSales[[#This Row],[Units]]</f>
        <v>1455.2999999999997</v>
      </c>
      <c r="M538">
        <f>(_xlfn.XLOOKUP(fSales[[#This Row],[ProductID]],dProduct[ProductID],dProduct[CratePrice])-_xlfn.XLOOKUP(fSales[[#This Row],[ProductID]],dProduct[ProductID],dProduct[CrateCost]))/_xlfn.XLOOKUP(fSales[[#This Row],[ProductID]],dProduct[ProductID],dProduct[CratePrice])</f>
        <v>0.3299999999999999</v>
      </c>
      <c r="N538" t="str">
        <f>_xlfn.XLOOKUP(fSales[[#This Row],[SalesRepID]],dPSalesRep[SalesRepID],dPSalesRep[SalesRep])</f>
        <v>Timmy Kips</v>
      </c>
      <c r="O538" t="str">
        <f>_xlfn.XLOOKUP(fSales[[#This Row],[SalesRepID]],dPSalesRep[SalesRepID],dPSalesRep[Region])</f>
        <v>East</v>
      </c>
      <c r="P538" t="str">
        <f>_xlfn.XLOOKUP(fSales[[#This Row],[ProductID]],dProduct[ProductID],dProduct[Product])</f>
        <v>Banana</v>
      </c>
      <c r="Q538">
        <f>_xlfn.XLOOKUP(fSales[[#This Row],[ProductID]],dProduct[ProductID],dProduct[CratePrice])-_xlfn.XLOOKUP(fSales[[#This Row],[ProductID]],dProduct[ProductID],dProduct[CrateCost])</f>
        <v>5.7749999999999986</v>
      </c>
      <c r="R538">
        <f>_xlfn.XLOOKUP(fSales[[#This Row],[ProductID]],dProduct[ProductID],dProduct[CratePrice])</f>
        <v>17.5</v>
      </c>
      <c r="S538">
        <f>_xlfn.XLOOKUP(fSales[[#This Row],[ProductID]],dProduct[ProductID],dProduct[CrateCost])</f>
        <v>11.725000000000001</v>
      </c>
    </row>
    <row r="539" spans="7:19" x14ac:dyDescent="0.25">
      <c r="G539" s="2">
        <v>45650</v>
      </c>
      <c r="H539">
        <v>240</v>
      </c>
      <c r="I539" t="s">
        <v>19</v>
      </c>
      <c r="J539" t="s">
        <v>37</v>
      </c>
      <c r="K539">
        <f>_xlfn.XLOOKUP(fSales[[#This Row],[ProductID]],dProduct[ProductID],dProduct[CratePrice])*fSales[[#This Row],[Units]]</f>
        <v>8400</v>
      </c>
      <c r="L539">
        <f>fSales[[#This Row],[Total sales]]-_xlfn.XLOOKUP(fSales[[#This Row],[ProductID]],dProduct[ProductID],dProduct[CrateCost])*fSales[[#This Row],[Units]]</f>
        <v>4704</v>
      </c>
      <c r="M539">
        <f>(_xlfn.XLOOKUP(fSales[[#This Row],[ProductID]],dProduct[ProductID],dProduct[CratePrice])-_xlfn.XLOOKUP(fSales[[#This Row],[ProductID]],dProduct[ProductID],dProduct[CrateCost]))/_xlfn.XLOOKUP(fSales[[#This Row],[ProductID]],dProduct[ProductID],dProduct[CratePrice])</f>
        <v>0.56000000000000005</v>
      </c>
      <c r="N539" t="str">
        <f>_xlfn.XLOOKUP(fSales[[#This Row],[SalesRepID]],dPSalesRep[SalesRepID],dPSalesRep[SalesRep])</f>
        <v>Chantel Mims</v>
      </c>
      <c r="O539" t="str">
        <f>_xlfn.XLOOKUP(fSales[[#This Row],[SalesRepID]],dPSalesRep[SalesRepID],dPSalesRep[Region])</f>
        <v>NW</v>
      </c>
      <c r="P539" t="str">
        <f>_xlfn.XLOOKUP(fSales[[#This Row],[ProductID]],dProduct[ProductID],dProduct[Product])</f>
        <v>Apple</v>
      </c>
      <c r="Q539">
        <f>_xlfn.XLOOKUP(fSales[[#This Row],[ProductID]],dProduct[ProductID],dProduct[CratePrice])-_xlfn.XLOOKUP(fSales[[#This Row],[ProductID]],dProduct[ProductID],dProduct[CrateCost])</f>
        <v>19.600000000000001</v>
      </c>
      <c r="R539">
        <f>_xlfn.XLOOKUP(fSales[[#This Row],[ProductID]],dProduct[ProductID],dProduct[CratePrice])</f>
        <v>35</v>
      </c>
      <c r="S539">
        <f>_xlfn.XLOOKUP(fSales[[#This Row],[ProductID]],dProduct[ProductID],dProduct[CrateCost])</f>
        <v>15.4</v>
      </c>
    </row>
    <row r="540" spans="7:19" x14ac:dyDescent="0.25">
      <c r="G540" s="2">
        <v>45652</v>
      </c>
      <c r="H540">
        <v>216</v>
      </c>
      <c r="I540" t="s">
        <v>21</v>
      </c>
      <c r="J540" t="s">
        <v>52</v>
      </c>
      <c r="K540">
        <f>_xlfn.XLOOKUP(fSales[[#This Row],[ProductID]],dProduct[ProductID],dProduct[CratePrice])*fSales[[#This Row],[Units]]</f>
        <v>4860</v>
      </c>
      <c r="L540">
        <f>fSales[[#This Row],[Total sales]]-_xlfn.XLOOKUP(fSales[[#This Row],[ProductID]],dProduct[ProductID],dProduct[CrateCost])*fSales[[#This Row],[Units]]</f>
        <v>2138.3999999999996</v>
      </c>
      <c r="M540">
        <f>(_xlfn.XLOOKUP(fSales[[#This Row],[ProductID]],dProduct[ProductID],dProduct[CratePrice])-_xlfn.XLOOKUP(fSales[[#This Row],[ProductID]],dProduct[ProductID],dProduct[CrateCost]))/_xlfn.XLOOKUP(fSales[[#This Row],[ProductID]],dProduct[ProductID],dProduct[CratePrice])</f>
        <v>0.43999999999999995</v>
      </c>
      <c r="N540" t="str">
        <f>_xlfn.XLOOKUP(fSales[[#This Row],[SalesRepID]],dPSalesRep[SalesRepID],dPSalesRep[SalesRep])</f>
        <v>Smitty Rad</v>
      </c>
      <c r="O540" t="str">
        <f>_xlfn.XLOOKUP(fSales[[#This Row],[SalesRepID]],dPSalesRep[SalesRepID],dPSalesRep[Region])</f>
        <v>MidWest</v>
      </c>
      <c r="P540" t="str">
        <f>_xlfn.XLOOKUP(fSales[[#This Row],[ProductID]],dProduct[ProductID],dProduct[Product])</f>
        <v>Kiwi</v>
      </c>
      <c r="Q540">
        <f>_xlfn.XLOOKUP(fSales[[#This Row],[ProductID]],dProduct[ProductID],dProduct[CratePrice])-_xlfn.XLOOKUP(fSales[[#This Row],[ProductID]],dProduct[ProductID],dProduct[CrateCost])</f>
        <v>9.8999999999999986</v>
      </c>
      <c r="R540">
        <f>_xlfn.XLOOKUP(fSales[[#This Row],[ProductID]],dProduct[ProductID],dProduct[CratePrice])</f>
        <v>22.5</v>
      </c>
      <c r="S540">
        <f>_xlfn.XLOOKUP(fSales[[#This Row],[ProductID]],dProduct[ProductID],dProduct[CrateCost])</f>
        <v>12.600000000000001</v>
      </c>
    </row>
    <row r="541" spans="7:19" x14ac:dyDescent="0.25">
      <c r="G541" s="2">
        <v>45655</v>
      </c>
      <c r="H541">
        <v>48</v>
      </c>
      <c r="I541" t="s">
        <v>28</v>
      </c>
      <c r="J541" t="s">
        <v>52</v>
      </c>
      <c r="K541">
        <f>_xlfn.XLOOKUP(fSales[[#This Row],[ProductID]],dProduct[ProductID],dProduct[CratePrice])*fSales[[#This Row],[Units]]</f>
        <v>2097.6000000000004</v>
      </c>
      <c r="L541">
        <f>fSales[[#This Row],[Total sales]]-_xlfn.XLOOKUP(fSales[[#This Row],[ProductID]],dProduct[ProductID],dProduct[CrateCost])*fSales[[#This Row],[Units]]</f>
        <v>880.99200000000042</v>
      </c>
      <c r="M541">
        <f>(_xlfn.XLOOKUP(fSales[[#This Row],[ProductID]],dProduct[ProductID],dProduct[CratePrice])-_xlfn.XLOOKUP(fSales[[#This Row],[ProductID]],dProduct[ProductID],dProduct[CrateCost]))/_xlfn.XLOOKUP(fSales[[#This Row],[ProductID]],dProduct[ProductID],dProduct[CratePrice])</f>
        <v>0.42000000000000004</v>
      </c>
      <c r="N541" t="str">
        <f>_xlfn.XLOOKUP(fSales[[#This Row],[SalesRepID]],dPSalesRep[SalesRepID],dPSalesRep[SalesRep])</f>
        <v>Smitty Rad</v>
      </c>
      <c r="O541" t="str">
        <f>_xlfn.XLOOKUP(fSales[[#This Row],[SalesRepID]],dPSalesRep[SalesRepID],dPSalesRep[Region])</f>
        <v>MidWest</v>
      </c>
      <c r="P541" t="str">
        <f>_xlfn.XLOOKUP(fSales[[#This Row],[ProductID]],dProduct[ProductID],dProduct[Product])</f>
        <v>Cherry</v>
      </c>
      <c r="Q541">
        <f>_xlfn.XLOOKUP(fSales[[#This Row],[ProductID]],dProduct[ProductID],dProduct[CratePrice])-_xlfn.XLOOKUP(fSales[[#This Row],[ProductID]],dProduct[ProductID],dProduct[CrateCost])</f>
        <v>18.354000000000003</v>
      </c>
      <c r="R541">
        <f>_xlfn.XLOOKUP(fSales[[#This Row],[ProductID]],dProduct[ProductID],dProduct[CratePrice])</f>
        <v>43.7</v>
      </c>
      <c r="S541">
        <f>_xlfn.XLOOKUP(fSales[[#This Row],[ProductID]],dProduct[ProductID],dProduct[CrateCost])</f>
        <v>25.346</v>
      </c>
    </row>
    <row r="542" spans="7:19" x14ac:dyDescent="0.25">
      <c r="G542" s="2">
        <v>45656</v>
      </c>
      <c r="H542">
        <v>240</v>
      </c>
      <c r="I542" t="s">
        <v>19</v>
      </c>
      <c r="J542" t="s">
        <v>22</v>
      </c>
      <c r="K542">
        <f>_xlfn.XLOOKUP(fSales[[#This Row],[ProductID]],dProduct[ProductID],dProduct[CratePrice])*fSales[[#This Row],[Units]]</f>
        <v>8400</v>
      </c>
      <c r="L542">
        <f>fSales[[#This Row],[Total sales]]-_xlfn.XLOOKUP(fSales[[#This Row],[ProductID]],dProduct[ProductID],dProduct[CrateCost])*fSales[[#This Row],[Units]]</f>
        <v>4704</v>
      </c>
      <c r="M542">
        <f>(_xlfn.XLOOKUP(fSales[[#This Row],[ProductID]],dProduct[ProductID],dProduct[CratePrice])-_xlfn.XLOOKUP(fSales[[#This Row],[ProductID]],dProduct[ProductID],dProduct[CrateCost]))/_xlfn.XLOOKUP(fSales[[#This Row],[ProductID]],dProduct[ProductID],dProduct[CratePrice])</f>
        <v>0.56000000000000005</v>
      </c>
      <c r="N542" t="str">
        <f>_xlfn.XLOOKUP(fSales[[#This Row],[SalesRepID]],dPSalesRep[SalesRepID],dPSalesRep[SalesRep])</f>
        <v>Timmy Kips</v>
      </c>
      <c r="O542" t="str">
        <f>_xlfn.XLOOKUP(fSales[[#This Row],[SalesRepID]],dPSalesRep[SalesRepID],dPSalesRep[Region])</f>
        <v>East</v>
      </c>
      <c r="P542" t="str">
        <f>_xlfn.XLOOKUP(fSales[[#This Row],[ProductID]],dProduct[ProductID],dProduct[Product])</f>
        <v>Apple</v>
      </c>
      <c r="Q542">
        <f>_xlfn.XLOOKUP(fSales[[#This Row],[ProductID]],dProduct[ProductID],dProduct[CratePrice])-_xlfn.XLOOKUP(fSales[[#This Row],[ProductID]],dProduct[ProductID],dProduct[CrateCost])</f>
        <v>19.600000000000001</v>
      </c>
      <c r="R542">
        <f>_xlfn.XLOOKUP(fSales[[#This Row],[ProductID]],dProduct[ProductID],dProduct[CratePrice])</f>
        <v>35</v>
      </c>
      <c r="S542">
        <f>_xlfn.XLOOKUP(fSales[[#This Row],[ProductID]],dProduct[ProductID],dProduct[CrateCost])</f>
        <v>15.4</v>
      </c>
    </row>
    <row r="543" spans="7:19" x14ac:dyDescent="0.25">
      <c r="G543" s="2">
        <v>45659</v>
      </c>
      <c r="H543">
        <v>156</v>
      </c>
      <c r="I543" t="s">
        <v>26</v>
      </c>
      <c r="J543" t="s">
        <v>37</v>
      </c>
      <c r="K543">
        <f>_xlfn.XLOOKUP(fSales[[#This Row],[ProductID]],dProduct[ProductID],dProduct[CratePrice])*fSales[[#This Row],[Units]]</f>
        <v>4641</v>
      </c>
      <c r="L543">
        <f>fSales[[#This Row],[Total sales]]-_xlfn.XLOOKUP(fSales[[#This Row],[ProductID]],dProduct[ProductID],dProduct[CrateCost])*fSales[[#This Row],[Units]]</f>
        <v>1949.2200000000003</v>
      </c>
      <c r="M543">
        <f>(_xlfn.XLOOKUP(fSales[[#This Row],[ProductID]],dProduct[ProductID],dProduct[CratePrice])-_xlfn.XLOOKUP(fSales[[#This Row],[ProductID]],dProduct[ProductID],dProduct[CrateCost]))/_xlfn.XLOOKUP(fSales[[#This Row],[ProductID]],dProduct[ProductID],dProduct[CratePrice])</f>
        <v>0.42000000000000004</v>
      </c>
      <c r="N543" t="str">
        <f>_xlfn.XLOOKUP(fSales[[#This Row],[SalesRepID]],dPSalesRep[SalesRepID],dPSalesRep[SalesRep])</f>
        <v>Chantel Mims</v>
      </c>
      <c r="O543" t="str">
        <f>_xlfn.XLOOKUP(fSales[[#This Row],[SalesRepID]],dPSalesRep[SalesRepID],dPSalesRep[Region])</f>
        <v>NW</v>
      </c>
      <c r="P543" t="str">
        <f>_xlfn.XLOOKUP(fSales[[#This Row],[ProductID]],dProduct[ProductID],dProduct[Product])</f>
        <v>Orange</v>
      </c>
      <c r="Q543">
        <f>_xlfn.XLOOKUP(fSales[[#This Row],[ProductID]],dProduct[ProductID],dProduct[CratePrice])-_xlfn.XLOOKUP(fSales[[#This Row],[ProductID]],dProduct[ProductID],dProduct[CrateCost])</f>
        <v>12.495000000000001</v>
      </c>
      <c r="R543">
        <f>_xlfn.XLOOKUP(fSales[[#This Row],[ProductID]],dProduct[ProductID],dProduct[CratePrice])</f>
        <v>29.75</v>
      </c>
      <c r="S543">
        <f>_xlfn.XLOOKUP(fSales[[#This Row],[ProductID]],dProduct[ProductID],dProduct[CrateCost])</f>
        <v>17.254999999999999</v>
      </c>
    </row>
    <row r="544" spans="7:19" x14ac:dyDescent="0.25">
      <c r="G544" s="2">
        <v>45660</v>
      </c>
      <c r="H544">
        <v>216</v>
      </c>
      <c r="I544" t="s">
        <v>19</v>
      </c>
      <c r="J544" t="s">
        <v>32</v>
      </c>
      <c r="K544">
        <f>_xlfn.XLOOKUP(fSales[[#This Row],[ProductID]],dProduct[ProductID],dProduct[CratePrice])*fSales[[#This Row],[Units]]</f>
        <v>7560</v>
      </c>
      <c r="L544">
        <f>fSales[[#This Row],[Total sales]]-_xlfn.XLOOKUP(fSales[[#This Row],[ProductID]],dProduct[ProductID],dProduct[CrateCost])*fSales[[#This Row],[Units]]</f>
        <v>4233.6000000000004</v>
      </c>
      <c r="M544">
        <f>(_xlfn.XLOOKUP(fSales[[#This Row],[ProductID]],dProduct[ProductID],dProduct[CratePrice])-_xlfn.XLOOKUP(fSales[[#This Row],[ProductID]],dProduct[ProductID],dProduct[CrateCost]))/_xlfn.XLOOKUP(fSales[[#This Row],[ProductID]],dProduct[ProductID],dProduct[CratePrice])</f>
        <v>0.56000000000000005</v>
      </c>
      <c r="N544" t="str">
        <f>_xlfn.XLOOKUP(fSales[[#This Row],[SalesRepID]],dPSalesRep[SalesRepID],dPSalesRep[SalesRep])</f>
        <v>Shihara Fazzaa</v>
      </c>
      <c r="O544" t="str">
        <f>_xlfn.XLOOKUP(fSales[[#This Row],[SalesRepID]],dPSalesRep[SalesRepID],dPSalesRep[Region])</f>
        <v>East</v>
      </c>
      <c r="P544" t="str">
        <f>_xlfn.XLOOKUP(fSales[[#This Row],[ProductID]],dProduct[ProductID],dProduct[Product])</f>
        <v>Apple</v>
      </c>
      <c r="Q544">
        <f>_xlfn.XLOOKUP(fSales[[#This Row],[ProductID]],dProduct[ProductID],dProduct[CratePrice])-_xlfn.XLOOKUP(fSales[[#This Row],[ProductID]],dProduct[ProductID],dProduct[CrateCost])</f>
        <v>19.600000000000001</v>
      </c>
      <c r="R544">
        <f>_xlfn.XLOOKUP(fSales[[#This Row],[ProductID]],dProduct[ProductID],dProduct[CratePrice])</f>
        <v>35</v>
      </c>
      <c r="S544">
        <f>_xlfn.XLOOKUP(fSales[[#This Row],[ProductID]],dProduct[ProductID],dProduct[CrateCost])</f>
        <v>15.4</v>
      </c>
    </row>
    <row r="545" spans="7:19" x14ac:dyDescent="0.25">
      <c r="G545" s="2">
        <v>45660</v>
      </c>
      <c r="H545">
        <v>72</v>
      </c>
      <c r="I545" t="s">
        <v>19</v>
      </c>
      <c r="J545" t="s">
        <v>37</v>
      </c>
      <c r="K545">
        <f>_xlfn.XLOOKUP(fSales[[#This Row],[ProductID]],dProduct[ProductID],dProduct[CratePrice])*fSales[[#This Row],[Units]]</f>
        <v>2520</v>
      </c>
      <c r="L545">
        <f>fSales[[#This Row],[Total sales]]-_xlfn.XLOOKUP(fSales[[#This Row],[ProductID]],dProduct[ProductID],dProduct[CrateCost])*fSales[[#This Row],[Units]]</f>
        <v>1411.2</v>
      </c>
      <c r="M545">
        <f>(_xlfn.XLOOKUP(fSales[[#This Row],[ProductID]],dProduct[ProductID],dProduct[CratePrice])-_xlfn.XLOOKUP(fSales[[#This Row],[ProductID]],dProduct[ProductID],dProduct[CrateCost]))/_xlfn.XLOOKUP(fSales[[#This Row],[ProductID]],dProduct[ProductID],dProduct[CratePrice])</f>
        <v>0.56000000000000005</v>
      </c>
      <c r="N545" t="str">
        <f>_xlfn.XLOOKUP(fSales[[#This Row],[SalesRepID]],dPSalesRep[SalesRepID],dPSalesRep[SalesRep])</f>
        <v>Chantel Mims</v>
      </c>
      <c r="O545" t="str">
        <f>_xlfn.XLOOKUP(fSales[[#This Row],[SalesRepID]],dPSalesRep[SalesRepID],dPSalesRep[Region])</f>
        <v>NW</v>
      </c>
      <c r="P545" t="str">
        <f>_xlfn.XLOOKUP(fSales[[#This Row],[ProductID]],dProduct[ProductID],dProduct[Product])</f>
        <v>Apple</v>
      </c>
      <c r="Q545">
        <f>_xlfn.XLOOKUP(fSales[[#This Row],[ProductID]],dProduct[ProductID],dProduct[CratePrice])-_xlfn.XLOOKUP(fSales[[#This Row],[ProductID]],dProduct[ProductID],dProduct[CrateCost])</f>
        <v>19.600000000000001</v>
      </c>
      <c r="R545">
        <f>_xlfn.XLOOKUP(fSales[[#This Row],[ProductID]],dProduct[ProductID],dProduct[CratePrice])</f>
        <v>35</v>
      </c>
      <c r="S545">
        <f>_xlfn.XLOOKUP(fSales[[#This Row],[ProductID]],dProduct[ProductID],dProduct[CrateCost])</f>
        <v>15.4</v>
      </c>
    </row>
    <row r="546" spans="7:19" x14ac:dyDescent="0.25">
      <c r="G546" s="2">
        <v>45660</v>
      </c>
      <c r="H546">
        <v>48</v>
      </c>
      <c r="I546" t="s">
        <v>28</v>
      </c>
      <c r="J546" t="s">
        <v>29</v>
      </c>
      <c r="K546">
        <f>_xlfn.XLOOKUP(fSales[[#This Row],[ProductID]],dProduct[ProductID],dProduct[CratePrice])*fSales[[#This Row],[Units]]</f>
        <v>2097.6000000000004</v>
      </c>
      <c r="L546">
        <f>fSales[[#This Row],[Total sales]]-_xlfn.XLOOKUP(fSales[[#This Row],[ProductID]],dProduct[ProductID],dProduct[CrateCost])*fSales[[#This Row],[Units]]</f>
        <v>880.99200000000042</v>
      </c>
      <c r="M546">
        <f>(_xlfn.XLOOKUP(fSales[[#This Row],[ProductID]],dProduct[ProductID],dProduct[CratePrice])-_xlfn.XLOOKUP(fSales[[#This Row],[ProductID]],dProduct[ProductID],dProduct[CrateCost]))/_xlfn.XLOOKUP(fSales[[#This Row],[ProductID]],dProduct[ProductID],dProduct[CratePrice])</f>
        <v>0.42000000000000004</v>
      </c>
      <c r="N546" t="str">
        <f>_xlfn.XLOOKUP(fSales[[#This Row],[SalesRepID]],dPSalesRep[SalesRepID],dPSalesRep[SalesRep])</f>
        <v>Sioux Best</v>
      </c>
      <c r="O546" t="str">
        <f>_xlfn.XLOOKUP(fSales[[#This Row],[SalesRepID]],dPSalesRep[SalesRepID],dPSalesRep[Region])</f>
        <v>West</v>
      </c>
      <c r="P546" t="str">
        <f>_xlfn.XLOOKUP(fSales[[#This Row],[ProductID]],dProduct[ProductID],dProduct[Product])</f>
        <v>Cherry</v>
      </c>
      <c r="Q546">
        <f>_xlfn.XLOOKUP(fSales[[#This Row],[ProductID]],dProduct[ProductID],dProduct[CratePrice])-_xlfn.XLOOKUP(fSales[[#This Row],[ProductID]],dProduct[ProductID],dProduct[CrateCost])</f>
        <v>18.354000000000003</v>
      </c>
      <c r="R546">
        <f>_xlfn.XLOOKUP(fSales[[#This Row],[ProductID]],dProduct[ProductID],dProduct[CratePrice])</f>
        <v>43.7</v>
      </c>
      <c r="S546">
        <f>_xlfn.XLOOKUP(fSales[[#This Row],[ProductID]],dProduct[ProductID],dProduct[CrateCost])</f>
        <v>25.346</v>
      </c>
    </row>
    <row r="547" spans="7:19" x14ac:dyDescent="0.25">
      <c r="G547" s="2">
        <v>45661</v>
      </c>
      <c r="H547">
        <v>204</v>
      </c>
      <c r="I547" t="s">
        <v>21</v>
      </c>
      <c r="J547" t="s">
        <v>37</v>
      </c>
      <c r="K547">
        <f>_xlfn.XLOOKUP(fSales[[#This Row],[ProductID]],dProduct[ProductID],dProduct[CratePrice])*fSales[[#This Row],[Units]]</f>
        <v>4590</v>
      </c>
      <c r="L547">
        <f>fSales[[#This Row],[Total sales]]-_xlfn.XLOOKUP(fSales[[#This Row],[ProductID]],dProduct[ProductID],dProduct[CrateCost])*fSales[[#This Row],[Units]]</f>
        <v>2019.6</v>
      </c>
      <c r="M547">
        <f>(_xlfn.XLOOKUP(fSales[[#This Row],[ProductID]],dProduct[ProductID],dProduct[CratePrice])-_xlfn.XLOOKUP(fSales[[#This Row],[ProductID]],dProduct[ProductID],dProduct[CrateCost]))/_xlfn.XLOOKUP(fSales[[#This Row],[ProductID]],dProduct[ProductID],dProduct[CratePrice])</f>
        <v>0.43999999999999995</v>
      </c>
      <c r="N547" t="str">
        <f>_xlfn.XLOOKUP(fSales[[#This Row],[SalesRepID]],dPSalesRep[SalesRepID],dPSalesRep[SalesRep])</f>
        <v>Chantel Mims</v>
      </c>
      <c r="O547" t="str">
        <f>_xlfn.XLOOKUP(fSales[[#This Row],[SalesRepID]],dPSalesRep[SalesRepID],dPSalesRep[Region])</f>
        <v>NW</v>
      </c>
      <c r="P547" t="str">
        <f>_xlfn.XLOOKUP(fSales[[#This Row],[ProductID]],dProduct[ProductID],dProduct[Product])</f>
        <v>Kiwi</v>
      </c>
      <c r="Q547">
        <f>_xlfn.XLOOKUP(fSales[[#This Row],[ProductID]],dProduct[ProductID],dProduct[CratePrice])-_xlfn.XLOOKUP(fSales[[#This Row],[ProductID]],dProduct[ProductID],dProduct[CrateCost])</f>
        <v>9.8999999999999986</v>
      </c>
      <c r="R547">
        <f>_xlfn.XLOOKUP(fSales[[#This Row],[ProductID]],dProduct[ProductID],dProduct[CratePrice])</f>
        <v>22.5</v>
      </c>
      <c r="S547">
        <f>_xlfn.XLOOKUP(fSales[[#This Row],[ProductID]],dProduct[ProductID],dProduct[CrateCost])</f>
        <v>12.600000000000001</v>
      </c>
    </row>
    <row r="548" spans="7:19" x14ac:dyDescent="0.25">
      <c r="G548" s="2">
        <v>45661</v>
      </c>
      <c r="H548">
        <v>264</v>
      </c>
      <c r="I548" t="s">
        <v>21</v>
      </c>
      <c r="J548" t="s">
        <v>37</v>
      </c>
      <c r="K548">
        <f>_xlfn.XLOOKUP(fSales[[#This Row],[ProductID]],dProduct[ProductID],dProduct[CratePrice])*fSales[[#This Row],[Units]]</f>
        <v>5940</v>
      </c>
      <c r="L548">
        <f>fSales[[#This Row],[Total sales]]-_xlfn.XLOOKUP(fSales[[#This Row],[ProductID]],dProduct[ProductID],dProduct[CrateCost])*fSales[[#This Row],[Units]]</f>
        <v>2613.5999999999995</v>
      </c>
      <c r="M548">
        <f>(_xlfn.XLOOKUP(fSales[[#This Row],[ProductID]],dProduct[ProductID],dProduct[CratePrice])-_xlfn.XLOOKUP(fSales[[#This Row],[ProductID]],dProduct[ProductID],dProduct[CrateCost]))/_xlfn.XLOOKUP(fSales[[#This Row],[ProductID]],dProduct[ProductID],dProduct[CratePrice])</f>
        <v>0.43999999999999995</v>
      </c>
      <c r="N548" t="str">
        <f>_xlfn.XLOOKUP(fSales[[#This Row],[SalesRepID]],dPSalesRep[SalesRepID],dPSalesRep[SalesRep])</f>
        <v>Chantel Mims</v>
      </c>
      <c r="O548" t="str">
        <f>_xlfn.XLOOKUP(fSales[[#This Row],[SalesRepID]],dPSalesRep[SalesRepID],dPSalesRep[Region])</f>
        <v>NW</v>
      </c>
      <c r="P548" t="str">
        <f>_xlfn.XLOOKUP(fSales[[#This Row],[ProductID]],dProduct[ProductID],dProduct[Product])</f>
        <v>Kiwi</v>
      </c>
      <c r="Q548">
        <f>_xlfn.XLOOKUP(fSales[[#This Row],[ProductID]],dProduct[ProductID],dProduct[CratePrice])-_xlfn.XLOOKUP(fSales[[#This Row],[ProductID]],dProduct[ProductID],dProduct[CrateCost])</f>
        <v>9.8999999999999986</v>
      </c>
      <c r="R548">
        <f>_xlfn.XLOOKUP(fSales[[#This Row],[ProductID]],dProduct[ProductID],dProduct[CratePrice])</f>
        <v>22.5</v>
      </c>
      <c r="S548">
        <f>_xlfn.XLOOKUP(fSales[[#This Row],[ProductID]],dProduct[ProductID],dProduct[CrateCost])</f>
        <v>12.600000000000001</v>
      </c>
    </row>
    <row r="549" spans="7:19" x14ac:dyDescent="0.25">
      <c r="G549" s="2">
        <v>45662</v>
      </c>
      <c r="H549">
        <v>24</v>
      </c>
      <c r="I549" t="s">
        <v>19</v>
      </c>
      <c r="J549" t="s">
        <v>37</v>
      </c>
      <c r="K549">
        <f>_xlfn.XLOOKUP(fSales[[#This Row],[ProductID]],dProduct[ProductID],dProduct[CratePrice])*fSales[[#This Row],[Units]]</f>
        <v>840</v>
      </c>
      <c r="L549">
        <f>fSales[[#This Row],[Total sales]]-_xlfn.XLOOKUP(fSales[[#This Row],[ProductID]],dProduct[ProductID],dProduct[CrateCost])*fSales[[#This Row],[Units]]</f>
        <v>470.4</v>
      </c>
      <c r="M549">
        <f>(_xlfn.XLOOKUP(fSales[[#This Row],[ProductID]],dProduct[ProductID],dProduct[CratePrice])-_xlfn.XLOOKUP(fSales[[#This Row],[ProductID]],dProduct[ProductID],dProduct[CrateCost]))/_xlfn.XLOOKUP(fSales[[#This Row],[ProductID]],dProduct[ProductID],dProduct[CratePrice])</f>
        <v>0.56000000000000005</v>
      </c>
      <c r="N549" t="str">
        <f>_xlfn.XLOOKUP(fSales[[#This Row],[SalesRepID]],dPSalesRep[SalesRepID],dPSalesRep[SalesRep])</f>
        <v>Chantel Mims</v>
      </c>
      <c r="O549" t="str">
        <f>_xlfn.XLOOKUP(fSales[[#This Row],[SalesRepID]],dPSalesRep[SalesRepID],dPSalesRep[Region])</f>
        <v>NW</v>
      </c>
      <c r="P549" t="str">
        <f>_xlfn.XLOOKUP(fSales[[#This Row],[ProductID]],dProduct[ProductID],dProduct[Product])</f>
        <v>Apple</v>
      </c>
      <c r="Q549">
        <f>_xlfn.XLOOKUP(fSales[[#This Row],[ProductID]],dProduct[ProductID],dProduct[CratePrice])-_xlfn.XLOOKUP(fSales[[#This Row],[ProductID]],dProduct[ProductID],dProduct[CrateCost])</f>
        <v>19.600000000000001</v>
      </c>
      <c r="R549">
        <f>_xlfn.XLOOKUP(fSales[[#This Row],[ProductID]],dProduct[ProductID],dProduct[CratePrice])</f>
        <v>35</v>
      </c>
      <c r="S549">
        <f>_xlfn.XLOOKUP(fSales[[#This Row],[ProductID]],dProduct[ProductID],dProduct[CrateCost])</f>
        <v>15.4</v>
      </c>
    </row>
    <row r="550" spans="7:19" x14ac:dyDescent="0.25">
      <c r="G550" s="2">
        <v>45662</v>
      </c>
      <c r="H550">
        <v>240</v>
      </c>
      <c r="I550" t="s">
        <v>26</v>
      </c>
      <c r="J550" t="s">
        <v>22</v>
      </c>
      <c r="K550">
        <f>_xlfn.XLOOKUP(fSales[[#This Row],[ProductID]],dProduct[ProductID],dProduct[CratePrice])*fSales[[#This Row],[Units]]</f>
        <v>7140</v>
      </c>
      <c r="L550">
        <f>fSales[[#This Row],[Total sales]]-_xlfn.XLOOKUP(fSales[[#This Row],[ProductID]],dProduct[ProductID],dProduct[CrateCost])*fSales[[#This Row],[Units]]</f>
        <v>2998.8</v>
      </c>
      <c r="M550">
        <f>(_xlfn.XLOOKUP(fSales[[#This Row],[ProductID]],dProduct[ProductID],dProduct[CratePrice])-_xlfn.XLOOKUP(fSales[[#This Row],[ProductID]],dProduct[ProductID],dProduct[CrateCost]))/_xlfn.XLOOKUP(fSales[[#This Row],[ProductID]],dProduct[ProductID],dProduct[CratePrice])</f>
        <v>0.42000000000000004</v>
      </c>
      <c r="N550" t="str">
        <f>_xlfn.XLOOKUP(fSales[[#This Row],[SalesRepID]],dPSalesRep[SalesRepID],dPSalesRep[SalesRep])</f>
        <v>Timmy Kips</v>
      </c>
      <c r="O550" t="str">
        <f>_xlfn.XLOOKUP(fSales[[#This Row],[SalesRepID]],dPSalesRep[SalesRepID],dPSalesRep[Region])</f>
        <v>East</v>
      </c>
      <c r="P550" t="str">
        <f>_xlfn.XLOOKUP(fSales[[#This Row],[ProductID]],dProduct[ProductID],dProduct[Product])</f>
        <v>Orange</v>
      </c>
      <c r="Q550">
        <f>_xlfn.XLOOKUP(fSales[[#This Row],[ProductID]],dProduct[ProductID],dProduct[CratePrice])-_xlfn.XLOOKUP(fSales[[#This Row],[ProductID]],dProduct[ProductID],dProduct[CrateCost])</f>
        <v>12.495000000000001</v>
      </c>
      <c r="R550">
        <f>_xlfn.XLOOKUP(fSales[[#This Row],[ProductID]],dProduct[ProductID],dProduct[CratePrice])</f>
        <v>29.75</v>
      </c>
      <c r="S550">
        <f>_xlfn.XLOOKUP(fSales[[#This Row],[ProductID]],dProduct[ProductID],dProduct[CrateCost])</f>
        <v>17.254999999999999</v>
      </c>
    </row>
    <row r="551" spans="7:19" x14ac:dyDescent="0.25">
      <c r="G551" s="2">
        <v>45662</v>
      </c>
      <c r="H551">
        <v>228</v>
      </c>
      <c r="I551" t="s">
        <v>21</v>
      </c>
      <c r="J551" t="s">
        <v>22</v>
      </c>
      <c r="K551">
        <f>_xlfn.XLOOKUP(fSales[[#This Row],[ProductID]],dProduct[ProductID],dProduct[CratePrice])*fSales[[#This Row],[Units]]</f>
        <v>5130</v>
      </c>
      <c r="L551">
        <f>fSales[[#This Row],[Total sales]]-_xlfn.XLOOKUP(fSales[[#This Row],[ProductID]],dProduct[ProductID],dProduct[CrateCost])*fSales[[#This Row],[Units]]</f>
        <v>2257.1999999999998</v>
      </c>
      <c r="M551">
        <f>(_xlfn.XLOOKUP(fSales[[#This Row],[ProductID]],dProduct[ProductID],dProduct[CratePrice])-_xlfn.XLOOKUP(fSales[[#This Row],[ProductID]],dProduct[ProductID],dProduct[CrateCost]))/_xlfn.XLOOKUP(fSales[[#This Row],[ProductID]],dProduct[ProductID],dProduct[CratePrice])</f>
        <v>0.43999999999999995</v>
      </c>
      <c r="N551" t="str">
        <f>_xlfn.XLOOKUP(fSales[[#This Row],[SalesRepID]],dPSalesRep[SalesRepID],dPSalesRep[SalesRep])</f>
        <v>Timmy Kips</v>
      </c>
      <c r="O551" t="str">
        <f>_xlfn.XLOOKUP(fSales[[#This Row],[SalesRepID]],dPSalesRep[SalesRepID],dPSalesRep[Region])</f>
        <v>East</v>
      </c>
      <c r="P551" t="str">
        <f>_xlfn.XLOOKUP(fSales[[#This Row],[ProductID]],dProduct[ProductID],dProduct[Product])</f>
        <v>Kiwi</v>
      </c>
      <c r="Q551">
        <f>_xlfn.XLOOKUP(fSales[[#This Row],[ProductID]],dProduct[ProductID],dProduct[CratePrice])-_xlfn.XLOOKUP(fSales[[#This Row],[ProductID]],dProduct[ProductID],dProduct[CrateCost])</f>
        <v>9.8999999999999986</v>
      </c>
      <c r="R551">
        <f>_xlfn.XLOOKUP(fSales[[#This Row],[ProductID]],dProduct[ProductID],dProduct[CratePrice])</f>
        <v>22.5</v>
      </c>
      <c r="S551">
        <f>_xlfn.XLOOKUP(fSales[[#This Row],[ProductID]],dProduct[ProductID],dProduct[CrateCost])</f>
        <v>12.600000000000001</v>
      </c>
    </row>
    <row r="552" spans="7:19" x14ac:dyDescent="0.25">
      <c r="G552" s="2">
        <v>45662</v>
      </c>
      <c r="H552">
        <v>228</v>
      </c>
      <c r="I552" t="s">
        <v>34</v>
      </c>
      <c r="J552" t="s">
        <v>32</v>
      </c>
      <c r="K552">
        <f>_xlfn.XLOOKUP(fSales[[#This Row],[ProductID]],dProduct[ProductID],dProduct[CratePrice])*fSales[[#This Row],[Units]]</f>
        <v>3990</v>
      </c>
      <c r="L552">
        <f>fSales[[#This Row],[Total sales]]-_xlfn.XLOOKUP(fSales[[#This Row],[ProductID]],dProduct[ProductID],dProduct[CrateCost])*fSales[[#This Row],[Units]]</f>
        <v>1316.6999999999998</v>
      </c>
      <c r="M552">
        <f>(_xlfn.XLOOKUP(fSales[[#This Row],[ProductID]],dProduct[ProductID],dProduct[CratePrice])-_xlfn.XLOOKUP(fSales[[#This Row],[ProductID]],dProduct[ProductID],dProduct[CrateCost]))/_xlfn.XLOOKUP(fSales[[#This Row],[ProductID]],dProduct[ProductID],dProduct[CratePrice])</f>
        <v>0.3299999999999999</v>
      </c>
      <c r="N552" t="str">
        <f>_xlfn.XLOOKUP(fSales[[#This Row],[SalesRepID]],dPSalesRep[SalesRepID],dPSalesRep[SalesRep])</f>
        <v>Shihara Fazzaa</v>
      </c>
      <c r="O552" t="str">
        <f>_xlfn.XLOOKUP(fSales[[#This Row],[SalesRepID]],dPSalesRep[SalesRepID],dPSalesRep[Region])</f>
        <v>East</v>
      </c>
      <c r="P552" t="str">
        <f>_xlfn.XLOOKUP(fSales[[#This Row],[ProductID]],dProduct[ProductID],dProduct[Product])</f>
        <v>Banana</v>
      </c>
      <c r="Q552">
        <f>_xlfn.XLOOKUP(fSales[[#This Row],[ProductID]],dProduct[ProductID],dProduct[CratePrice])-_xlfn.XLOOKUP(fSales[[#This Row],[ProductID]],dProduct[ProductID],dProduct[CrateCost])</f>
        <v>5.7749999999999986</v>
      </c>
      <c r="R552">
        <f>_xlfn.XLOOKUP(fSales[[#This Row],[ProductID]],dProduct[ProductID],dProduct[CratePrice])</f>
        <v>17.5</v>
      </c>
      <c r="S552">
        <f>_xlfn.XLOOKUP(fSales[[#This Row],[ProductID]],dProduct[ProductID],dProduct[CrateCost])</f>
        <v>11.725000000000001</v>
      </c>
    </row>
    <row r="553" spans="7:19" x14ac:dyDescent="0.25">
      <c r="G553" s="2">
        <v>45663</v>
      </c>
      <c r="H553">
        <v>252</v>
      </c>
      <c r="I553" t="s">
        <v>26</v>
      </c>
      <c r="J553" t="s">
        <v>22</v>
      </c>
      <c r="K553">
        <f>_xlfn.XLOOKUP(fSales[[#This Row],[ProductID]],dProduct[ProductID],dProduct[CratePrice])*fSales[[#This Row],[Units]]</f>
        <v>7497</v>
      </c>
      <c r="L553">
        <f>fSales[[#This Row],[Total sales]]-_xlfn.XLOOKUP(fSales[[#This Row],[ProductID]],dProduct[ProductID],dProduct[CrateCost])*fSales[[#This Row],[Units]]</f>
        <v>3148.7400000000007</v>
      </c>
      <c r="M553">
        <f>(_xlfn.XLOOKUP(fSales[[#This Row],[ProductID]],dProduct[ProductID],dProduct[CratePrice])-_xlfn.XLOOKUP(fSales[[#This Row],[ProductID]],dProduct[ProductID],dProduct[CrateCost]))/_xlfn.XLOOKUP(fSales[[#This Row],[ProductID]],dProduct[ProductID],dProduct[CratePrice])</f>
        <v>0.42000000000000004</v>
      </c>
      <c r="N553" t="str">
        <f>_xlfn.XLOOKUP(fSales[[#This Row],[SalesRepID]],dPSalesRep[SalesRepID],dPSalesRep[SalesRep])</f>
        <v>Timmy Kips</v>
      </c>
      <c r="O553" t="str">
        <f>_xlfn.XLOOKUP(fSales[[#This Row],[SalesRepID]],dPSalesRep[SalesRepID],dPSalesRep[Region])</f>
        <v>East</v>
      </c>
      <c r="P553" t="str">
        <f>_xlfn.XLOOKUP(fSales[[#This Row],[ProductID]],dProduct[ProductID],dProduct[Product])</f>
        <v>Orange</v>
      </c>
      <c r="Q553">
        <f>_xlfn.XLOOKUP(fSales[[#This Row],[ProductID]],dProduct[ProductID],dProduct[CratePrice])-_xlfn.XLOOKUP(fSales[[#This Row],[ProductID]],dProduct[ProductID],dProduct[CrateCost])</f>
        <v>12.495000000000001</v>
      </c>
      <c r="R553">
        <f>_xlfn.XLOOKUP(fSales[[#This Row],[ProductID]],dProduct[ProductID],dProduct[CratePrice])</f>
        <v>29.75</v>
      </c>
      <c r="S553">
        <f>_xlfn.XLOOKUP(fSales[[#This Row],[ProductID]],dProduct[ProductID],dProduct[CrateCost])</f>
        <v>17.254999999999999</v>
      </c>
    </row>
    <row r="554" spans="7:19" x14ac:dyDescent="0.25">
      <c r="G554" s="2">
        <v>45663</v>
      </c>
      <c r="H554">
        <v>96</v>
      </c>
      <c r="I554" t="s">
        <v>19</v>
      </c>
      <c r="J554" t="s">
        <v>37</v>
      </c>
      <c r="K554">
        <f>_xlfn.XLOOKUP(fSales[[#This Row],[ProductID]],dProduct[ProductID],dProduct[CratePrice])*fSales[[#This Row],[Units]]</f>
        <v>3360</v>
      </c>
      <c r="L554">
        <f>fSales[[#This Row],[Total sales]]-_xlfn.XLOOKUP(fSales[[#This Row],[ProductID]],dProduct[ProductID],dProduct[CrateCost])*fSales[[#This Row],[Units]]</f>
        <v>1881.6</v>
      </c>
      <c r="M554">
        <f>(_xlfn.XLOOKUP(fSales[[#This Row],[ProductID]],dProduct[ProductID],dProduct[CratePrice])-_xlfn.XLOOKUP(fSales[[#This Row],[ProductID]],dProduct[ProductID],dProduct[CrateCost]))/_xlfn.XLOOKUP(fSales[[#This Row],[ProductID]],dProduct[ProductID],dProduct[CratePrice])</f>
        <v>0.56000000000000005</v>
      </c>
      <c r="N554" t="str">
        <f>_xlfn.XLOOKUP(fSales[[#This Row],[SalesRepID]],dPSalesRep[SalesRepID],dPSalesRep[SalesRep])</f>
        <v>Chantel Mims</v>
      </c>
      <c r="O554" t="str">
        <f>_xlfn.XLOOKUP(fSales[[#This Row],[SalesRepID]],dPSalesRep[SalesRepID],dPSalesRep[Region])</f>
        <v>NW</v>
      </c>
      <c r="P554" t="str">
        <f>_xlfn.XLOOKUP(fSales[[#This Row],[ProductID]],dProduct[ProductID],dProduct[Product])</f>
        <v>Apple</v>
      </c>
      <c r="Q554">
        <f>_xlfn.XLOOKUP(fSales[[#This Row],[ProductID]],dProduct[ProductID],dProduct[CratePrice])-_xlfn.XLOOKUP(fSales[[#This Row],[ProductID]],dProduct[ProductID],dProduct[CrateCost])</f>
        <v>19.600000000000001</v>
      </c>
      <c r="R554">
        <f>_xlfn.XLOOKUP(fSales[[#This Row],[ProductID]],dProduct[ProductID],dProduct[CratePrice])</f>
        <v>35</v>
      </c>
      <c r="S554">
        <f>_xlfn.XLOOKUP(fSales[[#This Row],[ProductID]],dProduct[ProductID],dProduct[CrateCost])</f>
        <v>15.4</v>
      </c>
    </row>
    <row r="555" spans="7:19" x14ac:dyDescent="0.25">
      <c r="G555" s="2">
        <v>45663</v>
      </c>
      <c r="H555">
        <v>240</v>
      </c>
      <c r="I555" t="s">
        <v>19</v>
      </c>
      <c r="J555" t="s">
        <v>29</v>
      </c>
      <c r="K555">
        <f>_xlfn.XLOOKUP(fSales[[#This Row],[ProductID]],dProduct[ProductID],dProduct[CratePrice])*fSales[[#This Row],[Units]]</f>
        <v>8400</v>
      </c>
      <c r="L555">
        <f>fSales[[#This Row],[Total sales]]-_xlfn.XLOOKUP(fSales[[#This Row],[ProductID]],dProduct[ProductID],dProduct[CrateCost])*fSales[[#This Row],[Units]]</f>
        <v>4704</v>
      </c>
      <c r="M555">
        <f>(_xlfn.XLOOKUP(fSales[[#This Row],[ProductID]],dProduct[ProductID],dProduct[CratePrice])-_xlfn.XLOOKUP(fSales[[#This Row],[ProductID]],dProduct[ProductID],dProduct[CrateCost]))/_xlfn.XLOOKUP(fSales[[#This Row],[ProductID]],dProduct[ProductID],dProduct[CratePrice])</f>
        <v>0.56000000000000005</v>
      </c>
      <c r="N555" t="str">
        <f>_xlfn.XLOOKUP(fSales[[#This Row],[SalesRepID]],dPSalesRep[SalesRepID],dPSalesRep[SalesRep])</f>
        <v>Sioux Best</v>
      </c>
      <c r="O555" t="str">
        <f>_xlfn.XLOOKUP(fSales[[#This Row],[SalesRepID]],dPSalesRep[SalesRepID],dPSalesRep[Region])</f>
        <v>West</v>
      </c>
      <c r="P555" t="str">
        <f>_xlfn.XLOOKUP(fSales[[#This Row],[ProductID]],dProduct[ProductID],dProduct[Product])</f>
        <v>Apple</v>
      </c>
      <c r="Q555">
        <f>_xlfn.XLOOKUP(fSales[[#This Row],[ProductID]],dProduct[ProductID],dProduct[CratePrice])-_xlfn.XLOOKUP(fSales[[#This Row],[ProductID]],dProduct[ProductID],dProduct[CrateCost])</f>
        <v>19.600000000000001</v>
      </c>
      <c r="R555">
        <f>_xlfn.XLOOKUP(fSales[[#This Row],[ProductID]],dProduct[ProductID],dProduct[CratePrice])</f>
        <v>35</v>
      </c>
      <c r="S555">
        <f>_xlfn.XLOOKUP(fSales[[#This Row],[ProductID]],dProduct[ProductID],dProduct[CrateCost])</f>
        <v>15.4</v>
      </c>
    </row>
    <row r="556" spans="7:19" x14ac:dyDescent="0.25">
      <c r="G556" s="2">
        <v>45663</v>
      </c>
      <c r="H556">
        <v>288</v>
      </c>
      <c r="I556" t="s">
        <v>26</v>
      </c>
      <c r="J556" t="s">
        <v>52</v>
      </c>
      <c r="K556">
        <f>_xlfn.XLOOKUP(fSales[[#This Row],[ProductID]],dProduct[ProductID],dProduct[CratePrice])*fSales[[#This Row],[Units]]</f>
        <v>8568</v>
      </c>
      <c r="L556">
        <f>fSales[[#This Row],[Total sales]]-_xlfn.XLOOKUP(fSales[[#This Row],[ProductID]],dProduct[ProductID],dProduct[CrateCost])*fSales[[#This Row],[Units]]</f>
        <v>3598.5600000000004</v>
      </c>
      <c r="M556">
        <f>(_xlfn.XLOOKUP(fSales[[#This Row],[ProductID]],dProduct[ProductID],dProduct[CratePrice])-_xlfn.XLOOKUP(fSales[[#This Row],[ProductID]],dProduct[ProductID],dProduct[CrateCost]))/_xlfn.XLOOKUP(fSales[[#This Row],[ProductID]],dProduct[ProductID],dProduct[CratePrice])</f>
        <v>0.42000000000000004</v>
      </c>
      <c r="N556" t="str">
        <f>_xlfn.XLOOKUP(fSales[[#This Row],[SalesRepID]],dPSalesRep[SalesRepID],dPSalesRep[SalesRep])</f>
        <v>Smitty Rad</v>
      </c>
      <c r="O556" t="str">
        <f>_xlfn.XLOOKUP(fSales[[#This Row],[SalesRepID]],dPSalesRep[SalesRepID],dPSalesRep[Region])</f>
        <v>MidWest</v>
      </c>
      <c r="P556" t="str">
        <f>_xlfn.XLOOKUP(fSales[[#This Row],[ProductID]],dProduct[ProductID],dProduct[Product])</f>
        <v>Orange</v>
      </c>
      <c r="Q556">
        <f>_xlfn.XLOOKUP(fSales[[#This Row],[ProductID]],dProduct[ProductID],dProduct[CratePrice])-_xlfn.XLOOKUP(fSales[[#This Row],[ProductID]],dProduct[ProductID],dProduct[CrateCost])</f>
        <v>12.495000000000001</v>
      </c>
      <c r="R556">
        <f>_xlfn.XLOOKUP(fSales[[#This Row],[ProductID]],dProduct[ProductID],dProduct[CratePrice])</f>
        <v>29.75</v>
      </c>
      <c r="S556">
        <f>_xlfn.XLOOKUP(fSales[[#This Row],[ProductID]],dProduct[ProductID],dProduct[CrateCost])</f>
        <v>17.254999999999999</v>
      </c>
    </row>
    <row r="557" spans="7:19" x14ac:dyDescent="0.25">
      <c r="G557" s="2">
        <v>45663</v>
      </c>
      <c r="H557">
        <v>180</v>
      </c>
      <c r="I557" t="s">
        <v>34</v>
      </c>
      <c r="J557" t="s">
        <v>22</v>
      </c>
      <c r="K557">
        <f>_xlfn.XLOOKUP(fSales[[#This Row],[ProductID]],dProduct[ProductID],dProduct[CratePrice])*fSales[[#This Row],[Units]]</f>
        <v>3150</v>
      </c>
      <c r="L557">
        <f>fSales[[#This Row],[Total sales]]-_xlfn.XLOOKUP(fSales[[#This Row],[ProductID]],dProduct[ProductID],dProduct[CrateCost])*fSales[[#This Row],[Units]]</f>
        <v>1039.4999999999995</v>
      </c>
      <c r="M557">
        <f>(_xlfn.XLOOKUP(fSales[[#This Row],[ProductID]],dProduct[ProductID],dProduct[CratePrice])-_xlfn.XLOOKUP(fSales[[#This Row],[ProductID]],dProduct[ProductID],dProduct[CrateCost]))/_xlfn.XLOOKUP(fSales[[#This Row],[ProductID]],dProduct[ProductID],dProduct[CratePrice])</f>
        <v>0.3299999999999999</v>
      </c>
      <c r="N557" t="str">
        <f>_xlfn.XLOOKUP(fSales[[#This Row],[SalesRepID]],dPSalesRep[SalesRepID],dPSalesRep[SalesRep])</f>
        <v>Timmy Kips</v>
      </c>
      <c r="O557" t="str">
        <f>_xlfn.XLOOKUP(fSales[[#This Row],[SalesRepID]],dPSalesRep[SalesRepID],dPSalesRep[Region])</f>
        <v>East</v>
      </c>
      <c r="P557" t="str">
        <f>_xlfn.XLOOKUP(fSales[[#This Row],[ProductID]],dProduct[ProductID],dProduct[Product])</f>
        <v>Banana</v>
      </c>
      <c r="Q557">
        <f>_xlfn.XLOOKUP(fSales[[#This Row],[ProductID]],dProduct[ProductID],dProduct[CratePrice])-_xlfn.XLOOKUP(fSales[[#This Row],[ProductID]],dProduct[ProductID],dProduct[CrateCost])</f>
        <v>5.7749999999999986</v>
      </c>
      <c r="R557">
        <f>_xlfn.XLOOKUP(fSales[[#This Row],[ProductID]],dProduct[ProductID],dProduct[CratePrice])</f>
        <v>17.5</v>
      </c>
      <c r="S557">
        <f>_xlfn.XLOOKUP(fSales[[#This Row],[ProductID]],dProduct[ProductID],dProduct[CrateCost])</f>
        <v>11.725000000000001</v>
      </c>
    </row>
    <row r="558" spans="7:19" x14ac:dyDescent="0.25">
      <c r="G558" s="2">
        <v>45663</v>
      </c>
      <c r="H558">
        <v>300</v>
      </c>
      <c r="I558" t="s">
        <v>34</v>
      </c>
      <c r="J558" t="s">
        <v>37</v>
      </c>
      <c r="K558">
        <f>_xlfn.XLOOKUP(fSales[[#This Row],[ProductID]],dProduct[ProductID],dProduct[CratePrice])*fSales[[#This Row],[Units]]</f>
        <v>5250</v>
      </c>
      <c r="L558">
        <f>fSales[[#This Row],[Total sales]]-_xlfn.XLOOKUP(fSales[[#This Row],[ProductID]],dProduct[ProductID],dProduct[CrateCost])*fSales[[#This Row],[Units]]</f>
        <v>1732.4999999999995</v>
      </c>
      <c r="M558">
        <f>(_xlfn.XLOOKUP(fSales[[#This Row],[ProductID]],dProduct[ProductID],dProduct[CratePrice])-_xlfn.XLOOKUP(fSales[[#This Row],[ProductID]],dProduct[ProductID],dProduct[CrateCost]))/_xlfn.XLOOKUP(fSales[[#This Row],[ProductID]],dProduct[ProductID],dProduct[CratePrice])</f>
        <v>0.3299999999999999</v>
      </c>
      <c r="N558" t="str">
        <f>_xlfn.XLOOKUP(fSales[[#This Row],[SalesRepID]],dPSalesRep[SalesRepID],dPSalesRep[SalesRep])</f>
        <v>Chantel Mims</v>
      </c>
      <c r="O558" t="str">
        <f>_xlfn.XLOOKUP(fSales[[#This Row],[SalesRepID]],dPSalesRep[SalesRepID],dPSalesRep[Region])</f>
        <v>NW</v>
      </c>
      <c r="P558" t="str">
        <f>_xlfn.XLOOKUP(fSales[[#This Row],[ProductID]],dProduct[ProductID],dProduct[Product])</f>
        <v>Banana</v>
      </c>
      <c r="Q558">
        <f>_xlfn.XLOOKUP(fSales[[#This Row],[ProductID]],dProduct[ProductID],dProduct[CratePrice])-_xlfn.XLOOKUP(fSales[[#This Row],[ProductID]],dProduct[ProductID],dProduct[CrateCost])</f>
        <v>5.7749999999999986</v>
      </c>
      <c r="R558">
        <f>_xlfn.XLOOKUP(fSales[[#This Row],[ProductID]],dProduct[ProductID],dProduct[CratePrice])</f>
        <v>17.5</v>
      </c>
      <c r="S558">
        <f>_xlfn.XLOOKUP(fSales[[#This Row],[ProductID]],dProduct[ProductID],dProduct[CrateCost])</f>
        <v>11.725000000000001</v>
      </c>
    </row>
    <row r="559" spans="7:19" x14ac:dyDescent="0.25">
      <c r="G559" s="2">
        <v>45664</v>
      </c>
      <c r="H559">
        <v>168</v>
      </c>
      <c r="I559" t="s">
        <v>19</v>
      </c>
      <c r="J559" t="s">
        <v>52</v>
      </c>
      <c r="K559">
        <f>_xlfn.XLOOKUP(fSales[[#This Row],[ProductID]],dProduct[ProductID],dProduct[CratePrice])*fSales[[#This Row],[Units]]</f>
        <v>5880</v>
      </c>
      <c r="L559">
        <f>fSales[[#This Row],[Total sales]]-_xlfn.XLOOKUP(fSales[[#This Row],[ProductID]],dProduct[ProductID],dProduct[CrateCost])*fSales[[#This Row],[Units]]</f>
        <v>3292.7999999999997</v>
      </c>
      <c r="M559">
        <f>(_xlfn.XLOOKUP(fSales[[#This Row],[ProductID]],dProduct[ProductID],dProduct[CratePrice])-_xlfn.XLOOKUP(fSales[[#This Row],[ProductID]],dProduct[ProductID],dProduct[CrateCost]))/_xlfn.XLOOKUP(fSales[[#This Row],[ProductID]],dProduct[ProductID],dProduct[CratePrice])</f>
        <v>0.56000000000000005</v>
      </c>
      <c r="N559" t="str">
        <f>_xlfn.XLOOKUP(fSales[[#This Row],[SalesRepID]],dPSalesRep[SalesRepID],dPSalesRep[SalesRep])</f>
        <v>Smitty Rad</v>
      </c>
      <c r="O559" t="str">
        <f>_xlfn.XLOOKUP(fSales[[#This Row],[SalesRepID]],dPSalesRep[SalesRepID],dPSalesRep[Region])</f>
        <v>MidWest</v>
      </c>
      <c r="P559" t="str">
        <f>_xlfn.XLOOKUP(fSales[[#This Row],[ProductID]],dProduct[ProductID],dProduct[Product])</f>
        <v>Apple</v>
      </c>
      <c r="Q559">
        <f>_xlfn.XLOOKUP(fSales[[#This Row],[ProductID]],dProduct[ProductID],dProduct[CratePrice])-_xlfn.XLOOKUP(fSales[[#This Row],[ProductID]],dProduct[ProductID],dProduct[CrateCost])</f>
        <v>19.600000000000001</v>
      </c>
      <c r="R559">
        <f>_xlfn.XLOOKUP(fSales[[#This Row],[ProductID]],dProduct[ProductID],dProduct[CratePrice])</f>
        <v>35</v>
      </c>
      <c r="S559">
        <f>_xlfn.XLOOKUP(fSales[[#This Row],[ProductID]],dProduct[ProductID],dProduct[CrateCost])</f>
        <v>15.4</v>
      </c>
    </row>
    <row r="560" spans="7:19" x14ac:dyDescent="0.25">
      <c r="G560" s="2">
        <v>45664</v>
      </c>
      <c r="H560">
        <v>168</v>
      </c>
      <c r="I560" t="s">
        <v>34</v>
      </c>
      <c r="J560" t="s">
        <v>29</v>
      </c>
      <c r="K560">
        <f>_xlfn.XLOOKUP(fSales[[#This Row],[ProductID]],dProduct[ProductID],dProduct[CratePrice])*fSales[[#This Row],[Units]]</f>
        <v>2940</v>
      </c>
      <c r="L560">
        <f>fSales[[#This Row],[Total sales]]-_xlfn.XLOOKUP(fSales[[#This Row],[ProductID]],dProduct[ProductID],dProduct[CrateCost])*fSales[[#This Row],[Units]]</f>
        <v>970.19999999999982</v>
      </c>
      <c r="M560">
        <f>(_xlfn.XLOOKUP(fSales[[#This Row],[ProductID]],dProduct[ProductID],dProduct[CratePrice])-_xlfn.XLOOKUP(fSales[[#This Row],[ProductID]],dProduct[ProductID],dProduct[CrateCost]))/_xlfn.XLOOKUP(fSales[[#This Row],[ProductID]],dProduct[ProductID],dProduct[CratePrice])</f>
        <v>0.3299999999999999</v>
      </c>
      <c r="N560" t="str">
        <f>_xlfn.XLOOKUP(fSales[[#This Row],[SalesRepID]],dPSalesRep[SalesRepID],dPSalesRep[SalesRep])</f>
        <v>Sioux Best</v>
      </c>
      <c r="O560" t="str">
        <f>_xlfn.XLOOKUP(fSales[[#This Row],[SalesRepID]],dPSalesRep[SalesRepID],dPSalesRep[Region])</f>
        <v>West</v>
      </c>
      <c r="P560" t="str">
        <f>_xlfn.XLOOKUP(fSales[[#This Row],[ProductID]],dProduct[ProductID],dProduct[Product])</f>
        <v>Banana</v>
      </c>
      <c r="Q560">
        <f>_xlfn.XLOOKUP(fSales[[#This Row],[ProductID]],dProduct[ProductID],dProduct[CratePrice])-_xlfn.XLOOKUP(fSales[[#This Row],[ProductID]],dProduct[ProductID],dProduct[CrateCost])</f>
        <v>5.7749999999999986</v>
      </c>
      <c r="R560">
        <f>_xlfn.XLOOKUP(fSales[[#This Row],[ProductID]],dProduct[ProductID],dProduct[CratePrice])</f>
        <v>17.5</v>
      </c>
      <c r="S560">
        <f>_xlfn.XLOOKUP(fSales[[#This Row],[ProductID]],dProduct[ProductID],dProduct[CrateCost])</f>
        <v>11.725000000000001</v>
      </c>
    </row>
    <row r="561" spans="7:19" x14ac:dyDescent="0.25">
      <c r="G561" s="2">
        <v>45664</v>
      </c>
      <c r="H561">
        <v>60</v>
      </c>
      <c r="I561" t="s">
        <v>34</v>
      </c>
      <c r="J561" t="s">
        <v>29</v>
      </c>
      <c r="K561">
        <f>_xlfn.XLOOKUP(fSales[[#This Row],[ProductID]],dProduct[ProductID],dProduct[CratePrice])*fSales[[#This Row],[Units]]</f>
        <v>1050</v>
      </c>
      <c r="L561">
        <f>fSales[[#This Row],[Total sales]]-_xlfn.XLOOKUP(fSales[[#This Row],[ProductID]],dProduct[ProductID],dProduct[CrateCost])*fSales[[#This Row],[Units]]</f>
        <v>346.49999999999989</v>
      </c>
      <c r="M561">
        <f>(_xlfn.XLOOKUP(fSales[[#This Row],[ProductID]],dProduct[ProductID],dProduct[CratePrice])-_xlfn.XLOOKUP(fSales[[#This Row],[ProductID]],dProduct[ProductID],dProduct[CrateCost]))/_xlfn.XLOOKUP(fSales[[#This Row],[ProductID]],dProduct[ProductID],dProduct[CratePrice])</f>
        <v>0.3299999999999999</v>
      </c>
      <c r="N561" t="str">
        <f>_xlfn.XLOOKUP(fSales[[#This Row],[SalesRepID]],dPSalesRep[SalesRepID],dPSalesRep[SalesRep])</f>
        <v>Sioux Best</v>
      </c>
      <c r="O561" t="str">
        <f>_xlfn.XLOOKUP(fSales[[#This Row],[SalesRepID]],dPSalesRep[SalesRepID],dPSalesRep[Region])</f>
        <v>West</v>
      </c>
      <c r="P561" t="str">
        <f>_xlfn.XLOOKUP(fSales[[#This Row],[ProductID]],dProduct[ProductID],dProduct[Product])</f>
        <v>Banana</v>
      </c>
      <c r="Q561">
        <f>_xlfn.XLOOKUP(fSales[[#This Row],[ProductID]],dProduct[ProductID],dProduct[CratePrice])-_xlfn.XLOOKUP(fSales[[#This Row],[ProductID]],dProduct[ProductID],dProduct[CrateCost])</f>
        <v>5.7749999999999986</v>
      </c>
      <c r="R561">
        <f>_xlfn.XLOOKUP(fSales[[#This Row],[ProductID]],dProduct[ProductID],dProduct[CratePrice])</f>
        <v>17.5</v>
      </c>
      <c r="S561">
        <f>_xlfn.XLOOKUP(fSales[[#This Row],[ProductID]],dProduct[ProductID],dProduct[CrateCost])</f>
        <v>11.725000000000001</v>
      </c>
    </row>
    <row r="562" spans="7:19" x14ac:dyDescent="0.25">
      <c r="G562" s="2">
        <v>45665</v>
      </c>
      <c r="H562">
        <v>228</v>
      </c>
      <c r="I562" t="s">
        <v>21</v>
      </c>
      <c r="J562" t="s">
        <v>52</v>
      </c>
      <c r="K562">
        <f>_xlfn.XLOOKUP(fSales[[#This Row],[ProductID]],dProduct[ProductID],dProduct[CratePrice])*fSales[[#This Row],[Units]]</f>
        <v>5130</v>
      </c>
      <c r="L562">
        <f>fSales[[#This Row],[Total sales]]-_xlfn.XLOOKUP(fSales[[#This Row],[ProductID]],dProduct[ProductID],dProduct[CrateCost])*fSales[[#This Row],[Units]]</f>
        <v>2257.1999999999998</v>
      </c>
      <c r="M562">
        <f>(_xlfn.XLOOKUP(fSales[[#This Row],[ProductID]],dProduct[ProductID],dProduct[CratePrice])-_xlfn.XLOOKUP(fSales[[#This Row],[ProductID]],dProduct[ProductID],dProduct[CrateCost]))/_xlfn.XLOOKUP(fSales[[#This Row],[ProductID]],dProduct[ProductID],dProduct[CratePrice])</f>
        <v>0.43999999999999995</v>
      </c>
      <c r="N562" t="str">
        <f>_xlfn.XLOOKUP(fSales[[#This Row],[SalesRepID]],dPSalesRep[SalesRepID],dPSalesRep[SalesRep])</f>
        <v>Smitty Rad</v>
      </c>
      <c r="O562" t="str">
        <f>_xlfn.XLOOKUP(fSales[[#This Row],[SalesRepID]],dPSalesRep[SalesRepID],dPSalesRep[Region])</f>
        <v>MidWest</v>
      </c>
      <c r="P562" t="str">
        <f>_xlfn.XLOOKUP(fSales[[#This Row],[ProductID]],dProduct[ProductID],dProduct[Product])</f>
        <v>Kiwi</v>
      </c>
      <c r="Q562">
        <f>_xlfn.XLOOKUP(fSales[[#This Row],[ProductID]],dProduct[ProductID],dProduct[CratePrice])-_xlfn.XLOOKUP(fSales[[#This Row],[ProductID]],dProduct[ProductID],dProduct[CrateCost])</f>
        <v>9.8999999999999986</v>
      </c>
      <c r="R562">
        <f>_xlfn.XLOOKUP(fSales[[#This Row],[ProductID]],dProduct[ProductID],dProduct[CratePrice])</f>
        <v>22.5</v>
      </c>
      <c r="S562">
        <f>_xlfn.XLOOKUP(fSales[[#This Row],[ProductID]],dProduct[ProductID],dProduct[CrateCost])</f>
        <v>12.600000000000001</v>
      </c>
    </row>
    <row r="563" spans="7:19" x14ac:dyDescent="0.25">
      <c r="G563" s="2">
        <v>45665</v>
      </c>
      <c r="H563">
        <v>252</v>
      </c>
      <c r="I563" t="s">
        <v>26</v>
      </c>
      <c r="J563" t="s">
        <v>37</v>
      </c>
      <c r="K563">
        <f>_xlfn.XLOOKUP(fSales[[#This Row],[ProductID]],dProduct[ProductID],dProduct[CratePrice])*fSales[[#This Row],[Units]]</f>
        <v>7497</v>
      </c>
      <c r="L563">
        <f>fSales[[#This Row],[Total sales]]-_xlfn.XLOOKUP(fSales[[#This Row],[ProductID]],dProduct[ProductID],dProduct[CrateCost])*fSales[[#This Row],[Units]]</f>
        <v>3148.7400000000007</v>
      </c>
      <c r="M563">
        <f>(_xlfn.XLOOKUP(fSales[[#This Row],[ProductID]],dProduct[ProductID],dProduct[CratePrice])-_xlfn.XLOOKUP(fSales[[#This Row],[ProductID]],dProduct[ProductID],dProduct[CrateCost]))/_xlfn.XLOOKUP(fSales[[#This Row],[ProductID]],dProduct[ProductID],dProduct[CratePrice])</f>
        <v>0.42000000000000004</v>
      </c>
      <c r="N563" t="str">
        <f>_xlfn.XLOOKUP(fSales[[#This Row],[SalesRepID]],dPSalesRep[SalesRepID],dPSalesRep[SalesRep])</f>
        <v>Chantel Mims</v>
      </c>
      <c r="O563" t="str">
        <f>_xlfn.XLOOKUP(fSales[[#This Row],[SalesRepID]],dPSalesRep[SalesRepID],dPSalesRep[Region])</f>
        <v>NW</v>
      </c>
      <c r="P563" t="str">
        <f>_xlfn.XLOOKUP(fSales[[#This Row],[ProductID]],dProduct[ProductID],dProduct[Product])</f>
        <v>Orange</v>
      </c>
      <c r="Q563">
        <f>_xlfn.XLOOKUP(fSales[[#This Row],[ProductID]],dProduct[ProductID],dProduct[CratePrice])-_xlfn.XLOOKUP(fSales[[#This Row],[ProductID]],dProduct[ProductID],dProduct[CrateCost])</f>
        <v>12.495000000000001</v>
      </c>
      <c r="R563">
        <f>_xlfn.XLOOKUP(fSales[[#This Row],[ProductID]],dProduct[ProductID],dProduct[CratePrice])</f>
        <v>29.75</v>
      </c>
      <c r="S563">
        <f>_xlfn.XLOOKUP(fSales[[#This Row],[ProductID]],dProduct[ProductID],dProduct[CrateCost])</f>
        <v>17.254999999999999</v>
      </c>
    </row>
    <row r="564" spans="7:19" x14ac:dyDescent="0.25">
      <c r="G564" s="2">
        <v>45665</v>
      </c>
      <c r="H564">
        <v>204</v>
      </c>
      <c r="I564" t="s">
        <v>28</v>
      </c>
      <c r="J564" t="s">
        <v>37</v>
      </c>
      <c r="K564">
        <f>_xlfn.XLOOKUP(fSales[[#This Row],[ProductID]],dProduct[ProductID],dProduct[CratePrice])*fSales[[#This Row],[Units]]</f>
        <v>8914.8000000000011</v>
      </c>
      <c r="L564">
        <f>fSales[[#This Row],[Total sales]]-_xlfn.XLOOKUP(fSales[[#This Row],[ProductID]],dProduct[ProductID],dProduct[CrateCost])*fSales[[#This Row],[Units]]</f>
        <v>3744.2160000000013</v>
      </c>
      <c r="M564">
        <f>(_xlfn.XLOOKUP(fSales[[#This Row],[ProductID]],dProduct[ProductID],dProduct[CratePrice])-_xlfn.XLOOKUP(fSales[[#This Row],[ProductID]],dProduct[ProductID],dProduct[CrateCost]))/_xlfn.XLOOKUP(fSales[[#This Row],[ProductID]],dProduct[ProductID],dProduct[CratePrice])</f>
        <v>0.42000000000000004</v>
      </c>
      <c r="N564" t="str">
        <f>_xlfn.XLOOKUP(fSales[[#This Row],[SalesRepID]],dPSalesRep[SalesRepID],dPSalesRep[SalesRep])</f>
        <v>Chantel Mims</v>
      </c>
      <c r="O564" t="str">
        <f>_xlfn.XLOOKUP(fSales[[#This Row],[SalesRepID]],dPSalesRep[SalesRepID],dPSalesRep[Region])</f>
        <v>NW</v>
      </c>
      <c r="P564" t="str">
        <f>_xlfn.XLOOKUP(fSales[[#This Row],[ProductID]],dProduct[ProductID],dProduct[Product])</f>
        <v>Cherry</v>
      </c>
      <c r="Q564">
        <f>_xlfn.XLOOKUP(fSales[[#This Row],[ProductID]],dProduct[ProductID],dProduct[CratePrice])-_xlfn.XLOOKUP(fSales[[#This Row],[ProductID]],dProduct[ProductID],dProduct[CrateCost])</f>
        <v>18.354000000000003</v>
      </c>
      <c r="R564">
        <f>_xlfn.XLOOKUP(fSales[[#This Row],[ProductID]],dProduct[ProductID],dProduct[CratePrice])</f>
        <v>43.7</v>
      </c>
      <c r="S564">
        <f>_xlfn.XLOOKUP(fSales[[#This Row],[ProductID]],dProduct[ProductID],dProduct[CrateCost])</f>
        <v>25.346</v>
      </c>
    </row>
    <row r="565" spans="7:19" x14ac:dyDescent="0.25">
      <c r="G565" s="2">
        <v>45666</v>
      </c>
      <c r="H565">
        <v>276</v>
      </c>
      <c r="I565" t="s">
        <v>26</v>
      </c>
      <c r="J565" t="s">
        <v>29</v>
      </c>
      <c r="K565">
        <f>_xlfn.XLOOKUP(fSales[[#This Row],[ProductID]],dProduct[ProductID],dProduct[CratePrice])*fSales[[#This Row],[Units]]</f>
        <v>8211</v>
      </c>
      <c r="L565">
        <f>fSales[[#This Row],[Total sales]]-_xlfn.XLOOKUP(fSales[[#This Row],[ProductID]],dProduct[ProductID],dProduct[CrateCost])*fSales[[#This Row],[Units]]</f>
        <v>3448.62</v>
      </c>
      <c r="M565">
        <f>(_xlfn.XLOOKUP(fSales[[#This Row],[ProductID]],dProduct[ProductID],dProduct[CratePrice])-_xlfn.XLOOKUP(fSales[[#This Row],[ProductID]],dProduct[ProductID],dProduct[CrateCost]))/_xlfn.XLOOKUP(fSales[[#This Row],[ProductID]],dProduct[ProductID],dProduct[CratePrice])</f>
        <v>0.42000000000000004</v>
      </c>
      <c r="N565" t="str">
        <f>_xlfn.XLOOKUP(fSales[[#This Row],[SalesRepID]],dPSalesRep[SalesRepID],dPSalesRep[SalesRep])</f>
        <v>Sioux Best</v>
      </c>
      <c r="O565" t="str">
        <f>_xlfn.XLOOKUP(fSales[[#This Row],[SalesRepID]],dPSalesRep[SalesRepID],dPSalesRep[Region])</f>
        <v>West</v>
      </c>
      <c r="P565" t="str">
        <f>_xlfn.XLOOKUP(fSales[[#This Row],[ProductID]],dProduct[ProductID],dProduct[Product])</f>
        <v>Orange</v>
      </c>
      <c r="Q565">
        <f>_xlfn.XLOOKUP(fSales[[#This Row],[ProductID]],dProduct[ProductID],dProduct[CratePrice])-_xlfn.XLOOKUP(fSales[[#This Row],[ProductID]],dProduct[ProductID],dProduct[CrateCost])</f>
        <v>12.495000000000001</v>
      </c>
      <c r="R565">
        <f>_xlfn.XLOOKUP(fSales[[#This Row],[ProductID]],dProduct[ProductID],dProduct[CratePrice])</f>
        <v>29.75</v>
      </c>
      <c r="S565">
        <f>_xlfn.XLOOKUP(fSales[[#This Row],[ProductID]],dProduct[ProductID],dProduct[CrateCost])</f>
        <v>17.254999999999999</v>
      </c>
    </row>
    <row r="566" spans="7:19" x14ac:dyDescent="0.25">
      <c r="G566" s="2">
        <v>45666</v>
      </c>
      <c r="H566">
        <v>228</v>
      </c>
      <c r="I566" t="s">
        <v>19</v>
      </c>
      <c r="J566" t="s">
        <v>32</v>
      </c>
      <c r="K566">
        <f>_xlfn.XLOOKUP(fSales[[#This Row],[ProductID]],dProduct[ProductID],dProduct[CratePrice])*fSales[[#This Row],[Units]]</f>
        <v>7980</v>
      </c>
      <c r="L566">
        <f>fSales[[#This Row],[Total sales]]-_xlfn.XLOOKUP(fSales[[#This Row],[ProductID]],dProduct[ProductID],dProduct[CrateCost])*fSales[[#This Row],[Units]]</f>
        <v>4468.7999999999993</v>
      </c>
      <c r="M566">
        <f>(_xlfn.XLOOKUP(fSales[[#This Row],[ProductID]],dProduct[ProductID],dProduct[CratePrice])-_xlfn.XLOOKUP(fSales[[#This Row],[ProductID]],dProduct[ProductID],dProduct[CrateCost]))/_xlfn.XLOOKUP(fSales[[#This Row],[ProductID]],dProduct[ProductID],dProduct[CratePrice])</f>
        <v>0.56000000000000005</v>
      </c>
      <c r="N566" t="str">
        <f>_xlfn.XLOOKUP(fSales[[#This Row],[SalesRepID]],dPSalesRep[SalesRepID],dPSalesRep[SalesRep])</f>
        <v>Shihara Fazzaa</v>
      </c>
      <c r="O566" t="str">
        <f>_xlfn.XLOOKUP(fSales[[#This Row],[SalesRepID]],dPSalesRep[SalesRepID],dPSalesRep[Region])</f>
        <v>East</v>
      </c>
      <c r="P566" t="str">
        <f>_xlfn.XLOOKUP(fSales[[#This Row],[ProductID]],dProduct[ProductID],dProduct[Product])</f>
        <v>Apple</v>
      </c>
      <c r="Q566">
        <f>_xlfn.XLOOKUP(fSales[[#This Row],[ProductID]],dProduct[ProductID],dProduct[CratePrice])-_xlfn.XLOOKUP(fSales[[#This Row],[ProductID]],dProduct[ProductID],dProduct[CrateCost])</f>
        <v>19.600000000000001</v>
      </c>
      <c r="R566">
        <f>_xlfn.XLOOKUP(fSales[[#This Row],[ProductID]],dProduct[ProductID],dProduct[CratePrice])</f>
        <v>35</v>
      </c>
      <c r="S566">
        <f>_xlfn.XLOOKUP(fSales[[#This Row],[ProductID]],dProduct[ProductID],dProduct[CrateCost])</f>
        <v>15.4</v>
      </c>
    </row>
    <row r="567" spans="7:19" x14ac:dyDescent="0.25">
      <c r="G567" s="2">
        <v>45667</v>
      </c>
      <c r="H567">
        <v>24</v>
      </c>
      <c r="I567" t="s">
        <v>19</v>
      </c>
      <c r="J567" t="s">
        <v>29</v>
      </c>
      <c r="K567">
        <f>_xlfn.XLOOKUP(fSales[[#This Row],[ProductID]],dProduct[ProductID],dProduct[CratePrice])*fSales[[#This Row],[Units]]</f>
        <v>840</v>
      </c>
      <c r="L567">
        <f>fSales[[#This Row],[Total sales]]-_xlfn.XLOOKUP(fSales[[#This Row],[ProductID]],dProduct[ProductID],dProduct[CrateCost])*fSales[[#This Row],[Units]]</f>
        <v>470.4</v>
      </c>
      <c r="M567">
        <f>(_xlfn.XLOOKUP(fSales[[#This Row],[ProductID]],dProduct[ProductID],dProduct[CratePrice])-_xlfn.XLOOKUP(fSales[[#This Row],[ProductID]],dProduct[ProductID],dProduct[CrateCost]))/_xlfn.XLOOKUP(fSales[[#This Row],[ProductID]],dProduct[ProductID],dProduct[CratePrice])</f>
        <v>0.56000000000000005</v>
      </c>
      <c r="N567" t="str">
        <f>_xlfn.XLOOKUP(fSales[[#This Row],[SalesRepID]],dPSalesRep[SalesRepID],dPSalesRep[SalesRep])</f>
        <v>Sioux Best</v>
      </c>
      <c r="O567" t="str">
        <f>_xlfn.XLOOKUP(fSales[[#This Row],[SalesRepID]],dPSalesRep[SalesRepID],dPSalesRep[Region])</f>
        <v>West</v>
      </c>
      <c r="P567" t="str">
        <f>_xlfn.XLOOKUP(fSales[[#This Row],[ProductID]],dProduct[ProductID],dProduct[Product])</f>
        <v>Apple</v>
      </c>
      <c r="Q567">
        <f>_xlfn.XLOOKUP(fSales[[#This Row],[ProductID]],dProduct[ProductID],dProduct[CratePrice])-_xlfn.XLOOKUP(fSales[[#This Row],[ProductID]],dProduct[ProductID],dProduct[CrateCost])</f>
        <v>19.600000000000001</v>
      </c>
      <c r="R567">
        <f>_xlfn.XLOOKUP(fSales[[#This Row],[ProductID]],dProduct[ProductID],dProduct[CratePrice])</f>
        <v>35</v>
      </c>
      <c r="S567">
        <f>_xlfn.XLOOKUP(fSales[[#This Row],[ProductID]],dProduct[ProductID],dProduct[CrateCost])</f>
        <v>15.4</v>
      </c>
    </row>
    <row r="568" spans="7:19" x14ac:dyDescent="0.25">
      <c r="G568" s="2">
        <v>45667</v>
      </c>
      <c r="H568">
        <v>252</v>
      </c>
      <c r="I568" t="s">
        <v>34</v>
      </c>
      <c r="J568" t="s">
        <v>29</v>
      </c>
      <c r="K568">
        <f>_xlfn.XLOOKUP(fSales[[#This Row],[ProductID]],dProduct[ProductID],dProduct[CratePrice])*fSales[[#This Row],[Units]]</f>
        <v>4410</v>
      </c>
      <c r="L568">
        <f>fSales[[#This Row],[Total sales]]-_xlfn.XLOOKUP(fSales[[#This Row],[ProductID]],dProduct[ProductID],dProduct[CrateCost])*fSales[[#This Row],[Units]]</f>
        <v>1455.2999999999997</v>
      </c>
      <c r="M568">
        <f>(_xlfn.XLOOKUP(fSales[[#This Row],[ProductID]],dProduct[ProductID],dProduct[CratePrice])-_xlfn.XLOOKUP(fSales[[#This Row],[ProductID]],dProduct[ProductID],dProduct[CrateCost]))/_xlfn.XLOOKUP(fSales[[#This Row],[ProductID]],dProduct[ProductID],dProduct[CratePrice])</f>
        <v>0.3299999999999999</v>
      </c>
      <c r="N568" t="str">
        <f>_xlfn.XLOOKUP(fSales[[#This Row],[SalesRepID]],dPSalesRep[SalesRepID],dPSalesRep[SalesRep])</f>
        <v>Sioux Best</v>
      </c>
      <c r="O568" t="str">
        <f>_xlfn.XLOOKUP(fSales[[#This Row],[SalesRepID]],dPSalesRep[SalesRepID],dPSalesRep[Region])</f>
        <v>West</v>
      </c>
      <c r="P568" t="str">
        <f>_xlfn.XLOOKUP(fSales[[#This Row],[ProductID]],dProduct[ProductID],dProduct[Product])</f>
        <v>Banana</v>
      </c>
      <c r="Q568">
        <f>_xlfn.XLOOKUP(fSales[[#This Row],[ProductID]],dProduct[ProductID],dProduct[CratePrice])-_xlfn.XLOOKUP(fSales[[#This Row],[ProductID]],dProduct[ProductID],dProduct[CrateCost])</f>
        <v>5.7749999999999986</v>
      </c>
      <c r="R568">
        <f>_xlfn.XLOOKUP(fSales[[#This Row],[ProductID]],dProduct[ProductID],dProduct[CratePrice])</f>
        <v>17.5</v>
      </c>
      <c r="S568">
        <f>_xlfn.XLOOKUP(fSales[[#This Row],[ProductID]],dProduct[ProductID],dProduct[CrateCost])</f>
        <v>11.725000000000001</v>
      </c>
    </row>
    <row r="569" spans="7:19" x14ac:dyDescent="0.25">
      <c r="G569" s="2">
        <v>45668</v>
      </c>
      <c r="H569">
        <v>300</v>
      </c>
      <c r="I569" t="s">
        <v>28</v>
      </c>
      <c r="J569" t="s">
        <v>52</v>
      </c>
      <c r="K569">
        <f>_xlfn.XLOOKUP(fSales[[#This Row],[ProductID]],dProduct[ProductID],dProduct[CratePrice])*fSales[[#This Row],[Units]]</f>
        <v>13110</v>
      </c>
      <c r="L569">
        <f>fSales[[#This Row],[Total sales]]-_xlfn.XLOOKUP(fSales[[#This Row],[ProductID]],dProduct[ProductID],dProduct[CrateCost])*fSales[[#This Row],[Units]]</f>
        <v>5506.2</v>
      </c>
      <c r="M569">
        <f>(_xlfn.XLOOKUP(fSales[[#This Row],[ProductID]],dProduct[ProductID],dProduct[CratePrice])-_xlfn.XLOOKUP(fSales[[#This Row],[ProductID]],dProduct[ProductID],dProduct[CrateCost]))/_xlfn.XLOOKUP(fSales[[#This Row],[ProductID]],dProduct[ProductID],dProduct[CratePrice])</f>
        <v>0.42000000000000004</v>
      </c>
      <c r="N569" t="str">
        <f>_xlfn.XLOOKUP(fSales[[#This Row],[SalesRepID]],dPSalesRep[SalesRepID],dPSalesRep[SalesRep])</f>
        <v>Smitty Rad</v>
      </c>
      <c r="O569" t="str">
        <f>_xlfn.XLOOKUP(fSales[[#This Row],[SalesRepID]],dPSalesRep[SalesRepID],dPSalesRep[Region])</f>
        <v>MidWest</v>
      </c>
      <c r="P569" t="str">
        <f>_xlfn.XLOOKUP(fSales[[#This Row],[ProductID]],dProduct[ProductID],dProduct[Product])</f>
        <v>Cherry</v>
      </c>
      <c r="Q569">
        <f>_xlfn.XLOOKUP(fSales[[#This Row],[ProductID]],dProduct[ProductID],dProduct[CratePrice])-_xlfn.XLOOKUP(fSales[[#This Row],[ProductID]],dProduct[ProductID],dProduct[CrateCost])</f>
        <v>18.354000000000003</v>
      </c>
      <c r="R569">
        <f>_xlfn.XLOOKUP(fSales[[#This Row],[ProductID]],dProduct[ProductID],dProduct[CratePrice])</f>
        <v>43.7</v>
      </c>
      <c r="S569">
        <f>_xlfn.XLOOKUP(fSales[[#This Row],[ProductID]],dProduct[ProductID],dProduct[CrateCost])</f>
        <v>25.346</v>
      </c>
    </row>
    <row r="570" spans="7:19" x14ac:dyDescent="0.25">
      <c r="G570" s="2">
        <v>45671</v>
      </c>
      <c r="H570">
        <v>192</v>
      </c>
      <c r="I570" t="s">
        <v>21</v>
      </c>
      <c r="J570" t="s">
        <v>22</v>
      </c>
      <c r="K570">
        <f>_xlfn.XLOOKUP(fSales[[#This Row],[ProductID]],dProduct[ProductID],dProduct[CratePrice])*fSales[[#This Row],[Units]]</f>
        <v>4320</v>
      </c>
      <c r="L570">
        <f>fSales[[#This Row],[Total sales]]-_xlfn.XLOOKUP(fSales[[#This Row],[ProductID]],dProduct[ProductID],dProduct[CrateCost])*fSales[[#This Row],[Units]]</f>
        <v>1900.7999999999997</v>
      </c>
      <c r="M570">
        <f>(_xlfn.XLOOKUP(fSales[[#This Row],[ProductID]],dProduct[ProductID],dProduct[CratePrice])-_xlfn.XLOOKUP(fSales[[#This Row],[ProductID]],dProduct[ProductID],dProduct[CrateCost]))/_xlfn.XLOOKUP(fSales[[#This Row],[ProductID]],dProduct[ProductID],dProduct[CratePrice])</f>
        <v>0.43999999999999995</v>
      </c>
      <c r="N570" t="str">
        <f>_xlfn.XLOOKUP(fSales[[#This Row],[SalesRepID]],dPSalesRep[SalesRepID],dPSalesRep[SalesRep])</f>
        <v>Timmy Kips</v>
      </c>
      <c r="O570" t="str">
        <f>_xlfn.XLOOKUP(fSales[[#This Row],[SalesRepID]],dPSalesRep[SalesRepID],dPSalesRep[Region])</f>
        <v>East</v>
      </c>
      <c r="P570" t="str">
        <f>_xlfn.XLOOKUP(fSales[[#This Row],[ProductID]],dProduct[ProductID],dProduct[Product])</f>
        <v>Kiwi</v>
      </c>
      <c r="Q570">
        <f>_xlfn.XLOOKUP(fSales[[#This Row],[ProductID]],dProduct[ProductID],dProduct[CratePrice])-_xlfn.XLOOKUP(fSales[[#This Row],[ProductID]],dProduct[ProductID],dProduct[CrateCost])</f>
        <v>9.8999999999999986</v>
      </c>
      <c r="R570">
        <f>_xlfn.XLOOKUP(fSales[[#This Row],[ProductID]],dProduct[ProductID],dProduct[CratePrice])</f>
        <v>22.5</v>
      </c>
      <c r="S570">
        <f>_xlfn.XLOOKUP(fSales[[#This Row],[ProductID]],dProduct[ProductID],dProduct[CrateCost])</f>
        <v>12.600000000000001</v>
      </c>
    </row>
    <row r="571" spans="7:19" x14ac:dyDescent="0.25">
      <c r="G571" s="2">
        <v>45671</v>
      </c>
      <c r="H571">
        <v>84</v>
      </c>
      <c r="I571" t="s">
        <v>19</v>
      </c>
      <c r="J571" t="s">
        <v>29</v>
      </c>
      <c r="K571">
        <f>_xlfn.XLOOKUP(fSales[[#This Row],[ProductID]],dProduct[ProductID],dProduct[CratePrice])*fSales[[#This Row],[Units]]</f>
        <v>2940</v>
      </c>
      <c r="L571">
        <f>fSales[[#This Row],[Total sales]]-_xlfn.XLOOKUP(fSales[[#This Row],[ProductID]],dProduct[ProductID],dProduct[CrateCost])*fSales[[#This Row],[Units]]</f>
        <v>1646.3999999999999</v>
      </c>
      <c r="M571">
        <f>(_xlfn.XLOOKUP(fSales[[#This Row],[ProductID]],dProduct[ProductID],dProduct[CratePrice])-_xlfn.XLOOKUP(fSales[[#This Row],[ProductID]],dProduct[ProductID],dProduct[CrateCost]))/_xlfn.XLOOKUP(fSales[[#This Row],[ProductID]],dProduct[ProductID],dProduct[CratePrice])</f>
        <v>0.56000000000000005</v>
      </c>
      <c r="N571" t="str">
        <f>_xlfn.XLOOKUP(fSales[[#This Row],[SalesRepID]],dPSalesRep[SalesRepID],dPSalesRep[SalesRep])</f>
        <v>Sioux Best</v>
      </c>
      <c r="O571" t="str">
        <f>_xlfn.XLOOKUP(fSales[[#This Row],[SalesRepID]],dPSalesRep[SalesRepID],dPSalesRep[Region])</f>
        <v>West</v>
      </c>
      <c r="P571" t="str">
        <f>_xlfn.XLOOKUP(fSales[[#This Row],[ProductID]],dProduct[ProductID],dProduct[Product])</f>
        <v>Apple</v>
      </c>
      <c r="Q571">
        <f>_xlfn.XLOOKUP(fSales[[#This Row],[ProductID]],dProduct[ProductID],dProduct[CratePrice])-_xlfn.XLOOKUP(fSales[[#This Row],[ProductID]],dProduct[ProductID],dProduct[CrateCost])</f>
        <v>19.600000000000001</v>
      </c>
      <c r="R571">
        <f>_xlfn.XLOOKUP(fSales[[#This Row],[ProductID]],dProduct[ProductID],dProduct[CratePrice])</f>
        <v>35</v>
      </c>
      <c r="S571">
        <f>_xlfn.XLOOKUP(fSales[[#This Row],[ProductID]],dProduct[ProductID],dProduct[CrateCost])</f>
        <v>15.4</v>
      </c>
    </row>
    <row r="572" spans="7:19" x14ac:dyDescent="0.25">
      <c r="G572" s="2">
        <v>45672</v>
      </c>
      <c r="H572">
        <v>228</v>
      </c>
      <c r="I572" t="s">
        <v>26</v>
      </c>
      <c r="J572" t="s">
        <v>29</v>
      </c>
      <c r="K572">
        <f>_xlfn.XLOOKUP(fSales[[#This Row],[ProductID]],dProduct[ProductID],dProduct[CratePrice])*fSales[[#This Row],[Units]]</f>
        <v>6783</v>
      </c>
      <c r="L572">
        <f>fSales[[#This Row],[Total sales]]-_xlfn.XLOOKUP(fSales[[#This Row],[ProductID]],dProduct[ProductID],dProduct[CrateCost])*fSales[[#This Row],[Units]]</f>
        <v>2848.86</v>
      </c>
      <c r="M572">
        <f>(_xlfn.XLOOKUP(fSales[[#This Row],[ProductID]],dProduct[ProductID],dProduct[CratePrice])-_xlfn.XLOOKUP(fSales[[#This Row],[ProductID]],dProduct[ProductID],dProduct[CrateCost]))/_xlfn.XLOOKUP(fSales[[#This Row],[ProductID]],dProduct[ProductID],dProduct[CratePrice])</f>
        <v>0.42000000000000004</v>
      </c>
      <c r="N572" t="str">
        <f>_xlfn.XLOOKUP(fSales[[#This Row],[SalesRepID]],dPSalesRep[SalesRepID],dPSalesRep[SalesRep])</f>
        <v>Sioux Best</v>
      </c>
      <c r="O572" t="str">
        <f>_xlfn.XLOOKUP(fSales[[#This Row],[SalesRepID]],dPSalesRep[SalesRepID],dPSalesRep[Region])</f>
        <v>West</v>
      </c>
      <c r="P572" t="str">
        <f>_xlfn.XLOOKUP(fSales[[#This Row],[ProductID]],dProduct[ProductID],dProduct[Product])</f>
        <v>Orange</v>
      </c>
      <c r="Q572">
        <f>_xlfn.XLOOKUP(fSales[[#This Row],[ProductID]],dProduct[ProductID],dProduct[CratePrice])-_xlfn.XLOOKUP(fSales[[#This Row],[ProductID]],dProduct[ProductID],dProduct[CrateCost])</f>
        <v>12.495000000000001</v>
      </c>
      <c r="R572">
        <f>_xlfn.XLOOKUP(fSales[[#This Row],[ProductID]],dProduct[ProductID],dProduct[CratePrice])</f>
        <v>29.75</v>
      </c>
      <c r="S572">
        <f>_xlfn.XLOOKUP(fSales[[#This Row],[ProductID]],dProduct[ProductID],dProduct[CrateCost])</f>
        <v>17.254999999999999</v>
      </c>
    </row>
    <row r="573" spans="7:19" x14ac:dyDescent="0.25">
      <c r="G573" s="2">
        <v>45674</v>
      </c>
      <c r="H573">
        <v>276</v>
      </c>
      <c r="I573" t="s">
        <v>34</v>
      </c>
      <c r="J573" t="s">
        <v>32</v>
      </c>
      <c r="K573">
        <f>_xlfn.XLOOKUP(fSales[[#This Row],[ProductID]],dProduct[ProductID],dProduct[CratePrice])*fSales[[#This Row],[Units]]</f>
        <v>4830</v>
      </c>
      <c r="L573">
        <f>fSales[[#This Row],[Total sales]]-_xlfn.XLOOKUP(fSales[[#This Row],[ProductID]],dProduct[ProductID],dProduct[CrateCost])*fSales[[#This Row],[Units]]</f>
        <v>1593.8999999999996</v>
      </c>
      <c r="M573">
        <f>(_xlfn.XLOOKUP(fSales[[#This Row],[ProductID]],dProduct[ProductID],dProduct[CratePrice])-_xlfn.XLOOKUP(fSales[[#This Row],[ProductID]],dProduct[ProductID],dProduct[CrateCost]))/_xlfn.XLOOKUP(fSales[[#This Row],[ProductID]],dProduct[ProductID],dProduct[CratePrice])</f>
        <v>0.3299999999999999</v>
      </c>
      <c r="N573" t="str">
        <f>_xlfn.XLOOKUP(fSales[[#This Row],[SalesRepID]],dPSalesRep[SalesRepID],dPSalesRep[SalesRep])</f>
        <v>Shihara Fazzaa</v>
      </c>
      <c r="O573" t="str">
        <f>_xlfn.XLOOKUP(fSales[[#This Row],[SalesRepID]],dPSalesRep[SalesRepID],dPSalesRep[Region])</f>
        <v>East</v>
      </c>
      <c r="P573" t="str">
        <f>_xlfn.XLOOKUP(fSales[[#This Row],[ProductID]],dProduct[ProductID],dProduct[Product])</f>
        <v>Banana</v>
      </c>
      <c r="Q573">
        <f>_xlfn.XLOOKUP(fSales[[#This Row],[ProductID]],dProduct[ProductID],dProduct[CratePrice])-_xlfn.XLOOKUP(fSales[[#This Row],[ProductID]],dProduct[ProductID],dProduct[CrateCost])</f>
        <v>5.7749999999999986</v>
      </c>
      <c r="R573">
        <f>_xlfn.XLOOKUP(fSales[[#This Row],[ProductID]],dProduct[ProductID],dProduct[CratePrice])</f>
        <v>17.5</v>
      </c>
      <c r="S573">
        <f>_xlfn.XLOOKUP(fSales[[#This Row],[ProductID]],dProduct[ProductID],dProduct[CrateCost])</f>
        <v>11.725000000000001</v>
      </c>
    </row>
    <row r="574" spans="7:19" x14ac:dyDescent="0.25">
      <c r="G574" s="2">
        <v>45674</v>
      </c>
      <c r="H574">
        <v>24</v>
      </c>
      <c r="I574" t="s">
        <v>21</v>
      </c>
      <c r="J574" t="s">
        <v>37</v>
      </c>
      <c r="K574">
        <f>_xlfn.XLOOKUP(fSales[[#This Row],[ProductID]],dProduct[ProductID],dProduct[CratePrice])*fSales[[#This Row],[Units]]</f>
        <v>540</v>
      </c>
      <c r="L574">
        <f>fSales[[#This Row],[Total sales]]-_xlfn.XLOOKUP(fSales[[#This Row],[ProductID]],dProduct[ProductID],dProduct[CrateCost])*fSales[[#This Row],[Units]]</f>
        <v>237.59999999999997</v>
      </c>
      <c r="M574">
        <f>(_xlfn.XLOOKUP(fSales[[#This Row],[ProductID]],dProduct[ProductID],dProduct[CratePrice])-_xlfn.XLOOKUP(fSales[[#This Row],[ProductID]],dProduct[ProductID],dProduct[CrateCost]))/_xlfn.XLOOKUP(fSales[[#This Row],[ProductID]],dProduct[ProductID],dProduct[CratePrice])</f>
        <v>0.43999999999999995</v>
      </c>
      <c r="N574" t="str">
        <f>_xlfn.XLOOKUP(fSales[[#This Row],[SalesRepID]],dPSalesRep[SalesRepID],dPSalesRep[SalesRep])</f>
        <v>Chantel Mims</v>
      </c>
      <c r="O574" t="str">
        <f>_xlfn.XLOOKUP(fSales[[#This Row],[SalesRepID]],dPSalesRep[SalesRepID],dPSalesRep[Region])</f>
        <v>NW</v>
      </c>
      <c r="P574" t="str">
        <f>_xlfn.XLOOKUP(fSales[[#This Row],[ProductID]],dProduct[ProductID],dProduct[Product])</f>
        <v>Kiwi</v>
      </c>
      <c r="Q574">
        <f>_xlfn.XLOOKUP(fSales[[#This Row],[ProductID]],dProduct[ProductID],dProduct[CratePrice])-_xlfn.XLOOKUP(fSales[[#This Row],[ProductID]],dProduct[ProductID],dProduct[CrateCost])</f>
        <v>9.8999999999999986</v>
      </c>
      <c r="R574">
        <f>_xlfn.XLOOKUP(fSales[[#This Row],[ProductID]],dProduct[ProductID],dProduct[CratePrice])</f>
        <v>22.5</v>
      </c>
      <c r="S574">
        <f>_xlfn.XLOOKUP(fSales[[#This Row],[ProductID]],dProduct[ProductID],dProduct[CrateCost])</f>
        <v>12.600000000000001</v>
      </c>
    </row>
    <row r="575" spans="7:19" x14ac:dyDescent="0.25">
      <c r="G575" s="2">
        <v>45676</v>
      </c>
      <c r="H575">
        <v>96</v>
      </c>
      <c r="I575" t="s">
        <v>26</v>
      </c>
      <c r="J575" t="s">
        <v>22</v>
      </c>
      <c r="K575">
        <f>_xlfn.XLOOKUP(fSales[[#This Row],[ProductID]],dProduct[ProductID],dProduct[CratePrice])*fSales[[#This Row],[Units]]</f>
        <v>2856</v>
      </c>
      <c r="L575">
        <f>fSales[[#This Row],[Total sales]]-_xlfn.XLOOKUP(fSales[[#This Row],[ProductID]],dProduct[ProductID],dProduct[CrateCost])*fSales[[#This Row],[Units]]</f>
        <v>1199.52</v>
      </c>
      <c r="M575">
        <f>(_xlfn.XLOOKUP(fSales[[#This Row],[ProductID]],dProduct[ProductID],dProduct[CratePrice])-_xlfn.XLOOKUP(fSales[[#This Row],[ProductID]],dProduct[ProductID],dProduct[CrateCost]))/_xlfn.XLOOKUP(fSales[[#This Row],[ProductID]],dProduct[ProductID],dProduct[CratePrice])</f>
        <v>0.42000000000000004</v>
      </c>
      <c r="N575" t="str">
        <f>_xlfn.XLOOKUP(fSales[[#This Row],[SalesRepID]],dPSalesRep[SalesRepID],dPSalesRep[SalesRep])</f>
        <v>Timmy Kips</v>
      </c>
      <c r="O575" t="str">
        <f>_xlfn.XLOOKUP(fSales[[#This Row],[SalesRepID]],dPSalesRep[SalesRepID],dPSalesRep[Region])</f>
        <v>East</v>
      </c>
      <c r="P575" t="str">
        <f>_xlfn.XLOOKUP(fSales[[#This Row],[ProductID]],dProduct[ProductID],dProduct[Product])</f>
        <v>Orange</v>
      </c>
      <c r="Q575">
        <f>_xlfn.XLOOKUP(fSales[[#This Row],[ProductID]],dProduct[ProductID],dProduct[CratePrice])-_xlfn.XLOOKUP(fSales[[#This Row],[ProductID]],dProduct[ProductID],dProduct[CrateCost])</f>
        <v>12.495000000000001</v>
      </c>
      <c r="R575">
        <f>_xlfn.XLOOKUP(fSales[[#This Row],[ProductID]],dProduct[ProductID],dProduct[CratePrice])</f>
        <v>29.75</v>
      </c>
      <c r="S575">
        <f>_xlfn.XLOOKUP(fSales[[#This Row],[ProductID]],dProduct[ProductID],dProduct[CrateCost])</f>
        <v>17.254999999999999</v>
      </c>
    </row>
    <row r="576" spans="7:19" x14ac:dyDescent="0.25">
      <c r="G576" s="2">
        <v>45677</v>
      </c>
      <c r="H576">
        <v>72</v>
      </c>
      <c r="I576" t="s">
        <v>21</v>
      </c>
      <c r="J576" t="s">
        <v>22</v>
      </c>
      <c r="K576">
        <f>_xlfn.XLOOKUP(fSales[[#This Row],[ProductID]],dProduct[ProductID],dProduct[CratePrice])*fSales[[#This Row],[Units]]</f>
        <v>1620</v>
      </c>
      <c r="L576">
        <f>fSales[[#This Row],[Total sales]]-_xlfn.XLOOKUP(fSales[[#This Row],[ProductID]],dProduct[ProductID],dProduct[CrateCost])*fSales[[#This Row],[Units]]</f>
        <v>712.8</v>
      </c>
      <c r="M576">
        <f>(_xlfn.XLOOKUP(fSales[[#This Row],[ProductID]],dProduct[ProductID],dProduct[CratePrice])-_xlfn.XLOOKUP(fSales[[#This Row],[ProductID]],dProduct[ProductID],dProduct[CrateCost]))/_xlfn.XLOOKUP(fSales[[#This Row],[ProductID]],dProduct[ProductID],dProduct[CratePrice])</f>
        <v>0.43999999999999995</v>
      </c>
      <c r="N576" t="str">
        <f>_xlfn.XLOOKUP(fSales[[#This Row],[SalesRepID]],dPSalesRep[SalesRepID],dPSalesRep[SalesRep])</f>
        <v>Timmy Kips</v>
      </c>
      <c r="O576" t="str">
        <f>_xlfn.XLOOKUP(fSales[[#This Row],[SalesRepID]],dPSalesRep[SalesRepID],dPSalesRep[Region])</f>
        <v>East</v>
      </c>
      <c r="P576" t="str">
        <f>_xlfn.XLOOKUP(fSales[[#This Row],[ProductID]],dProduct[ProductID],dProduct[Product])</f>
        <v>Kiwi</v>
      </c>
      <c r="Q576">
        <f>_xlfn.XLOOKUP(fSales[[#This Row],[ProductID]],dProduct[ProductID],dProduct[CratePrice])-_xlfn.XLOOKUP(fSales[[#This Row],[ProductID]],dProduct[ProductID],dProduct[CrateCost])</f>
        <v>9.8999999999999986</v>
      </c>
      <c r="R576">
        <f>_xlfn.XLOOKUP(fSales[[#This Row],[ProductID]],dProduct[ProductID],dProduct[CratePrice])</f>
        <v>22.5</v>
      </c>
      <c r="S576">
        <f>_xlfn.XLOOKUP(fSales[[#This Row],[ProductID]],dProduct[ProductID],dProduct[CrateCost])</f>
        <v>12.600000000000001</v>
      </c>
    </row>
    <row r="577" spans="7:19" x14ac:dyDescent="0.25">
      <c r="G577" s="2">
        <v>45677</v>
      </c>
      <c r="H577">
        <v>48</v>
      </c>
      <c r="I577" t="s">
        <v>34</v>
      </c>
      <c r="J577" t="s">
        <v>29</v>
      </c>
      <c r="K577">
        <f>_xlfn.XLOOKUP(fSales[[#This Row],[ProductID]],dProduct[ProductID],dProduct[CratePrice])*fSales[[#This Row],[Units]]</f>
        <v>840</v>
      </c>
      <c r="L577">
        <f>fSales[[#This Row],[Total sales]]-_xlfn.XLOOKUP(fSales[[#This Row],[ProductID]],dProduct[ProductID],dProduct[CrateCost])*fSales[[#This Row],[Units]]</f>
        <v>277.19999999999993</v>
      </c>
      <c r="M577">
        <f>(_xlfn.XLOOKUP(fSales[[#This Row],[ProductID]],dProduct[ProductID],dProduct[CratePrice])-_xlfn.XLOOKUP(fSales[[#This Row],[ProductID]],dProduct[ProductID],dProduct[CrateCost]))/_xlfn.XLOOKUP(fSales[[#This Row],[ProductID]],dProduct[ProductID],dProduct[CratePrice])</f>
        <v>0.3299999999999999</v>
      </c>
      <c r="N577" t="str">
        <f>_xlfn.XLOOKUP(fSales[[#This Row],[SalesRepID]],dPSalesRep[SalesRepID],dPSalesRep[SalesRep])</f>
        <v>Sioux Best</v>
      </c>
      <c r="O577" t="str">
        <f>_xlfn.XLOOKUP(fSales[[#This Row],[SalesRepID]],dPSalesRep[SalesRepID],dPSalesRep[Region])</f>
        <v>West</v>
      </c>
      <c r="P577" t="str">
        <f>_xlfn.XLOOKUP(fSales[[#This Row],[ProductID]],dProduct[ProductID],dProduct[Product])</f>
        <v>Banana</v>
      </c>
      <c r="Q577">
        <f>_xlfn.XLOOKUP(fSales[[#This Row],[ProductID]],dProduct[ProductID],dProduct[CratePrice])-_xlfn.XLOOKUP(fSales[[#This Row],[ProductID]],dProduct[ProductID],dProduct[CrateCost])</f>
        <v>5.7749999999999986</v>
      </c>
      <c r="R577">
        <f>_xlfn.XLOOKUP(fSales[[#This Row],[ProductID]],dProduct[ProductID],dProduct[CratePrice])</f>
        <v>17.5</v>
      </c>
      <c r="S577">
        <f>_xlfn.XLOOKUP(fSales[[#This Row],[ProductID]],dProduct[ProductID],dProduct[CrateCost])</f>
        <v>11.725000000000001</v>
      </c>
    </row>
    <row r="578" spans="7:19" x14ac:dyDescent="0.25">
      <c r="G578" s="2">
        <v>45677</v>
      </c>
      <c r="H578">
        <v>96</v>
      </c>
      <c r="I578" t="s">
        <v>34</v>
      </c>
      <c r="J578" t="s">
        <v>29</v>
      </c>
      <c r="K578">
        <f>_xlfn.XLOOKUP(fSales[[#This Row],[ProductID]],dProduct[ProductID],dProduct[CratePrice])*fSales[[#This Row],[Units]]</f>
        <v>1680</v>
      </c>
      <c r="L578">
        <f>fSales[[#This Row],[Total sales]]-_xlfn.XLOOKUP(fSales[[#This Row],[ProductID]],dProduct[ProductID],dProduct[CrateCost])*fSales[[#This Row],[Units]]</f>
        <v>554.39999999999986</v>
      </c>
      <c r="M578">
        <f>(_xlfn.XLOOKUP(fSales[[#This Row],[ProductID]],dProduct[ProductID],dProduct[CratePrice])-_xlfn.XLOOKUP(fSales[[#This Row],[ProductID]],dProduct[ProductID],dProduct[CrateCost]))/_xlfn.XLOOKUP(fSales[[#This Row],[ProductID]],dProduct[ProductID],dProduct[CratePrice])</f>
        <v>0.3299999999999999</v>
      </c>
      <c r="N578" t="str">
        <f>_xlfn.XLOOKUP(fSales[[#This Row],[SalesRepID]],dPSalesRep[SalesRepID],dPSalesRep[SalesRep])</f>
        <v>Sioux Best</v>
      </c>
      <c r="O578" t="str">
        <f>_xlfn.XLOOKUP(fSales[[#This Row],[SalesRepID]],dPSalesRep[SalesRepID],dPSalesRep[Region])</f>
        <v>West</v>
      </c>
      <c r="P578" t="str">
        <f>_xlfn.XLOOKUP(fSales[[#This Row],[ProductID]],dProduct[ProductID],dProduct[Product])</f>
        <v>Banana</v>
      </c>
      <c r="Q578">
        <f>_xlfn.XLOOKUP(fSales[[#This Row],[ProductID]],dProduct[ProductID],dProduct[CratePrice])-_xlfn.XLOOKUP(fSales[[#This Row],[ProductID]],dProduct[ProductID],dProduct[CrateCost])</f>
        <v>5.7749999999999986</v>
      </c>
      <c r="R578">
        <f>_xlfn.XLOOKUP(fSales[[#This Row],[ProductID]],dProduct[ProductID],dProduct[CratePrice])</f>
        <v>17.5</v>
      </c>
      <c r="S578">
        <f>_xlfn.XLOOKUP(fSales[[#This Row],[ProductID]],dProduct[ProductID],dProduct[CrateCost])</f>
        <v>11.725000000000001</v>
      </c>
    </row>
    <row r="579" spans="7:19" x14ac:dyDescent="0.25">
      <c r="G579" s="2">
        <v>45677</v>
      </c>
      <c r="H579">
        <v>60</v>
      </c>
      <c r="I579" t="s">
        <v>19</v>
      </c>
      <c r="J579" t="s">
        <v>22</v>
      </c>
      <c r="K579">
        <f>_xlfn.XLOOKUP(fSales[[#This Row],[ProductID]],dProduct[ProductID],dProduct[CratePrice])*fSales[[#This Row],[Units]]</f>
        <v>2100</v>
      </c>
      <c r="L579">
        <f>fSales[[#This Row],[Total sales]]-_xlfn.XLOOKUP(fSales[[#This Row],[ProductID]],dProduct[ProductID],dProduct[CrateCost])*fSales[[#This Row],[Units]]</f>
        <v>1176</v>
      </c>
      <c r="M579">
        <f>(_xlfn.XLOOKUP(fSales[[#This Row],[ProductID]],dProduct[ProductID],dProduct[CratePrice])-_xlfn.XLOOKUP(fSales[[#This Row],[ProductID]],dProduct[ProductID],dProduct[CrateCost]))/_xlfn.XLOOKUP(fSales[[#This Row],[ProductID]],dProduct[ProductID],dProduct[CratePrice])</f>
        <v>0.56000000000000005</v>
      </c>
      <c r="N579" t="str">
        <f>_xlfn.XLOOKUP(fSales[[#This Row],[SalesRepID]],dPSalesRep[SalesRepID],dPSalesRep[SalesRep])</f>
        <v>Timmy Kips</v>
      </c>
      <c r="O579" t="str">
        <f>_xlfn.XLOOKUP(fSales[[#This Row],[SalesRepID]],dPSalesRep[SalesRepID],dPSalesRep[Region])</f>
        <v>East</v>
      </c>
      <c r="P579" t="str">
        <f>_xlfn.XLOOKUP(fSales[[#This Row],[ProductID]],dProduct[ProductID],dProduct[Product])</f>
        <v>Apple</v>
      </c>
      <c r="Q579">
        <f>_xlfn.XLOOKUP(fSales[[#This Row],[ProductID]],dProduct[ProductID],dProduct[CratePrice])-_xlfn.XLOOKUP(fSales[[#This Row],[ProductID]],dProduct[ProductID],dProduct[CrateCost])</f>
        <v>19.600000000000001</v>
      </c>
      <c r="R579">
        <f>_xlfn.XLOOKUP(fSales[[#This Row],[ProductID]],dProduct[ProductID],dProduct[CratePrice])</f>
        <v>35</v>
      </c>
      <c r="S579">
        <f>_xlfn.XLOOKUP(fSales[[#This Row],[ProductID]],dProduct[ProductID],dProduct[CrateCost])</f>
        <v>15.4</v>
      </c>
    </row>
    <row r="580" spans="7:19" x14ac:dyDescent="0.25">
      <c r="G580" s="2">
        <v>45678</v>
      </c>
      <c r="H580">
        <v>252</v>
      </c>
      <c r="I580" t="s">
        <v>26</v>
      </c>
      <c r="J580" t="s">
        <v>22</v>
      </c>
      <c r="K580">
        <f>_xlfn.XLOOKUP(fSales[[#This Row],[ProductID]],dProduct[ProductID],dProduct[CratePrice])*fSales[[#This Row],[Units]]</f>
        <v>7497</v>
      </c>
      <c r="L580">
        <f>fSales[[#This Row],[Total sales]]-_xlfn.XLOOKUP(fSales[[#This Row],[ProductID]],dProduct[ProductID],dProduct[CrateCost])*fSales[[#This Row],[Units]]</f>
        <v>3148.7400000000007</v>
      </c>
      <c r="M580">
        <f>(_xlfn.XLOOKUP(fSales[[#This Row],[ProductID]],dProduct[ProductID],dProduct[CratePrice])-_xlfn.XLOOKUP(fSales[[#This Row],[ProductID]],dProduct[ProductID],dProduct[CrateCost]))/_xlfn.XLOOKUP(fSales[[#This Row],[ProductID]],dProduct[ProductID],dProduct[CratePrice])</f>
        <v>0.42000000000000004</v>
      </c>
      <c r="N580" t="str">
        <f>_xlfn.XLOOKUP(fSales[[#This Row],[SalesRepID]],dPSalesRep[SalesRepID],dPSalesRep[SalesRep])</f>
        <v>Timmy Kips</v>
      </c>
      <c r="O580" t="str">
        <f>_xlfn.XLOOKUP(fSales[[#This Row],[SalesRepID]],dPSalesRep[SalesRepID],dPSalesRep[Region])</f>
        <v>East</v>
      </c>
      <c r="P580" t="str">
        <f>_xlfn.XLOOKUP(fSales[[#This Row],[ProductID]],dProduct[ProductID],dProduct[Product])</f>
        <v>Orange</v>
      </c>
      <c r="Q580">
        <f>_xlfn.XLOOKUP(fSales[[#This Row],[ProductID]],dProduct[ProductID],dProduct[CratePrice])-_xlfn.XLOOKUP(fSales[[#This Row],[ProductID]],dProduct[ProductID],dProduct[CrateCost])</f>
        <v>12.495000000000001</v>
      </c>
      <c r="R580">
        <f>_xlfn.XLOOKUP(fSales[[#This Row],[ProductID]],dProduct[ProductID],dProduct[CratePrice])</f>
        <v>29.75</v>
      </c>
      <c r="S580">
        <f>_xlfn.XLOOKUP(fSales[[#This Row],[ProductID]],dProduct[ProductID],dProduct[CrateCost])</f>
        <v>17.254999999999999</v>
      </c>
    </row>
    <row r="581" spans="7:19" x14ac:dyDescent="0.25">
      <c r="G581" s="2">
        <v>45679</v>
      </c>
      <c r="H581">
        <v>168</v>
      </c>
      <c r="I581" t="s">
        <v>34</v>
      </c>
      <c r="J581" t="s">
        <v>29</v>
      </c>
      <c r="K581">
        <f>_xlfn.XLOOKUP(fSales[[#This Row],[ProductID]],dProduct[ProductID],dProduct[CratePrice])*fSales[[#This Row],[Units]]</f>
        <v>2940</v>
      </c>
      <c r="L581">
        <f>fSales[[#This Row],[Total sales]]-_xlfn.XLOOKUP(fSales[[#This Row],[ProductID]],dProduct[ProductID],dProduct[CrateCost])*fSales[[#This Row],[Units]]</f>
        <v>970.19999999999982</v>
      </c>
      <c r="M581">
        <f>(_xlfn.XLOOKUP(fSales[[#This Row],[ProductID]],dProduct[ProductID],dProduct[CratePrice])-_xlfn.XLOOKUP(fSales[[#This Row],[ProductID]],dProduct[ProductID],dProduct[CrateCost]))/_xlfn.XLOOKUP(fSales[[#This Row],[ProductID]],dProduct[ProductID],dProduct[CratePrice])</f>
        <v>0.3299999999999999</v>
      </c>
      <c r="N581" t="str">
        <f>_xlfn.XLOOKUP(fSales[[#This Row],[SalesRepID]],dPSalesRep[SalesRepID],dPSalesRep[SalesRep])</f>
        <v>Sioux Best</v>
      </c>
      <c r="O581" t="str">
        <f>_xlfn.XLOOKUP(fSales[[#This Row],[SalesRepID]],dPSalesRep[SalesRepID],dPSalesRep[Region])</f>
        <v>West</v>
      </c>
      <c r="P581" t="str">
        <f>_xlfn.XLOOKUP(fSales[[#This Row],[ProductID]],dProduct[ProductID],dProduct[Product])</f>
        <v>Banana</v>
      </c>
      <c r="Q581">
        <f>_xlfn.XLOOKUP(fSales[[#This Row],[ProductID]],dProduct[ProductID],dProduct[CratePrice])-_xlfn.XLOOKUP(fSales[[#This Row],[ProductID]],dProduct[ProductID],dProduct[CrateCost])</f>
        <v>5.7749999999999986</v>
      </c>
      <c r="R581">
        <f>_xlfn.XLOOKUP(fSales[[#This Row],[ProductID]],dProduct[ProductID],dProduct[CratePrice])</f>
        <v>17.5</v>
      </c>
      <c r="S581">
        <f>_xlfn.XLOOKUP(fSales[[#This Row],[ProductID]],dProduct[ProductID],dProduct[CrateCost])</f>
        <v>11.725000000000001</v>
      </c>
    </row>
    <row r="582" spans="7:19" x14ac:dyDescent="0.25">
      <c r="G582" s="2">
        <v>45679</v>
      </c>
      <c r="H582">
        <v>144</v>
      </c>
      <c r="I582" t="s">
        <v>28</v>
      </c>
      <c r="J582" t="s">
        <v>37</v>
      </c>
      <c r="K582">
        <f>_xlfn.XLOOKUP(fSales[[#This Row],[ProductID]],dProduct[ProductID],dProduct[CratePrice])*fSales[[#This Row],[Units]]</f>
        <v>6292.8</v>
      </c>
      <c r="L582">
        <f>fSales[[#This Row],[Total sales]]-_xlfn.XLOOKUP(fSales[[#This Row],[ProductID]],dProduct[ProductID],dProduct[CrateCost])*fSales[[#This Row],[Units]]</f>
        <v>2642.9760000000001</v>
      </c>
      <c r="M582">
        <f>(_xlfn.XLOOKUP(fSales[[#This Row],[ProductID]],dProduct[ProductID],dProduct[CratePrice])-_xlfn.XLOOKUP(fSales[[#This Row],[ProductID]],dProduct[ProductID],dProduct[CrateCost]))/_xlfn.XLOOKUP(fSales[[#This Row],[ProductID]],dProduct[ProductID],dProduct[CratePrice])</f>
        <v>0.42000000000000004</v>
      </c>
      <c r="N582" t="str">
        <f>_xlfn.XLOOKUP(fSales[[#This Row],[SalesRepID]],dPSalesRep[SalesRepID],dPSalesRep[SalesRep])</f>
        <v>Chantel Mims</v>
      </c>
      <c r="O582" t="str">
        <f>_xlfn.XLOOKUP(fSales[[#This Row],[SalesRepID]],dPSalesRep[SalesRepID],dPSalesRep[Region])</f>
        <v>NW</v>
      </c>
      <c r="P582" t="str">
        <f>_xlfn.XLOOKUP(fSales[[#This Row],[ProductID]],dProduct[ProductID],dProduct[Product])</f>
        <v>Cherry</v>
      </c>
      <c r="Q582">
        <f>_xlfn.XLOOKUP(fSales[[#This Row],[ProductID]],dProduct[ProductID],dProduct[CratePrice])-_xlfn.XLOOKUP(fSales[[#This Row],[ProductID]],dProduct[ProductID],dProduct[CrateCost])</f>
        <v>18.354000000000003</v>
      </c>
      <c r="R582">
        <f>_xlfn.XLOOKUP(fSales[[#This Row],[ProductID]],dProduct[ProductID],dProduct[CratePrice])</f>
        <v>43.7</v>
      </c>
      <c r="S582">
        <f>_xlfn.XLOOKUP(fSales[[#This Row],[ProductID]],dProduct[ProductID],dProduct[CrateCost])</f>
        <v>25.346</v>
      </c>
    </row>
    <row r="583" spans="7:19" x14ac:dyDescent="0.25">
      <c r="G583" s="2">
        <v>45681</v>
      </c>
      <c r="H583">
        <v>264</v>
      </c>
      <c r="I583" t="s">
        <v>26</v>
      </c>
      <c r="J583" t="s">
        <v>22</v>
      </c>
      <c r="K583">
        <f>_xlfn.XLOOKUP(fSales[[#This Row],[ProductID]],dProduct[ProductID],dProduct[CratePrice])*fSales[[#This Row],[Units]]</f>
        <v>7854</v>
      </c>
      <c r="L583">
        <f>fSales[[#This Row],[Total sales]]-_xlfn.XLOOKUP(fSales[[#This Row],[ProductID]],dProduct[ProductID],dProduct[CrateCost])*fSales[[#This Row],[Units]]</f>
        <v>3298.6800000000003</v>
      </c>
      <c r="M583">
        <f>(_xlfn.XLOOKUP(fSales[[#This Row],[ProductID]],dProduct[ProductID],dProduct[CratePrice])-_xlfn.XLOOKUP(fSales[[#This Row],[ProductID]],dProduct[ProductID],dProduct[CrateCost]))/_xlfn.XLOOKUP(fSales[[#This Row],[ProductID]],dProduct[ProductID],dProduct[CratePrice])</f>
        <v>0.42000000000000004</v>
      </c>
      <c r="N583" t="str">
        <f>_xlfn.XLOOKUP(fSales[[#This Row],[SalesRepID]],dPSalesRep[SalesRepID],dPSalesRep[SalesRep])</f>
        <v>Timmy Kips</v>
      </c>
      <c r="O583" t="str">
        <f>_xlfn.XLOOKUP(fSales[[#This Row],[SalesRepID]],dPSalesRep[SalesRepID],dPSalesRep[Region])</f>
        <v>East</v>
      </c>
      <c r="P583" t="str">
        <f>_xlfn.XLOOKUP(fSales[[#This Row],[ProductID]],dProduct[ProductID],dProduct[Product])</f>
        <v>Orange</v>
      </c>
      <c r="Q583">
        <f>_xlfn.XLOOKUP(fSales[[#This Row],[ProductID]],dProduct[ProductID],dProduct[CratePrice])-_xlfn.XLOOKUP(fSales[[#This Row],[ProductID]],dProduct[ProductID],dProduct[CrateCost])</f>
        <v>12.495000000000001</v>
      </c>
      <c r="R583">
        <f>_xlfn.XLOOKUP(fSales[[#This Row],[ProductID]],dProduct[ProductID],dProduct[CratePrice])</f>
        <v>29.75</v>
      </c>
      <c r="S583">
        <f>_xlfn.XLOOKUP(fSales[[#This Row],[ProductID]],dProduct[ProductID],dProduct[CrateCost])</f>
        <v>17.254999999999999</v>
      </c>
    </row>
    <row r="584" spans="7:19" x14ac:dyDescent="0.25">
      <c r="G584" s="2">
        <v>45681</v>
      </c>
      <c r="H584">
        <v>276</v>
      </c>
      <c r="I584" t="s">
        <v>28</v>
      </c>
      <c r="J584" t="s">
        <v>37</v>
      </c>
      <c r="K584">
        <f>_xlfn.XLOOKUP(fSales[[#This Row],[ProductID]],dProduct[ProductID],dProduct[CratePrice])*fSales[[#This Row],[Units]]</f>
        <v>12061.2</v>
      </c>
      <c r="L584">
        <f>fSales[[#This Row],[Total sales]]-_xlfn.XLOOKUP(fSales[[#This Row],[ProductID]],dProduct[ProductID],dProduct[CrateCost])*fSales[[#This Row],[Units]]</f>
        <v>5065.7040000000006</v>
      </c>
      <c r="M584">
        <f>(_xlfn.XLOOKUP(fSales[[#This Row],[ProductID]],dProduct[ProductID],dProduct[CratePrice])-_xlfn.XLOOKUP(fSales[[#This Row],[ProductID]],dProduct[ProductID],dProduct[CrateCost]))/_xlfn.XLOOKUP(fSales[[#This Row],[ProductID]],dProduct[ProductID],dProduct[CratePrice])</f>
        <v>0.42000000000000004</v>
      </c>
      <c r="N584" t="str">
        <f>_xlfn.XLOOKUP(fSales[[#This Row],[SalesRepID]],dPSalesRep[SalesRepID],dPSalesRep[SalesRep])</f>
        <v>Chantel Mims</v>
      </c>
      <c r="O584" t="str">
        <f>_xlfn.XLOOKUP(fSales[[#This Row],[SalesRepID]],dPSalesRep[SalesRepID],dPSalesRep[Region])</f>
        <v>NW</v>
      </c>
      <c r="P584" t="str">
        <f>_xlfn.XLOOKUP(fSales[[#This Row],[ProductID]],dProduct[ProductID],dProduct[Product])</f>
        <v>Cherry</v>
      </c>
      <c r="Q584">
        <f>_xlfn.XLOOKUP(fSales[[#This Row],[ProductID]],dProduct[ProductID],dProduct[CratePrice])-_xlfn.XLOOKUP(fSales[[#This Row],[ProductID]],dProduct[ProductID],dProduct[CrateCost])</f>
        <v>18.354000000000003</v>
      </c>
      <c r="R584">
        <f>_xlfn.XLOOKUP(fSales[[#This Row],[ProductID]],dProduct[ProductID],dProduct[CratePrice])</f>
        <v>43.7</v>
      </c>
      <c r="S584">
        <f>_xlfn.XLOOKUP(fSales[[#This Row],[ProductID]],dProduct[ProductID],dProduct[CrateCost])</f>
        <v>25.346</v>
      </c>
    </row>
    <row r="585" spans="7:19" x14ac:dyDescent="0.25">
      <c r="G585" s="2">
        <v>45681</v>
      </c>
      <c r="H585">
        <v>228</v>
      </c>
      <c r="I585" t="s">
        <v>19</v>
      </c>
      <c r="J585" t="s">
        <v>32</v>
      </c>
      <c r="K585">
        <f>_xlfn.XLOOKUP(fSales[[#This Row],[ProductID]],dProduct[ProductID],dProduct[CratePrice])*fSales[[#This Row],[Units]]</f>
        <v>7980</v>
      </c>
      <c r="L585">
        <f>fSales[[#This Row],[Total sales]]-_xlfn.XLOOKUP(fSales[[#This Row],[ProductID]],dProduct[ProductID],dProduct[CrateCost])*fSales[[#This Row],[Units]]</f>
        <v>4468.7999999999993</v>
      </c>
      <c r="M585">
        <f>(_xlfn.XLOOKUP(fSales[[#This Row],[ProductID]],dProduct[ProductID],dProduct[CratePrice])-_xlfn.XLOOKUP(fSales[[#This Row],[ProductID]],dProduct[ProductID],dProduct[CrateCost]))/_xlfn.XLOOKUP(fSales[[#This Row],[ProductID]],dProduct[ProductID],dProduct[CratePrice])</f>
        <v>0.56000000000000005</v>
      </c>
      <c r="N585" t="str">
        <f>_xlfn.XLOOKUP(fSales[[#This Row],[SalesRepID]],dPSalesRep[SalesRepID],dPSalesRep[SalesRep])</f>
        <v>Shihara Fazzaa</v>
      </c>
      <c r="O585" t="str">
        <f>_xlfn.XLOOKUP(fSales[[#This Row],[SalesRepID]],dPSalesRep[SalesRepID],dPSalesRep[Region])</f>
        <v>East</v>
      </c>
      <c r="P585" t="str">
        <f>_xlfn.XLOOKUP(fSales[[#This Row],[ProductID]],dProduct[ProductID],dProduct[Product])</f>
        <v>Apple</v>
      </c>
      <c r="Q585">
        <f>_xlfn.XLOOKUP(fSales[[#This Row],[ProductID]],dProduct[ProductID],dProduct[CratePrice])-_xlfn.XLOOKUP(fSales[[#This Row],[ProductID]],dProduct[ProductID],dProduct[CrateCost])</f>
        <v>19.600000000000001</v>
      </c>
      <c r="R585">
        <f>_xlfn.XLOOKUP(fSales[[#This Row],[ProductID]],dProduct[ProductID],dProduct[CratePrice])</f>
        <v>35</v>
      </c>
      <c r="S585">
        <f>_xlfn.XLOOKUP(fSales[[#This Row],[ProductID]],dProduct[ProductID],dProduct[CrateCost])</f>
        <v>15.4</v>
      </c>
    </row>
    <row r="586" spans="7:19" x14ac:dyDescent="0.25">
      <c r="G586" s="2">
        <v>45681</v>
      </c>
      <c r="H586">
        <v>240</v>
      </c>
      <c r="I586" t="s">
        <v>21</v>
      </c>
      <c r="J586" t="s">
        <v>32</v>
      </c>
      <c r="K586">
        <f>_xlfn.XLOOKUP(fSales[[#This Row],[ProductID]],dProduct[ProductID],dProduct[CratePrice])*fSales[[#This Row],[Units]]</f>
        <v>5400</v>
      </c>
      <c r="L586">
        <f>fSales[[#This Row],[Total sales]]-_xlfn.XLOOKUP(fSales[[#This Row],[ProductID]],dProduct[ProductID],dProduct[CrateCost])*fSales[[#This Row],[Units]]</f>
        <v>2375.9999999999995</v>
      </c>
      <c r="M586">
        <f>(_xlfn.XLOOKUP(fSales[[#This Row],[ProductID]],dProduct[ProductID],dProduct[CratePrice])-_xlfn.XLOOKUP(fSales[[#This Row],[ProductID]],dProduct[ProductID],dProduct[CrateCost]))/_xlfn.XLOOKUP(fSales[[#This Row],[ProductID]],dProduct[ProductID],dProduct[CratePrice])</f>
        <v>0.43999999999999995</v>
      </c>
      <c r="N586" t="str">
        <f>_xlfn.XLOOKUP(fSales[[#This Row],[SalesRepID]],dPSalesRep[SalesRepID],dPSalesRep[SalesRep])</f>
        <v>Shihara Fazzaa</v>
      </c>
      <c r="O586" t="str">
        <f>_xlfn.XLOOKUP(fSales[[#This Row],[SalesRepID]],dPSalesRep[SalesRepID],dPSalesRep[Region])</f>
        <v>East</v>
      </c>
      <c r="P586" t="str">
        <f>_xlfn.XLOOKUP(fSales[[#This Row],[ProductID]],dProduct[ProductID],dProduct[Product])</f>
        <v>Kiwi</v>
      </c>
      <c r="Q586">
        <f>_xlfn.XLOOKUP(fSales[[#This Row],[ProductID]],dProduct[ProductID],dProduct[CratePrice])-_xlfn.XLOOKUP(fSales[[#This Row],[ProductID]],dProduct[ProductID],dProduct[CrateCost])</f>
        <v>9.8999999999999986</v>
      </c>
      <c r="R586">
        <f>_xlfn.XLOOKUP(fSales[[#This Row],[ProductID]],dProduct[ProductID],dProduct[CratePrice])</f>
        <v>22.5</v>
      </c>
      <c r="S586">
        <f>_xlfn.XLOOKUP(fSales[[#This Row],[ProductID]],dProduct[ProductID],dProduct[CrateCost])</f>
        <v>12.600000000000001</v>
      </c>
    </row>
    <row r="587" spans="7:19" x14ac:dyDescent="0.25">
      <c r="G587" s="2">
        <v>45681</v>
      </c>
      <c r="H587">
        <v>96</v>
      </c>
      <c r="I587" t="s">
        <v>19</v>
      </c>
      <c r="J587" t="s">
        <v>52</v>
      </c>
      <c r="K587">
        <f>_xlfn.XLOOKUP(fSales[[#This Row],[ProductID]],dProduct[ProductID],dProduct[CratePrice])*fSales[[#This Row],[Units]]</f>
        <v>3360</v>
      </c>
      <c r="L587">
        <f>fSales[[#This Row],[Total sales]]-_xlfn.XLOOKUP(fSales[[#This Row],[ProductID]],dProduct[ProductID],dProduct[CrateCost])*fSales[[#This Row],[Units]]</f>
        <v>1881.6</v>
      </c>
      <c r="M587">
        <f>(_xlfn.XLOOKUP(fSales[[#This Row],[ProductID]],dProduct[ProductID],dProduct[CratePrice])-_xlfn.XLOOKUP(fSales[[#This Row],[ProductID]],dProduct[ProductID],dProduct[CrateCost]))/_xlfn.XLOOKUP(fSales[[#This Row],[ProductID]],dProduct[ProductID],dProduct[CratePrice])</f>
        <v>0.56000000000000005</v>
      </c>
      <c r="N587" t="str">
        <f>_xlfn.XLOOKUP(fSales[[#This Row],[SalesRepID]],dPSalesRep[SalesRepID],dPSalesRep[SalesRep])</f>
        <v>Smitty Rad</v>
      </c>
      <c r="O587" t="str">
        <f>_xlfn.XLOOKUP(fSales[[#This Row],[SalesRepID]],dPSalesRep[SalesRepID],dPSalesRep[Region])</f>
        <v>MidWest</v>
      </c>
      <c r="P587" t="str">
        <f>_xlfn.XLOOKUP(fSales[[#This Row],[ProductID]],dProduct[ProductID],dProduct[Product])</f>
        <v>Apple</v>
      </c>
      <c r="Q587">
        <f>_xlfn.XLOOKUP(fSales[[#This Row],[ProductID]],dProduct[ProductID],dProduct[CratePrice])-_xlfn.XLOOKUP(fSales[[#This Row],[ProductID]],dProduct[ProductID],dProduct[CrateCost])</f>
        <v>19.600000000000001</v>
      </c>
      <c r="R587">
        <f>_xlfn.XLOOKUP(fSales[[#This Row],[ProductID]],dProduct[ProductID],dProduct[CratePrice])</f>
        <v>35</v>
      </c>
      <c r="S587">
        <f>_xlfn.XLOOKUP(fSales[[#This Row],[ProductID]],dProduct[ProductID],dProduct[CrateCost])</f>
        <v>15.4</v>
      </c>
    </row>
    <row r="588" spans="7:19" x14ac:dyDescent="0.25">
      <c r="G588" s="2">
        <v>45682</v>
      </c>
      <c r="H588">
        <v>108</v>
      </c>
      <c r="I588" t="s">
        <v>28</v>
      </c>
      <c r="J588" t="s">
        <v>22</v>
      </c>
      <c r="K588">
        <f>_xlfn.XLOOKUP(fSales[[#This Row],[ProductID]],dProduct[ProductID],dProduct[CratePrice])*fSales[[#This Row],[Units]]</f>
        <v>4719.6000000000004</v>
      </c>
      <c r="L588">
        <f>fSales[[#This Row],[Total sales]]-_xlfn.XLOOKUP(fSales[[#This Row],[ProductID]],dProduct[ProductID],dProduct[CrateCost])*fSales[[#This Row],[Units]]</f>
        <v>1982.2320000000004</v>
      </c>
      <c r="M588">
        <f>(_xlfn.XLOOKUP(fSales[[#This Row],[ProductID]],dProduct[ProductID],dProduct[CratePrice])-_xlfn.XLOOKUP(fSales[[#This Row],[ProductID]],dProduct[ProductID],dProduct[CrateCost]))/_xlfn.XLOOKUP(fSales[[#This Row],[ProductID]],dProduct[ProductID],dProduct[CratePrice])</f>
        <v>0.42000000000000004</v>
      </c>
      <c r="N588" t="str">
        <f>_xlfn.XLOOKUP(fSales[[#This Row],[SalesRepID]],dPSalesRep[SalesRepID],dPSalesRep[SalesRep])</f>
        <v>Timmy Kips</v>
      </c>
      <c r="O588" t="str">
        <f>_xlfn.XLOOKUP(fSales[[#This Row],[SalesRepID]],dPSalesRep[SalesRepID],dPSalesRep[Region])</f>
        <v>East</v>
      </c>
      <c r="P588" t="str">
        <f>_xlfn.XLOOKUP(fSales[[#This Row],[ProductID]],dProduct[ProductID],dProduct[Product])</f>
        <v>Cherry</v>
      </c>
      <c r="Q588">
        <f>_xlfn.XLOOKUP(fSales[[#This Row],[ProductID]],dProduct[ProductID],dProduct[CratePrice])-_xlfn.XLOOKUP(fSales[[#This Row],[ProductID]],dProduct[ProductID],dProduct[CrateCost])</f>
        <v>18.354000000000003</v>
      </c>
      <c r="R588">
        <f>_xlfn.XLOOKUP(fSales[[#This Row],[ProductID]],dProduct[ProductID],dProduct[CratePrice])</f>
        <v>43.7</v>
      </c>
      <c r="S588">
        <f>_xlfn.XLOOKUP(fSales[[#This Row],[ProductID]],dProduct[ProductID],dProduct[CrateCost])</f>
        <v>25.346</v>
      </c>
    </row>
    <row r="589" spans="7:19" x14ac:dyDescent="0.25">
      <c r="G589" s="2">
        <v>45682</v>
      </c>
      <c r="H589">
        <v>216</v>
      </c>
      <c r="I589" t="s">
        <v>19</v>
      </c>
      <c r="J589" t="s">
        <v>32</v>
      </c>
      <c r="K589">
        <f>_xlfn.XLOOKUP(fSales[[#This Row],[ProductID]],dProduct[ProductID],dProduct[CratePrice])*fSales[[#This Row],[Units]]</f>
        <v>7560</v>
      </c>
      <c r="L589">
        <f>fSales[[#This Row],[Total sales]]-_xlfn.XLOOKUP(fSales[[#This Row],[ProductID]],dProduct[ProductID],dProduct[CrateCost])*fSales[[#This Row],[Units]]</f>
        <v>4233.6000000000004</v>
      </c>
      <c r="M589">
        <f>(_xlfn.XLOOKUP(fSales[[#This Row],[ProductID]],dProduct[ProductID],dProduct[CratePrice])-_xlfn.XLOOKUP(fSales[[#This Row],[ProductID]],dProduct[ProductID],dProduct[CrateCost]))/_xlfn.XLOOKUP(fSales[[#This Row],[ProductID]],dProduct[ProductID],dProduct[CratePrice])</f>
        <v>0.56000000000000005</v>
      </c>
      <c r="N589" t="str">
        <f>_xlfn.XLOOKUP(fSales[[#This Row],[SalesRepID]],dPSalesRep[SalesRepID],dPSalesRep[SalesRep])</f>
        <v>Shihara Fazzaa</v>
      </c>
      <c r="O589" t="str">
        <f>_xlfn.XLOOKUP(fSales[[#This Row],[SalesRepID]],dPSalesRep[SalesRepID],dPSalesRep[Region])</f>
        <v>East</v>
      </c>
      <c r="P589" t="str">
        <f>_xlfn.XLOOKUP(fSales[[#This Row],[ProductID]],dProduct[ProductID],dProduct[Product])</f>
        <v>Apple</v>
      </c>
      <c r="Q589">
        <f>_xlfn.XLOOKUP(fSales[[#This Row],[ProductID]],dProduct[ProductID],dProduct[CratePrice])-_xlfn.XLOOKUP(fSales[[#This Row],[ProductID]],dProduct[ProductID],dProduct[CrateCost])</f>
        <v>19.600000000000001</v>
      </c>
      <c r="R589">
        <f>_xlfn.XLOOKUP(fSales[[#This Row],[ProductID]],dProduct[ProductID],dProduct[CratePrice])</f>
        <v>35</v>
      </c>
      <c r="S589">
        <f>_xlfn.XLOOKUP(fSales[[#This Row],[ProductID]],dProduct[ProductID],dProduct[CrateCost])</f>
        <v>15.4</v>
      </c>
    </row>
    <row r="590" spans="7:19" x14ac:dyDescent="0.25">
      <c r="G590" s="2">
        <v>45682</v>
      </c>
      <c r="H590">
        <v>168</v>
      </c>
      <c r="I590" t="s">
        <v>26</v>
      </c>
      <c r="J590" t="s">
        <v>52</v>
      </c>
      <c r="K590">
        <f>_xlfn.XLOOKUP(fSales[[#This Row],[ProductID]],dProduct[ProductID],dProduct[CratePrice])*fSales[[#This Row],[Units]]</f>
        <v>4998</v>
      </c>
      <c r="L590">
        <f>fSales[[#This Row],[Total sales]]-_xlfn.XLOOKUP(fSales[[#This Row],[ProductID]],dProduct[ProductID],dProduct[CrateCost])*fSales[[#This Row],[Units]]</f>
        <v>2099.1600000000003</v>
      </c>
      <c r="M590">
        <f>(_xlfn.XLOOKUP(fSales[[#This Row],[ProductID]],dProduct[ProductID],dProduct[CratePrice])-_xlfn.XLOOKUP(fSales[[#This Row],[ProductID]],dProduct[ProductID],dProduct[CrateCost]))/_xlfn.XLOOKUP(fSales[[#This Row],[ProductID]],dProduct[ProductID],dProduct[CratePrice])</f>
        <v>0.42000000000000004</v>
      </c>
      <c r="N590" t="str">
        <f>_xlfn.XLOOKUP(fSales[[#This Row],[SalesRepID]],dPSalesRep[SalesRepID],dPSalesRep[SalesRep])</f>
        <v>Smitty Rad</v>
      </c>
      <c r="O590" t="str">
        <f>_xlfn.XLOOKUP(fSales[[#This Row],[SalesRepID]],dPSalesRep[SalesRepID],dPSalesRep[Region])</f>
        <v>MidWest</v>
      </c>
      <c r="P590" t="str">
        <f>_xlfn.XLOOKUP(fSales[[#This Row],[ProductID]],dProduct[ProductID],dProduct[Product])</f>
        <v>Orange</v>
      </c>
      <c r="Q590">
        <f>_xlfn.XLOOKUP(fSales[[#This Row],[ProductID]],dProduct[ProductID],dProduct[CratePrice])-_xlfn.XLOOKUP(fSales[[#This Row],[ProductID]],dProduct[ProductID],dProduct[CrateCost])</f>
        <v>12.495000000000001</v>
      </c>
      <c r="R590">
        <f>_xlfn.XLOOKUP(fSales[[#This Row],[ProductID]],dProduct[ProductID],dProduct[CratePrice])</f>
        <v>29.75</v>
      </c>
      <c r="S590">
        <f>_xlfn.XLOOKUP(fSales[[#This Row],[ProductID]],dProduct[ProductID],dProduct[CrateCost])</f>
        <v>17.254999999999999</v>
      </c>
    </row>
    <row r="591" spans="7:19" x14ac:dyDescent="0.25">
      <c r="G591" s="2">
        <v>45684</v>
      </c>
      <c r="H591">
        <v>72</v>
      </c>
      <c r="I591" t="s">
        <v>26</v>
      </c>
      <c r="J591" t="s">
        <v>32</v>
      </c>
      <c r="K591">
        <f>_xlfn.XLOOKUP(fSales[[#This Row],[ProductID]],dProduct[ProductID],dProduct[CratePrice])*fSales[[#This Row],[Units]]</f>
        <v>2142</v>
      </c>
      <c r="L591">
        <f>fSales[[#This Row],[Total sales]]-_xlfn.XLOOKUP(fSales[[#This Row],[ProductID]],dProduct[ProductID],dProduct[CrateCost])*fSales[[#This Row],[Units]]</f>
        <v>899.6400000000001</v>
      </c>
      <c r="M591">
        <f>(_xlfn.XLOOKUP(fSales[[#This Row],[ProductID]],dProduct[ProductID],dProduct[CratePrice])-_xlfn.XLOOKUP(fSales[[#This Row],[ProductID]],dProduct[ProductID],dProduct[CrateCost]))/_xlfn.XLOOKUP(fSales[[#This Row],[ProductID]],dProduct[ProductID],dProduct[CratePrice])</f>
        <v>0.42000000000000004</v>
      </c>
      <c r="N591" t="str">
        <f>_xlfn.XLOOKUP(fSales[[#This Row],[SalesRepID]],dPSalesRep[SalesRepID],dPSalesRep[SalesRep])</f>
        <v>Shihara Fazzaa</v>
      </c>
      <c r="O591" t="str">
        <f>_xlfn.XLOOKUP(fSales[[#This Row],[SalesRepID]],dPSalesRep[SalesRepID],dPSalesRep[Region])</f>
        <v>East</v>
      </c>
      <c r="P591" t="str">
        <f>_xlfn.XLOOKUP(fSales[[#This Row],[ProductID]],dProduct[ProductID],dProduct[Product])</f>
        <v>Orange</v>
      </c>
      <c r="Q591">
        <f>_xlfn.XLOOKUP(fSales[[#This Row],[ProductID]],dProduct[ProductID],dProduct[CratePrice])-_xlfn.XLOOKUP(fSales[[#This Row],[ProductID]],dProduct[ProductID],dProduct[CrateCost])</f>
        <v>12.495000000000001</v>
      </c>
      <c r="R591">
        <f>_xlfn.XLOOKUP(fSales[[#This Row],[ProductID]],dProduct[ProductID],dProduct[CratePrice])</f>
        <v>29.75</v>
      </c>
      <c r="S591">
        <f>_xlfn.XLOOKUP(fSales[[#This Row],[ProductID]],dProduct[ProductID],dProduct[CrateCost])</f>
        <v>17.254999999999999</v>
      </c>
    </row>
    <row r="592" spans="7:19" x14ac:dyDescent="0.25">
      <c r="G592" s="2">
        <v>45684</v>
      </c>
      <c r="H592">
        <v>300</v>
      </c>
      <c r="I592" t="s">
        <v>28</v>
      </c>
      <c r="J592" t="s">
        <v>29</v>
      </c>
      <c r="K592">
        <f>_xlfn.XLOOKUP(fSales[[#This Row],[ProductID]],dProduct[ProductID],dProduct[CratePrice])*fSales[[#This Row],[Units]]</f>
        <v>13110</v>
      </c>
      <c r="L592">
        <f>fSales[[#This Row],[Total sales]]-_xlfn.XLOOKUP(fSales[[#This Row],[ProductID]],dProduct[ProductID],dProduct[CrateCost])*fSales[[#This Row],[Units]]</f>
        <v>5506.2</v>
      </c>
      <c r="M592">
        <f>(_xlfn.XLOOKUP(fSales[[#This Row],[ProductID]],dProduct[ProductID],dProduct[CratePrice])-_xlfn.XLOOKUP(fSales[[#This Row],[ProductID]],dProduct[ProductID],dProduct[CrateCost]))/_xlfn.XLOOKUP(fSales[[#This Row],[ProductID]],dProduct[ProductID],dProduct[CratePrice])</f>
        <v>0.42000000000000004</v>
      </c>
      <c r="N592" t="str">
        <f>_xlfn.XLOOKUP(fSales[[#This Row],[SalesRepID]],dPSalesRep[SalesRepID],dPSalesRep[SalesRep])</f>
        <v>Sioux Best</v>
      </c>
      <c r="O592" t="str">
        <f>_xlfn.XLOOKUP(fSales[[#This Row],[SalesRepID]],dPSalesRep[SalesRepID],dPSalesRep[Region])</f>
        <v>West</v>
      </c>
      <c r="P592" t="str">
        <f>_xlfn.XLOOKUP(fSales[[#This Row],[ProductID]],dProduct[ProductID],dProduct[Product])</f>
        <v>Cherry</v>
      </c>
      <c r="Q592">
        <f>_xlfn.XLOOKUP(fSales[[#This Row],[ProductID]],dProduct[ProductID],dProduct[CratePrice])-_xlfn.XLOOKUP(fSales[[#This Row],[ProductID]],dProduct[ProductID],dProduct[CrateCost])</f>
        <v>18.354000000000003</v>
      </c>
      <c r="R592">
        <f>_xlfn.XLOOKUP(fSales[[#This Row],[ProductID]],dProduct[ProductID],dProduct[CratePrice])</f>
        <v>43.7</v>
      </c>
      <c r="S592">
        <f>_xlfn.XLOOKUP(fSales[[#This Row],[ProductID]],dProduct[ProductID],dProduct[CrateCost])</f>
        <v>25.346</v>
      </c>
    </row>
    <row r="593" spans="7:19" x14ac:dyDescent="0.25">
      <c r="G593" s="2">
        <v>45685</v>
      </c>
      <c r="H593">
        <v>156</v>
      </c>
      <c r="I593" t="s">
        <v>19</v>
      </c>
      <c r="J593" t="s">
        <v>37</v>
      </c>
      <c r="K593">
        <f>_xlfn.XLOOKUP(fSales[[#This Row],[ProductID]],dProduct[ProductID],dProduct[CratePrice])*fSales[[#This Row],[Units]]</f>
        <v>5460</v>
      </c>
      <c r="L593">
        <f>fSales[[#This Row],[Total sales]]-_xlfn.XLOOKUP(fSales[[#This Row],[ProductID]],dProduct[ProductID],dProduct[CrateCost])*fSales[[#This Row],[Units]]</f>
        <v>3057.6</v>
      </c>
      <c r="M593">
        <f>(_xlfn.XLOOKUP(fSales[[#This Row],[ProductID]],dProduct[ProductID],dProduct[CratePrice])-_xlfn.XLOOKUP(fSales[[#This Row],[ProductID]],dProduct[ProductID],dProduct[CrateCost]))/_xlfn.XLOOKUP(fSales[[#This Row],[ProductID]],dProduct[ProductID],dProduct[CratePrice])</f>
        <v>0.56000000000000005</v>
      </c>
      <c r="N593" t="str">
        <f>_xlfn.XLOOKUP(fSales[[#This Row],[SalesRepID]],dPSalesRep[SalesRepID],dPSalesRep[SalesRep])</f>
        <v>Chantel Mims</v>
      </c>
      <c r="O593" t="str">
        <f>_xlfn.XLOOKUP(fSales[[#This Row],[SalesRepID]],dPSalesRep[SalesRepID],dPSalesRep[Region])</f>
        <v>NW</v>
      </c>
      <c r="P593" t="str">
        <f>_xlfn.XLOOKUP(fSales[[#This Row],[ProductID]],dProduct[ProductID],dProduct[Product])</f>
        <v>Apple</v>
      </c>
      <c r="Q593">
        <f>_xlfn.XLOOKUP(fSales[[#This Row],[ProductID]],dProduct[ProductID],dProduct[CratePrice])-_xlfn.XLOOKUP(fSales[[#This Row],[ProductID]],dProduct[ProductID],dProduct[CrateCost])</f>
        <v>19.600000000000001</v>
      </c>
      <c r="R593">
        <f>_xlfn.XLOOKUP(fSales[[#This Row],[ProductID]],dProduct[ProductID],dProduct[CratePrice])</f>
        <v>35</v>
      </c>
      <c r="S593">
        <f>_xlfn.XLOOKUP(fSales[[#This Row],[ProductID]],dProduct[ProductID],dProduct[CrateCost])</f>
        <v>15.4</v>
      </c>
    </row>
    <row r="594" spans="7:19" x14ac:dyDescent="0.25">
      <c r="G594" s="2">
        <v>45685</v>
      </c>
      <c r="H594">
        <v>48</v>
      </c>
      <c r="I594" t="s">
        <v>26</v>
      </c>
      <c r="J594" t="s">
        <v>29</v>
      </c>
      <c r="K594">
        <f>_xlfn.XLOOKUP(fSales[[#This Row],[ProductID]],dProduct[ProductID],dProduct[CratePrice])*fSales[[#This Row],[Units]]</f>
        <v>1428</v>
      </c>
      <c r="L594">
        <f>fSales[[#This Row],[Total sales]]-_xlfn.XLOOKUP(fSales[[#This Row],[ProductID]],dProduct[ProductID],dProduct[CrateCost])*fSales[[#This Row],[Units]]</f>
        <v>599.76</v>
      </c>
      <c r="M594">
        <f>(_xlfn.XLOOKUP(fSales[[#This Row],[ProductID]],dProduct[ProductID],dProduct[CratePrice])-_xlfn.XLOOKUP(fSales[[#This Row],[ProductID]],dProduct[ProductID],dProduct[CrateCost]))/_xlfn.XLOOKUP(fSales[[#This Row],[ProductID]],dProduct[ProductID],dProduct[CratePrice])</f>
        <v>0.42000000000000004</v>
      </c>
      <c r="N594" t="str">
        <f>_xlfn.XLOOKUP(fSales[[#This Row],[SalesRepID]],dPSalesRep[SalesRepID],dPSalesRep[SalesRep])</f>
        <v>Sioux Best</v>
      </c>
      <c r="O594" t="str">
        <f>_xlfn.XLOOKUP(fSales[[#This Row],[SalesRepID]],dPSalesRep[SalesRepID],dPSalesRep[Region])</f>
        <v>West</v>
      </c>
      <c r="P594" t="str">
        <f>_xlfn.XLOOKUP(fSales[[#This Row],[ProductID]],dProduct[ProductID],dProduct[Product])</f>
        <v>Orange</v>
      </c>
      <c r="Q594">
        <f>_xlfn.XLOOKUP(fSales[[#This Row],[ProductID]],dProduct[ProductID],dProduct[CratePrice])-_xlfn.XLOOKUP(fSales[[#This Row],[ProductID]],dProduct[ProductID],dProduct[CrateCost])</f>
        <v>12.495000000000001</v>
      </c>
      <c r="R594">
        <f>_xlfn.XLOOKUP(fSales[[#This Row],[ProductID]],dProduct[ProductID],dProduct[CratePrice])</f>
        <v>29.75</v>
      </c>
      <c r="S594">
        <f>_xlfn.XLOOKUP(fSales[[#This Row],[ProductID]],dProduct[ProductID],dProduct[CrateCost])</f>
        <v>17.254999999999999</v>
      </c>
    </row>
    <row r="595" spans="7:19" x14ac:dyDescent="0.25">
      <c r="G595" s="2">
        <v>45685</v>
      </c>
      <c r="H595">
        <v>180</v>
      </c>
      <c r="I595" t="s">
        <v>19</v>
      </c>
      <c r="J595" t="s">
        <v>52</v>
      </c>
      <c r="K595">
        <f>_xlfn.XLOOKUP(fSales[[#This Row],[ProductID]],dProduct[ProductID],dProduct[CratePrice])*fSales[[#This Row],[Units]]</f>
        <v>6300</v>
      </c>
      <c r="L595">
        <f>fSales[[#This Row],[Total sales]]-_xlfn.XLOOKUP(fSales[[#This Row],[ProductID]],dProduct[ProductID],dProduct[CrateCost])*fSales[[#This Row],[Units]]</f>
        <v>3528</v>
      </c>
      <c r="M595">
        <f>(_xlfn.XLOOKUP(fSales[[#This Row],[ProductID]],dProduct[ProductID],dProduct[CratePrice])-_xlfn.XLOOKUP(fSales[[#This Row],[ProductID]],dProduct[ProductID],dProduct[CrateCost]))/_xlfn.XLOOKUP(fSales[[#This Row],[ProductID]],dProduct[ProductID],dProduct[CratePrice])</f>
        <v>0.56000000000000005</v>
      </c>
      <c r="N595" t="str">
        <f>_xlfn.XLOOKUP(fSales[[#This Row],[SalesRepID]],dPSalesRep[SalesRepID],dPSalesRep[SalesRep])</f>
        <v>Smitty Rad</v>
      </c>
      <c r="O595" t="str">
        <f>_xlfn.XLOOKUP(fSales[[#This Row],[SalesRepID]],dPSalesRep[SalesRepID],dPSalesRep[Region])</f>
        <v>MidWest</v>
      </c>
      <c r="P595" t="str">
        <f>_xlfn.XLOOKUP(fSales[[#This Row],[ProductID]],dProduct[ProductID],dProduct[Product])</f>
        <v>Apple</v>
      </c>
      <c r="Q595">
        <f>_xlfn.XLOOKUP(fSales[[#This Row],[ProductID]],dProduct[ProductID],dProduct[CratePrice])-_xlfn.XLOOKUP(fSales[[#This Row],[ProductID]],dProduct[ProductID],dProduct[CrateCost])</f>
        <v>19.600000000000001</v>
      </c>
      <c r="R595">
        <f>_xlfn.XLOOKUP(fSales[[#This Row],[ProductID]],dProduct[ProductID],dProduct[CratePrice])</f>
        <v>35</v>
      </c>
      <c r="S595">
        <f>_xlfn.XLOOKUP(fSales[[#This Row],[ProductID]],dProduct[ProductID],dProduct[CrateCost])</f>
        <v>15.4</v>
      </c>
    </row>
    <row r="596" spans="7:19" x14ac:dyDescent="0.25">
      <c r="G596" s="2">
        <v>45686</v>
      </c>
      <c r="H596">
        <v>204</v>
      </c>
      <c r="I596" t="s">
        <v>34</v>
      </c>
      <c r="J596" t="s">
        <v>37</v>
      </c>
      <c r="K596">
        <f>_xlfn.XLOOKUP(fSales[[#This Row],[ProductID]],dProduct[ProductID],dProduct[CratePrice])*fSales[[#This Row],[Units]]</f>
        <v>3570</v>
      </c>
      <c r="L596">
        <f>fSales[[#This Row],[Total sales]]-_xlfn.XLOOKUP(fSales[[#This Row],[ProductID]],dProduct[ProductID],dProduct[CrateCost])*fSales[[#This Row],[Units]]</f>
        <v>1178.0999999999999</v>
      </c>
      <c r="M596">
        <f>(_xlfn.XLOOKUP(fSales[[#This Row],[ProductID]],dProduct[ProductID],dProduct[CratePrice])-_xlfn.XLOOKUP(fSales[[#This Row],[ProductID]],dProduct[ProductID],dProduct[CrateCost]))/_xlfn.XLOOKUP(fSales[[#This Row],[ProductID]],dProduct[ProductID],dProduct[CratePrice])</f>
        <v>0.3299999999999999</v>
      </c>
      <c r="N596" t="str">
        <f>_xlfn.XLOOKUP(fSales[[#This Row],[SalesRepID]],dPSalesRep[SalesRepID],dPSalesRep[SalesRep])</f>
        <v>Chantel Mims</v>
      </c>
      <c r="O596" t="str">
        <f>_xlfn.XLOOKUP(fSales[[#This Row],[SalesRepID]],dPSalesRep[SalesRepID],dPSalesRep[Region])</f>
        <v>NW</v>
      </c>
      <c r="P596" t="str">
        <f>_xlfn.XLOOKUP(fSales[[#This Row],[ProductID]],dProduct[ProductID],dProduct[Product])</f>
        <v>Banana</v>
      </c>
      <c r="Q596">
        <f>_xlfn.XLOOKUP(fSales[[#This Row],[ProductID]],dProduct[ProductID],dProduct[CratePrice])-_xlfn.XLOOKUP(fSales[[#This Row],[ProductID]],dProduct[ProductID],dProduct[CrateCost])</f>
        <v>5.7749999999999986</v>
      </c>
      <c r="R596">
        <f>_xlfn.XLOOKUP(fSales[[#This Row],[ProductID]],dProduct[ProductID],dProduct[CratePrice])</f>
        <v>17.5</v>
      </c>
      <c r="S596">
        <f>_xlfn.XLOOKUP(fSales[[#This Row],[ProductID]],dProduct[ProductID],dProduct[CrateCost])</f>
        <v>11.725000000000001</v>
      </c>
    </row>
    <row r="597" spans="7:19" x14ac:dyDescent="0.25">
      <c r="G597" s="2">
        <v>45686</v>
      </c>
      <c r="H597">
        <v>132</v>
      </c>
      <c r="I597" t="s">
        <v>19</v>
      </c>
      <c r="J597" t="s">
        <v>29</v>
      </c>
      <c r="K597">
        <f>_xlfn.XLOOKUP(fSales[[#This Row],[ProductID]],dProduct[ProductID],dProduct[CratePrice])*fSales[[#This Row],[Units]]</f>
        <v>4620</v>
      </c>
      <c r="L597">
        <f>fSales[[#This Row],[Total sales]]-_xlfn.XLOOKUP(fSales[[#This Row],[ProductID]],dProduct[ProductID],dProduct[CrateCost])*fSales[[#This Row],[Units]]</f>
        <v>2587.1999999999998</v>
      </c>
      <c r="M597">
        <f>(_xlfn.XLOOKUP(fSales[[#This Row],[ProductID]],dProduct[ProductID],dProduct[CratePrice])-_xlfn.XLOOKUP(fSales[[#This Row],[ProductID]],dProduct[ProductID],dProduct[CrateCost]))/_xlfn.XLOOKUP(fSales[[#This Row],[ProductID]],dProduct[ProductID],dProduct[CratePrice])</f>
        <v>0.56000000000000005</v>
      </c>
      <c r="N597" t="str">
        <f>_xlfn.XLOOKUP(fSales[[#This Row],[SalesRepID]],dPSalesRep[SalesRepID],dPSalesRep[SalesRep])</f>
        <v>Sioux Best</v>
      </c>
      <c r="O597" t="str">
        <f>_xlfn.XLOOKUP(fSales[[#This Row],[SalesRepID]],dPSalesRep[SalesRepID],dPSalesRep[Region])</f>
        <v>West</v>
      </c>
      <c r="P597" t="str">
        <f>_xlfn.XLOOKUP(fSales[[#This Row],[ProductID]],dProduct[ProductID],dProduct[Product])</f>
        <v>Apple</v>
      </c>
      <c r="Q597">
        <f>_xlfn.XLOOKUP(fSales[[#This Row],[ProductID]],dProduct[ProductID],dProduct[CratePrice])-_xlfn.XLOOKUP(fSales[[#This Row],[ProductID]],dProduct[ProductID],dProduct[CrateCost])</f>
        <v>19.600000000000001</v>
      </c>
      <c r="R597">
        <f>_xlfn.XLOOKUP(fSales[[#This Row],[ProductID]],dProduct[ProductID],dProduct[CratePrice])</f>
        <v>35</v>
      </c>
      <c r="S597">
        <f>_xlfn.XLOOKUP(fSales[[#This Row],[ProductID]],dProduct[ProductID],dProduct[CrateCost])</f>
        <v>15.4</v>
      </c>
    </row>
    <row r="598" spans="7:19" x14ac:dyDescent="0.25">
      <c r="G598" s="2">
        <v>45687</v>
      </c>
      <c r="H598">
        <v>216</v>
      </c>
      <c r="I598" t="s">
        <v>21</v>
      </c>
      <c r="J598" t="s">
        <v>29</v>
      </c>
      <c r="K598">
        <f>_xlfn.XLOOKUP(fSales[[#This Row],[ProductID]],dProduct[ProductID],dProduct[CratePrice])*fSales[[#This Row],[Units]]</f>
        <v>4860</v>
      </c>
      <c r="L598">
        <f>fSales[[#This Row],[Total sales]]-_xlfn.XLOOKUP(fSales[[#This Row],[ProductID]],dProduct[ProductID],dProduct[CrateCost])*fSales[[#This Row],[Units]]</f>
        <v>2138.3999999999996</v>
      </c>
      <c r="M598">
        <f>(_xlfn.XLOOKUP(fSales[[#This Row],[ProductID]],dProduct[ProductID],dProduct[CratePrice])-_xlfn.XLOOKUP(fSales[[#This Row],[ProductID]],dProduct[ProductID],dProduct[CrateCost]))/_xlfn.XLOOKUP(fSales[[#This Row],[ProductID]],dProduct[ProductID],dProduct[CratePrice])</f>
        <v>0.43999999999999995</v>
      </c>
      <c r="N598" t="str">
        <f>_xlfn.XLOOKUP(fSales[[#This Row],[SalesRepID]],dPSalesRep[SalesRepID],dPSalesRep[SalesRep])</f>
        <v>Sioux Best</v>
      </c>
      <c r="O598" t="str">
        <f>_xlfn.XLOOKUP(fSales[[#This Row],[SalesRepID]],dPSalesRep[SalesRepID],dPSalesRep[Region])</f>
        <v>West</v>
      </c>
      <c r="P598" t="str">
        <f>_xlfn.XLOOKUP(fSales[[#This Row],[ProductID]],dProduct[ProductID],dProduct[Product])</f>
        <v>Kiwi</v>
      </c>
      <c r="Q598">
        <f>_xlfn.XLOOKUP(fSales[[#This Row],[ProductID]],dProduct[ProductID],dProduct[CratePrice])-_xlfn.XLOOKUP(fSales[[#This Row],[ProductID]],dProduct[ProductID],dProduct[CrateCost])</f>
        <v>9.8999999999999986</v>
      </c>
      <c r="R598">
        <f>_xlfn.XLOOKUP(fSales[[#This Row],[ProductID]],dProduct[ProductID],dProduct[CratePrice])</f>
        <v>22.5</v>
      </c>
      <c r="S598">
        <f>_xlfn.XLOOKUP(fSales[[#This Row],[ProductID]],dProduct[ProductID],dProduct[CrateCost])</f>
        <v>12.600000000000001</v>
      </c>
    </row>
    <row r="599" spans="7:19" x14ac:dyDescent="0.25">
      <c r="G599" s="2">
        <v>45687</v>
      </c>
      <c r="H599">
        <v>276</v>
      </c>
      <c r="I599" t="s">
        <v>21</v>
      </c>
      <c r="J599" t="s">
        <v>32</v>
      </c>
      <c r="K599">
        <f>_xlfn.XLOOKUP(fSales[[#This Row],[ProductID]],dProduct[ProductID],dProduct[CratePrice])*fSales[[#This Row],[Units]]</f>
        <v>6210</v>
      </c>
      <c r="L599">
        <f>fSales[[#This Row],[Total sales]]-_xlfn.XLOOKUP(fSales[[#This Row],[ProductID]],dProduct[ProductID],dProduct[CrateCost])*fSales[[#This Row],[Units]]</f>
        <v>2732.3999999999996</v>
      </c>
      <c r="M599">
        <f>(_xlfn.XLOOKUP(fSales[[#This Row],[ProductID]],dProduct[ProductID],dProduct[CratePrice])-_xlfn.XLOOKUP(fSales[[#This Row],[ProductID]],dProduct[ProductID],dProduct[CrateCost]))/_xlfn.XLOOKUP(fSales[[#This Row],[ProductID]],dProduct[ProductID],dProduct[CratePrice])</f>
        <v>0.43999999999999995</v>
      </c>
      <c r="N599" t="str">
        <f>_xlfn.XLOOKUP(fSales[[#This Row],[SalesRepID]],dPSalesRep[SalesRepID],dPSalesRep[SalesRep])</f>
        <v>Shihara Fazzaa</v>
      </c>
      <c r="O599" t="str">
        <f>_xlfn.XLOOKUP(fSales[[#This Row],[SalesRepID]],dPSalesRep[SalesRepID],dPSalesRep[Region])</f>
        <v>East</v>
      </c>
      <c r="P599" t="str">
        <f>_xlfn.XLOOKUP(fSales[[#This Row],[ProductID]],dProduct[ProductID],dProduct[Product])</f>
        <v>Kiwi</v>
      </c>
      <c r="Q599">
        <f>_xlfn.XLOOKUP(fSales[[#This Row],[ProductID]],dProduct[ProductID],dProduct[CratePrice])-_xlfn.XLOOKUP(fSales[[#This Row],[ProductID]],dProduct[ProductID],dProduct[CrateCost])</f>
        <v>9.8999999999999986</v>
      </c>
      <c r="R599">
        <f>_xlfn.XLOOKUP(fSales[[#This Row],[ProductID]],dProduct[ProductID],dProduct[CratePrice])</f>
        <v>22.5</v>
      </c>
      <c r="S599">
        <f>_xlfn.XLOOKUP(fSales[[#This Row],[ProductID]],dProduct[ProductID],dProduct[CrateCost])</f>
        <v>12.600000000000001</v>
      </c>
    </row>
    <row r="600" spans="7:19" x14ac:dyDescent="0.25">
      <c r="G600" s="2">
        <v>45689</v>
      </c>
      <c r="H600">
        <v>168</v>
      </c>
      <c r="I600" t="s">
        <v>21</v>
      </c>
      <c r="J600" t="s">
        <v>32</v>
      </c>
      <c r="K600">
        <f>_xlfn.XLOOKUP(fSales[[#This Row],[ProductID]],dProduct[ProductID],dProduct[CratePrice])*fSales[[#This Row],[Units]]</f>
        <v>3780</v>
      </c>
      <c r="L600">
        <f>fSales[[#This Row],[Total sales]]-_xlfn.XLOOKUP(fSales[[#This Row],[ProductID]],dProduct[ProductID],dProduct[CrateCost])*fSales[[#This Row],[Units]]</f>
        <v>1663.1999999999998</v>
      </c>
      <c r="M600">
        <f>(_xlfn.XLOOKUP(fSales[[#This Row],[ProductID]],dProduct[ProductID],dProduct[CratePrice])-_xlfn.XLOOKUP(fSales[[#This Row],[ProductID]],dProduct[ProductID],dProduct[CrateCost]))/_xlfn.XLOOKUP(fSales[[#This Row],[ProductID]],dProduct[ProductID],dProduct[CratePrice])</f>
        <v>0.43999999999999995</v>
      </c>
      <c r="N600" t="str">
        <f>_xlfn.XLOOKUP(fSales[[#This Row],[SalesRepID]],dPSalesRep[SalesRepID],dPSalesRep[SalesRep])</f>
        <v>Shihara Fazzaa</v>
      </c>
      <c r="O600" t="str">
        <f>_xlfn.XLOOKUP(fSales[[#This Row],[SalesRepID]],dPSalesRep[SalesRepID],dPSalesRep[Region])</f>
        <v>East</v>
      </c>
      <c r="P600" t="str">
        <f>_xlfn.XLOOKUP(fSales[[#This Row],[ProductID]],dProduct[ProductID],dProduct[Product])</f>
        <v>Kiwi</v>
      </c>
      <c r="Q600">
        <f>_xlfn.XLOOKUP(fSales[[#This Row],[ProductID]],dProduct[ProductID],dProduct[CratePrice])-_xlfn.XLOOKUP(fSales[[#This Row],[ProductID]],dProduct[ProductID],dProduct[CrateCost])</f>
        <v>9.8999999999999986</v>
      </c>
      <c r="R600">
        <f>_xlfn.XLOOKUP(fSales[[#This Row],[ProductID]],dProduct[ProductID],dProduct[CratePrice])</f>
        <v>22.5</v>
      </c>
      <c r="S600">
        <f>_xlfn.XLOOKUP(fSales[[#This Row],[ProductID]],dProduct[ProductID],dProduct[CrateCost])</f>
        <v>12.600000000000001</v>
      </c>
    </row>
    <row r="601" spans="7:19" x14ac:dyDescent="0.25">
      <c r="G601" s="2">
        <v>45689</v>
      </c>
      <c r="H601">
        <v>156</v>
      </c>
      <c r="I601" t="s">
        <v>28</v>
      </c>
      <c r="J601" t="s">
        <v>32</v>
      </c>
      <c r="K601">
        <f>_xlfn.XLOOKUP(fSales[[#This Row],[ProductID]],dProduct[ProductID],dProduct[CratePrice])*fSales[[#This Row],[Units]]</f>
        <v>6817.2000000000007</v>
      </c>
      <c r="L601">
        <f>fSales[[#This Row],[Total sales]]-_xlfn.XLOOKUP(fSales[[#This Row],[ProductID]],dProduct[ProductID],dProduct[CrateCost])*fSales[[#This Row],[Units]]</f>
        <v>2863.2240000000006</v>
      </c>
      <c r="M601">
        <f>(_xlfn.XLOOKUP(fSales[[#This Row],[ProductID]],dProduct[ProductID],dProduct[CratePrice])-_xlfn.XLOOKUP(fSales[[#This Row],[ProductID]],dProduct[ProductID],dProduct[CrateCost]))/_xlfn.XLOOKUP(fSales[[#This Row],[ProductID]],dProduct[ProductID],dProduct[CratePrice])</f>
        <v>0.42000000000000004</v>
      </c>
      <c r="N601" t="str">
        <f>_xlfn.XLOOKUP(fSales[[#This Row],[SalesRepID]],dPSalesRep[SalesRepID],dPSalesRep[SalesRep])</f>
        <v>Shihara Fazzaa</v>
      </c>
      <c r="O601" t="str">
        <f>_xlfn.XLOOKUP(fSales[[#This Row],[SalesRepID]],dPSalesRep[SalesRepID],dPSalesRep[Region])</f>
        <v>East</v>
      </c>
      <c r="P601" t="str">
        <f>_xlfn.XLOOKUP(fSales[[#This Row],[ProductID]],dProduct[ProductID],dProduct[Product])</f>
        <v>Cherry</v>
      </c>
      <c r="Q601">
        <f>_xlfn.XLOOKUP(fSales[[#This Row],[ProductID]],dProduct[ProductID],dProduct[CratePrice])-_xlfn.XLOOKUP(fSales[[#This Row],[ProductID]],dProduct[ProductID],dProduct[CrateCost])</f>
        <v>18.354000000000003</v>
      </c>
      <c r="R601">
        <f>_xlfn.XLOOKUP(fSales[[#This Row],[ProductID]],dProduct[ProductID],dProduct[CratePrice])</f>
        <v>43.7</v>
      </c>
      <c r="S601">
        <f>_xlfn.XLOOKUP(fSales[[#This Row],[ProductID]],dProduct[ProductID],dProduct[CrateCost])</f>
        <v>25.346</v>
      </c>
    </row>
    <row r="602" spans="7:19" x14ac:dyDescent="0.25">
      <c r="G602" s="2">
        <v>45691</v>
      </c>
      <c r="H602">
        <v>144</v>
      </c>
      <c r="I602" t="s">
        <v>19</v>
      </c>
      <c r="J602" t="s">
        <v>29</v>
      </c>
      <c r="K602">
        <f>_xlfn.XLOOKUP(fSales[[#This Row],[ProductID]],dProduct[ProductID],dProduct[CratePrice])*fSales[[#This Row],[Units]]</f>
        <v>5040</v>
      </c>
      <c r="L602">
        <f>fSales[[#This Row],[Total sales]]-_xlfn.XLOOKUP(fSales[[#This Row],[ProductID]],dProduct[ProductID],dProduct[CrateCost])*fSales[[#This Row],[Units]]</f>
        <v>2822.4</v>
      </c>
      <c r="M602">
        <f>(_xlfn.XLOOKUP(fSales[[#This Row],[ProductID]],dProduct[ProductID],dProduct[CratePrice])-_xlfn.XLOOKUP(fSales[[#This Row],[ProductID]],dProduct[ProductID],dProduct[CrateCost]))/_xlfn.XLOOKUP(fSales[[#This Row],[ProductID]],dProduct[ProductID],dProduct[CratePrice])</f>
        <v>0.56000000000000005</v>
      </c>
      <c r="N602" t="str">
        <f>_xlfn.XLOOKUP(fSales[[#This Row],[SalesRepID]],dPSalesRep[SalesRepID],dPSalesRep[SalesRep])</f>
        <v>Sioux Best</v>
      </c>
      <c r="O602" t="str">
        <f>_xlfn.XLOOKUP(fSales[[#This Row],[SalesRepID]],dPSalesRep[SalesRepID],dPSalesRep[Region])</f>
        <v>West</v>
      </c>
      <c r="P602" t="str">
        <f>_xlfn.XLOOKUP(fSales[[#This Row],[ProductID]],dProduct[ProductID],dProduct[Product])</f>
        <v>Apple</v>
      </c>
      <c r="Q602">
        <f>_xlfn.XLOOKUP(fSales[[#This Row],[ProductID]],dProduct[ProductID],dProduct[CratePrice])-_xlfn.XLOOKUP(fSales[[#This Row],[ProductID]],dProduct[ProductID],dProduct[CrateCost])</f>
        <v>19.600000000000001</v>
      </c>
      <c r="R602">
        <f>_xlfn.XLOOKUP(fSales[[#This Row],[ProductID]],dProduct[ProductID],dProduct[CratePrice])</f>
        <v>35</v>
      </c>
      <c r="S602">
        <f>_xlfn.XLOOKUP(fSales[[#This Row],[ProductID]],dProduct[ProductID],dProduct[CrateCost])</f>
        <v>15.4</v>
      </c>
    </row>
    <row r="603" spans="7:19" x14ac:dyDescent="0.25">
      <c r="G603" s="2">
        <v>45691</v>
      </c>
      <c r="H603">
        <v>84</v>
      </c>
      <c r="I603" t="s">
        <v>28</v>
      </c>
      <c r="J603" t="s">
        <v>37</v>
      </c>
      <c r="K603">
        <f>_xlfn.XLOOKUP(fSales[[#This Row],[ProductID]],dProduct[ProductID],dProduct[CratePrice])*fSales[[#This Row],[Units]]</f>
        <v>3670.8</v>
      </c>
      <c r="L603">
        <f>fSales[[#This Row],[Total sales]]-_xlfn.XLOOKUP(fSales[[#This Row],[ProductID]],dProduct[ProductID],dProduct[CrateCost])*fSales[[#This Row],[Units]]</f>
        <v>1541.7360000000003</v>
      </c>
      <c r="M603">
        <f>(_xlfn.XLOOKUP(fSales[[#This Row],[ProductID]],dProduct[ProductID],dProduct[CratePrice])-_xlfn.XLOOKUP(fSales[[#This Row],[ProductID]],dProduct[ProductID],dProduct[CrateCost]))/_xlfn.XLOOKUP(fSales[[#This Row],[ProductID]],dProduct[ProductID],dProduct[CratePrice])</f>
        <v>0.42000000000000004</v>
      </c>
      <c r="N603" t="str">
        <f>_xlfn.XLOOKUP(fSales[[#This Row],[SalesRepID]],dPSalesRep[SalesRepID],dPSalesRep[SalesRep])</f>
        <v>Chantel Mims</v>
      </c>
      <c r="O603" t="str">
        <f>_xlfn.XLOOKUP(fSales[[#This Row],[SalesRepID]],dPSalesRep[SalesRepID],dPSalesRep[Region])</f>
        <v>NW</v>
      </c>
      <c r="P603" t="str">
        <f>_xlfn.XLOOKUP(fSales[[#This Row],[ProductID]],dProduct[ProductID],dProduct[Product])</f>
        <v>Cherry</v>
      </c>
      <c r="Q603">
        <f>_xlfn.XLOOKUP(fSales[[#This Row],[ProductID]],dProduct[ProductID],dProduct[CratePrice])-_xlfn.XLOOKUP(fSales[[#This Row],[ProductID]],dProduct[ProductID],dProduct[CrateCost])</f>
        <v>18.354000000000003</v>
      </c>
      <c r="R603">
        <f>_xlfn.XLOOKUP(fSales[[#This Row],[ProductID]],dProduct[ProductID],dProduct[CratePrice])</f>
        <v>43.7</v>
      </c>
      <c r="S603">
        <f>_xlfn.XLOOKUP(fSales[[#This Row],[ProductID]],dProduct[ProductID],dProduct[CrateCost])</f>
        <v>25.346</v>
      </c>
    </row>
    <row r="604" spans="7:19" x14ac:dyDescent="0.25">
      <c r="G604" s="2">
        <v>45691</v>
      </c>
      <c r="H604">
        <v>168</v>
      </c>
      <c r="I604" t="s">
        <v>19</v>
      </c>
      <c r="J604" t="s">
        <v>32</v>
      </c>
      <c r="K604">
        <f>_xlfn.XLOOKUP(fSales[[#This Row],[ProductID]],dProduct[ProductID],dProduct[CratePrice])*fSales[[#This Row],[Units]]</f>
        <v>5880</v>
      </c>
      <c r="L604">
        <f>fSales[[#This Row],[Total sales]]-_xlfn.XLOOKUP(fSales[[#This Row],[ProductID]],dProduct[ProductID],dProduct[CrateCost])*fSales[[#This Row],[Units]]</f>
        <v>3292.7999999999997</v>
      </c>
      <c r="M604">
        <f>(_xlfn.XLOOKUP(fSales[[#This Row],[ProductID]],dProduct[ProductID],dProduct[CratePrice])-_xlfn.XLOOKUP(fSales[[#This Row],[ProductID]],dProduct[ProductID],dProduct[CrateCost]))/_xlfn.XLOOKUP(fSales[[#This Row],[ProductID]],dProduct[ProductID],dProduct[CratePrice])</f>
        <v>0.56000000000000005</v>
      </c>
      <c r="N604" t="str">
        <f>_xlfn.XLOOKUP(fSales[[#This Row],[SalesRepID]],dPSalesRep[SalesRepID],dPSalesRep[SalesRep])</f>
        <v>Shihara Fazzaa</v>
      </c>
      <c r="O604" t="str">
        <f>_xlfn.XLOOKUP(fSales[[#This Row],[SalesRepID]],dPSalesRep[SalesRepID],dPSalesRep[Region])</f>
        <v>East</v>
      </c>
      <c r="P604" t="str">
        <f>_xlfn.XLOOKUP(fSales[[#This Row],[ProductID]],dProduct[ProductID],dProduct[Product])</f>
        <v>Apple</v>
      </c>
      <c r="Q604">
        <f>_xlfn.XLOOKUP(fSales[[#This Row],[ProductID]],dProduct[ProductID],dProduct[CratePrice])-_xlfn.XLOOKUP(fSales[[#This Row],[ProductID]],dProduct[ProductID],dProduct[CrateCost])</f>
        <v>19.600000000000001</v>
      </c>
      <c r="R604">
        <f>_xlfn.XLOOKUP(fSales[[#This Row],[ProductID]],dProduct[ProductID],dProduct[CratePrice])</f>
        <v>35</v>
      </c>
      <c r="S604">
        <f>_xlfn.XLOOKUP(fSales[[#This Row],[ProductID]],dProduct[ProductID],dProduct[CrateCost])</f>
        <v>15.4</v>
      </c>
    </row>
    <row r="605" spans="7:19" x14ac:dyDescent="0.25">
      <c r="G605" s="2">
        <v>45692</v>
      </c>
      <c r="H605">
        <v>240</v>
      </c>
      <c r="I605" t="s">
        <v>28</v>
      </c>
      <c r="J605" t="s">
        <v>52</v>
      </c>
      <c r="K605">
        <f>_xlfn.XLOOKUP(fSales[[#This Row],[ProductID]],dProduct[ProductID],dProduct[CratePrice])*fSales[[#This Row],[Units]]</f>
        <v>10488</v>
      </c>
      <c r="L605">
        <f>fSales[[#This Row],[Total sales]]-_xlfn.XLOOKUP(fSales[[#This Row],[ProductID]],dProduct[ProductID],dProduct[CrateCost])*fSales[[#This Row],[Units]]</f>
        <v>4404.96</v>
      </c>
      <c r="M605">
        <f>(_xlfn.XLOOKUP(fSales[[#This Row],[ProductID]],dProduct[ProductID],dProduct[CratePrice])-_xlfn.XLOOKUP(fSales[[#This Row],[ProductID]],dProduct[ProductID],dProduct[CrateCost]))/_xlfn.XLOOKUP(fSales[[#This Row],[ProductID]],dProduct[ProductID],dProduct[CratePrice])</f>
        <v>0.42000000000000004</v>
      </c>
      <c r="N605" t="str">
        <f>_xlfn.XLOOKUP(fSales[[#This Row],[SalesRepID]],dPSalesRep[SalesRepID],dPSalesRep[SalesRep])</f>
        <v>Smitty Rad</v>
      </c>
      <c r="O605" t="str">
        <f>_xlfn.XLOOKUP(fSales[[#This Row],[SalesRepID]],dPSalesRep[SalesRepID],dPSalesRep[Region])</f>
        <v>MidWest</v>
      </c>
      <c r="P605" t="str">
        <f>_xlfn.XLOOKUP(fSales[[#This Row],[ProductID]],dProduct[ProductID],dProduct[Product])</f>
        <v>Cherry</v>
      </c>
      <c r="Q605">
        <f>_xlfn.XLOOKUP(fSales[[#This Row],[ProductID]],dProduct[ProductID],dProduct[CratePrice])-_xlfn.XLOOKUP(fSales[[#This Row],[ProductID]],dProduct[ProductID],dProduct[CrateCost])</f>
        <v>18.354000000000003</v>
      </c>
      <c r="R605">
        <f>_xlfn.XLOOKUP(fSales[[#This Row],[ProductID]],dProduct[ProductID],dProduct[CratePrice])</f>
        <v>43.7</v>
      </c>
      <c r="S605">
        <f>_xlfn.XLOOKUP(fSales[[#This Row],[ProductID]],dProduct[ProductID],dProduct[CrateCost])</f>
        <v>25.346</v>
      </c>
    </row>
    <row r="606" spans="7:19" x14ac:dyDescent="0.25">
      <c r="G606" s="2">
        <v>45692</v>
      </c>
      <c r="H606">
        <v>72</v>
      </c>
      <c r="I606" t="s">
        <v>21</v>
      </c>
      <c r="J606" t="s">
        <v>29</v>
      </c>
      <c r="K606">
        <f>_xlfn.XLOOKUP(fSales[[#This Row],[ProductID]],dProduct[ProductID],dProduct[CratePrice])*fSales[[#This Row],[Units]]</f>
        <v>1620</v>
      </c>
      <c r="L606">
        <f>fSales[[#This Row],[Total sales]]-_xlfn.XLOOKUP(fSales[[#This Row],[ProductID]],dProduct[ProductID],dProduct[CrateCost])*fSales[[#This Row],[Units]]</f>
        <v>712.8</v>
      </c>
      <c r="M606">
        <f>(_xlfn.XLOOKUP(fSales[[#This Row],[ProductID]],dProduct[ProductID],dProduct[CratePrice])-_xlfn.XLOOKUP(fSales[[#This Row],[ProductID]],dProduct[ProductID],dProduct[CrateCost]))/_xlfn.XLOOKUP(fSales[[#This Row],[ProductID]],dProduct[ProductID],dProduct[CratePrice])</f>
        <v>0.43999999999999995</v>
      </c>
      <c r="N606" t="str">
        <f>_xlfn.XLOOKUP(fSales[[#This Row],[SalesRepID]],dPSalesRep[SalesRepID],dPSalesRep[SalesRep])</f>
        <v>Sioux Best</v>
      </c>
      <c r="O606" t="str">
        <f>_xlfn.XLOOKUP(fSales[[#This Row],[SalesRepID]],dPSalesRep[SalesRepID],dPSalesRep[Region])</f>
        <v>West</v>
      </c>
      <c r="P606" t="str">
        <f>_xlfn.XLOOKUP(fSales[[#This Row],[ProductID]],dProduct[ProductID],dProduct[Product])</f>
        <v>Kiwi</v>
      </c>
      <c r="Q606">
        <f>_xlfn.XLOOKUP(fSales[[#This Row],[ProductID]],dProduct[ProductID],dProduct[CratePrice])-_xlfn.XLOOKUP(fSales[[#This Row],[ProductID]],dProduct[ProductID],dProduct[CrateCost])</f>
        <v>9.8999999999999986</v>
      </c>
      <c r="R606">
        <f>_xlfn.XLOOKUP(fSales[[#This Row],[ProductID]],dProduct[ProductID],dProduct[CratePrice])</f>
        <v>22.5</v>
      </c>
      <c r="S606">
        <f>_xlfn.XLOOKUP(fSales[[#This Row],[ProductID]],dProduct[ProductID],dProduct[CrateCost])</f>
        <v>12.600000000000001</v>
      </c>
    </row>
    <row r="607" spans="7:19" x14ac:dyDescent="0.25">
      <c r="G607" s="2">
        <v>45693</v>
      </c>
      <c r="H607">
        <v>36</v>
      </c>
      <c r="I607" t="s">
        <v>21</v>
      </c>
      <c r="J607" t="s">
        <v>37</v>
      </c>
      <c r="K607">
        <f>_xlfn.XLOOKUP(fSales[[#This Row],[ProductID]],dProduct[ProductID],dProduct[CratePrice])*fSales[[#This Row],[Units]]</f>
        <v>810</v>
      </c>
      <c r="L607">
        <f>fSales[[#This Row],[Total sales]]-_xlfn.XLOOKUP(fSales[[#This Row],[ProductID]],dProduct[ProductID],dProduct[CrateCost])*fSales[[#This Row],[Units]]</f>
        <v>356.4</v>
      </c>
      <c r="M607">
        <f>(_xlfn.XLOOKUP(fSales[[#This Row],[ProductID]],dProduct[ProductID],dProduct[CratePrice])-_xlfn.XLOOKUP(fSales[[#This Row],[ProductID]],dProduct[ProductID],dProduct[CrateCost]))/_xlfn.XLOOKUP(fSales[[#This Row],[ProductID]],dProduct[ProductID],dProduct[CratePrice])</f>
        <v>0.43999999999999995</v>
      </c>
      <c r="N607" t="str">
        <f>_xlfn.XLOOKUP(fSales[[#This Row],[SalesRepID]],dPSalesRep[SalesRepID],dPSalesRep[SalesRep])</f>
        <v>Chantel Mims</v>
      </c>
      <c r="O607" t="str">
        <f>_xlfn.XLOOKUP(fSales[[#This Row],[SalesRepID]],dPSalesRep[SalesRepID],dPSalesRep[Region])</f>
        <v>NW</v>
      </c>
      <c r="P607" t="str">
        <f>_xlfn.XLOOKUP(fSales[[#This Row],[ProductID]],dProduct[ProductID],dProduct[Product])</f>
        <v>Kiwi</v>
      </c>
      <c r="Q607">
        <f>_xlfn.XLOOKUP(fSales[[#This Row],[ProductID]],dProduct[ProductID],dProduct[CratePrice])-_xlfn.XLOOKUP(fSales[[#This Row],[ProductID]],dProduct[ProductID],dProduct[CrateCost])</f>
        <v>9.8999999999999986</v>
      </c>
      <c r="R607">
        <f>_xlfn.XLOOKUP(fSales[[#This Row],[ProductID]],dProduct[ProductID],dProduct[CratePrice])</f>
        <v>22.5</v>
      </c>
      <c r="S607">
        <f>_xlfn.XLOOKUP(fSales[[#This Row],[ProductID]],dProduct[ProductID],dProduct[CrateCost])</f>
        <v>12.600000000000001</v>
      </c>
    </row>
    <row r="608" spans="7:19" x14ac:dyDescent="0.25">
      <c r="G608" s="2">
        <v>45693</v>
      </c>
      <c r="H608">
        <v>216</v>
      </c>
      <c r="I608" t="s">
        <v>19</v>
      </c>
      <c r="J608" t="s">
        <v>52</v>
      </c>
      <c r="K608">
        <f>_xlfn.XLOOKUP(fSales[[#This Row],[ProductID]],dProduct[ProductID],dProduct[CratePrice])*fSales[[#This Row],[Units]]</f>
        <v>7560</v>
      </c>
      <c r="L608">
        <f>fSales[[#This Row],[Total sales]]-_xlfn.XLOOKUP(fSales[[#This Row],[ProductID]],dProduct[ProductID],dProduct[CrateCost])*fSales[[#This Row],[Units]]</f>
        <v>4233.6000000000004</v>
      </c>
      <c r="M608">
        <f>(_xlfn.XLOOKUP(fSales[[#This Row],[ProductID]],dProduct[ProductID],dProduct[CratePrice])-_xlfn.XLOOKUP(fSales[[#This Row],[ProductID]],dProduct[ProductID],dProduct[CrateCost]))/_xlfn.XLOOKUP(fSales[[#This Row],[ProductID]],dProduct[ProductID],dProduct[CratePrice])</f>
        <v>0.56000000000000005</v>
      </c>
      <c r="N608" t="str">
        <f>_xlfn.XLOOKUP(fSales[[#This Row],[SalesRepID]],dPSalesRep[SalesRepID],dPSalesRep[SalesRep])</f>
        <v>Smitty Rad</v>
      </c>
      <c r="O608" t="str">
        <f>_xlfn.XLOOKUP(fSales[[#This Row],[SalesRepID]],dPSalesRep[SalesRepID],dPSalesRep[Region])</f>
        <v>MidWest</v>
      </c>
      <c r="P608" t="str">
        <f>_xlfn.XLOOKUP(fSales[[#This Row],[ProductID]],dProduct[ProductID],dProduct[Product])</f>
        <v>Apple</v>
      </c>
      <c r="Q608">
        <f>_xlfn.XLOOKUP(fSales[[#This Row],[ProductID]],dProduct[ProductID],dProduct[CratePrice])-_xlfn.XLOOKUP(fSales[[#This Row],[ProductID]],dProduct[ProductID],dProduct[CrateCost])</f>
        <v>19.600000000000001</v>
      </c>
      <c r="R608">
        <f>_xlfn.XLOOKUP(fSales[[#This Row],[ProductID]],dProduct[ProductID],dProduct[CratePrice])</f>
        <v>35</v>
      </c>
      <c r="S608">
        <f>_xlfn.XLOOKUP(fSales[[#This Row],[ProductID]],dProduct[ProductID],dProduct[CrateCost])</f>
        <v>15.4</v>
      </c>
    </row>
    <row r="609" spans="7:19" x14ac:dyDescent="0.25">
      <c r="G609" s="2">
        <v>45694</v>
      </c>
      <c r="H609">
        <v>72</v>
      </c>
      <c r="I609" t="s">
        <v>19</v>
      </c>
      <c r="J609" t="s">
        <v>52</v>
      </c>
      <c r="K609">
        <f>_xlfn.XLOOKUP(fSales[[#This Row],[ProductID]],dProduct[ProductID],dProduct[CratePrice])*fSales[[#This Row],[Units]]</f>
        <v>2520</v>
      </c>
      <c r="L609">
        <f>fSales[[#This Row],[Total sales]]-_xlfn.XLOOKUP(fSales[[#This Row],[ProductID]],dProduct[ProductID],dProduct[CrateCost])*fSales[[#This Row],[Units]]</f>
        <v>1411.2</v>
      </c>
      <c r="M609">
        <f>(_xlfn.XLOOKUP(fSales[[#This Row],[ProductID]],dProduct[ProductID],dProduct[CratePrice])-_xlfn.XLOOKUP(fSales[[#This Row],[ProductID]],dProduct[ProductID],dProduct[CrateCost]))/_xlfn.XLOOKUP(fSales[[#This Row],[ProductID]],dProduct[ProductID],dProduct[CratePrice])</f>
        <v>0.56000000000000005</v>
      </c>
      <c r="N609" t="str">
        <f>_xlfn.XLOOKUP(fSales[[#This Row],[SalesRepID]],dPSalesRep[SalesRepID],dPSalesRep[SalesRep])</f>
        <v>Smitty Rad</v>
      </c>
      <c r="O609" t="str">
        <f>_xlfn.XLOOKUP(fSales[[#This Row],[SalesRepID]],dPSalesRep[SalesRepID],dPSalesRep[Region])</f>
        <v>MidWest</v>
      </c>
      <c r="P609" t="str">
        <f>_xlfn.XLOOKUP(fSales[[#This Row],[ProductID]],dProduct[ProductID],dProduct[Product])</f>
        <v>Apple</v>
      </c>
      <c r="Q609">
        <f>_xlfn.XLOOKUP(fSales[[#This Row],[ProductID]],dProduct[ProductID],dProduct[CratePrice])-_xlfn.XLOOKUP(fSales[[#This Row],[ProductID]],dProduct[ProductID],dProduct[CrateCost])</f>
        <v>19.600000000000001</v>
      </c>
      <c r="R609">
        <f>_xlfn.XLOOKUP(fSales[[#This Row],[ProductID]],dProduct[ProductID],dProduct[CratePrice])</f>
        <v>35</v>
      </c>
      <c r="S609">
        <f>_xlfn.XLOOKUP(fSales[[#This Row],[ProductID]],dProduct[ProductID],dProduct[CrateCost])</f>
        <v>15.4</v>
      </c>
    </row>
    <row r="610" spans="7:19" x14ac:dyDescent="0.25">
      <c r="G610" s="2">
        <v>45694</v>
      </c>
      <c r="H610">
        <v>204</v>
      </c>
      <c r="I610" t="s">
        <v>28</v>
      </c>
      <c r="J610" t="s">
        <v>37</v>
      </c>
      <c r="K610">
        <f>_xlfn.XLOOKUP(fSales[[#This Row],[ProductID]],dProduct[ProductID],dProduct[CratePrice])*fSales[[#This Row],[Units]]</f>
        <v>8914.8000000000011</v>
      </c>
      <c r="L610">
        <f>fSales[[#This Row],[Total sales]]-_xlfn.XLOOKUP(fSales[[#This Row],[ProductID]],dProduct[ProductID],dProduct[CrateCost])*fSales[[#This Row],[Units]]</f>
        <v>3744.2160000000013</v>
      </c>
      <c r="M610">
        <f>(_xlfn.XLOOKUP(fSales[[#This Row],[ProductID]],dProduct[ProductID],dProduct[CratePrice])-_xlfn.XLOOKUP(fSales[[#This Row],[ProductID]],dProduct[ProductID],dProduct[CrateCost]))/_xlfn.XLOOKUP(fSales[[#This Row],[ProductID]],dProduct[ProductID],dProduct[CratePrice])</f>
        <v>0.42000000000000004</v>
      </c>
      <c r="N610" t="str">
        <f>_xlfn.XLOOKUP(fSales[[#This Row],[SalesRepID]],dPSalesRep[SalesRepID],dPSalesRep[SalesRep])</f>
        <v>Chantel Mims</v>
      </c>
      <c r="O610" t="str">
        <f>_xlfn.XLOOKUP(fSales[[#This Row],[SalesRepID]],dPSalesRep[SalesRepID],dPSalesRep[Region])</f>
        <v>NW</v>
      </c>
      <c r="P610" t="str">
        <f>_xlfn.XLOOKUP(fSales[[#This Row],[ProductID]],dProduct[ProductID],dProduct[Product])</f>
        <v>Cherry</v>
      </c>
      <c r="Q610">
        <f>_xlfn.XLOOKUP(fSales[[#This Row],[ProductID]],dProduct[ProductID],dProduct[CratePrice])-_xlfn.XLOOKUP(fSales[[#This Row],[ProductID]],dProduct[ProductID],dProduct[CrateCost])</f>
        <v>18.354000000000003</v>
      </c>
      <c r="R610">
        <f>_xlfn.XLOOKUP(fSales[[#This Row],[ProductID]],dProduct[ProductID],dProduct[CratePrice])</f>
        <v>43.7</v>
      </c>
      <c r="S610">
        <f>_xlfn.XLOOKUP(fSales[[#This Row],[ProductID]],dProduct[ProductID],dProduct[CrateCost])</f>
        <v>25.346</v>
      </c>
    </row>
    <row r="611" spans="7:19" x14ac:dyDescent="0.25">
      <c r="G611" s="2">
        <v>45695</v>
      </c>
      <c r="H611">
        <v>36</v>
      </c>
      <c r="I611" t="s">
        <v>26</v>
      </c>
      <c r="J611" t="s">
        <v>37</v>
      </c>
      <c r="K611">
        <f>_xlfn.XLOOKUP(fSales[[#This Row],[ProductID]],dProduct[ProductID],dProduct[CratePrice])*fSales[[#This Row],[Units]]</f>
        <v>1071</v>
      </c>
      <c r="L611">
        <f>fSales[[#This Row],[Total sales]]-_xlfn.XLOOKUP(fSales[[#This Row],[ProductID]],dProduct[ProductID],dProduct[CrateCost])*fSales[[#This Row],[Units]]</f>
        <v>449.82000000000005</v>
      </c>
      <c r="M611">
        <f>(_xlfn.XLOOKUP(fSales[[#This Row],[ProductID]],dProduct[ProductID],dProduct[CratePrice])-_xlfn.XLOOKUP(fSales[[#This Row],[ProductID]],dProduct[ProductID],dProduct[CrateCost]))/_xlfn.XLOOKUP(fSales[[#This Row],[ProductID]],dProduct[ProductID],dProduct[CratePrice])</f>
        <v>0.42000000000000004</v>
      </c>
      <c r="N611" t="str">
        <f>_xlfn.XLOOKUP(fSales[[#This Row],[SalesRepID]],dPSalesRep[SalesRepID],dPSalesRep[SalesRep])</f>
        <v>Chantel Mims</v>
      </c>
      <c r="O611" t="str">
        <f>_xlfn.XLOOKUP(fSales[[#This Row],[SalesRepID]],dPSalesRep[SalesRepID],dPSalesRep[Region])</f>
        <v>NW</v>
      </c>
      <c r="P611" t="str">
        <f>_xlfn.XLOOKUP(fSales[[#This Row],[ProductID]],dProduct[ProductID],dProduct[Product])</f>
        <v>Orange</v>
      </c>
      <c r="Q611">
        <f>_xlfn.XLOOKUP(fSales[[#This Row],[ProductID]],dProduct[ProductID],dProduct[CratePrice])-_xlfn.XLOOKUP(fSales[[#This Row],[ProductID]],dProduct[ProductID],dProduct[CrateCost])</f>
        <v>12.495000000000001</v>
      </c>
      <c r="R611">
        <f>_xlfn.XLOOKUP(fSales[[#This Row],[ProductID]],dProduct[ProductID],dProduct[CratePrice])</f>
        <v>29.75</v>
      </c>
      <c r="S611">
        <f>_xlfn.XLOOKUP(fSales[[#This Row],[ProductID]],dProduct[ProductID],dProduct[CrateCost])</f>
        <v>17.254999999999999</v>
      </c>
    </row>
    <row r="612" spans="7:19" x14ac:dyDescent="0.25">
      <c r="G612" s="2">
        <v>45695</v>
      </c>
      <c r="H612">
        <v>120</v>
      </c>
      <c r="I612" t="s">
        <v>19</v>
      </c>
      <c r="J612" t="s">
        <v>52</v>
      </c>
      <c r="K612">
        <f>_xlfn.XLOOKUP(fSales[[#This Row],[ProductID]],dProduct[ProductID],dProduct[CratePrice])*fSales[[#This Row],[Units]]</f>
        <v>4200</v>
      </c>
      <c r="L612">
        <f>fSales[[#This Row],[Total sales]]-_xlfn.XLOOKUP(fSales[[#This Row],[ProductID]],dProduct[ProductID],dProduct[CrateCost])*fSales[[#This Row],[Units]]</f>
        <v>2352</v>
      </c>
      <c r="M612">
        <f>(_xlfn.XLOOKUP(fSales[[#This Row],[ProductID]],dProduct[ProductID],dProduct[CratePrice])-_xlfn.XLOOKUP(fSales[[#This Row],[ProductID]],dProduct[ProductID],dProduct[CrateCost]))/_xlfn.XLOOKUP(fSales[[#This Row],[ProductID]],dProduct[ProductID],dProduct[CratePrice])</f>
        <v>0.56000000000000005</v>
      </c>
      <c r="N612" t="str">
        <f>_xlfn.XLOOKUP(fSales[[#This Row],[SalesRepID]],dPSalesRep[SalesRepID],dPSalesRep[SalesRep])</f>
        <v>Smitty Rad</v>
      </c>
      <c r="O612" t="str">
        <f>_xlfn.XLOOKUP(fSales[[#This Row],[SalesRepID]],dPSalesRep[SalesRepID],dPSalesRep[Region])</f>
        <v>MidWest</v>
      </c>
      <c r="P612" t="str">
        <f>_xlfn.XLOOKUP(fSales[[#This Row],[ProductID]],dProduct[ProductID],dProduct[Product])</f>
        <v>Apple</v>
      </c>
      <c r="Q612">
        <f>_xlfn.XLOOKUP(fSales[[#This Row],[ProductID]],dProduct[ProductID],dProduct[CratePrice])-_xlfn.XLOOKUP(fSales[[#This Row],[ProductID]],dProduct[ProductID],dProduct[CrateCost])</f>
        <v>19.600000000000001</v>
      </c>
      <c r="R612">
        <f>_xlfn.XLOOKUP(fSales[[#This Row],[ProductID]],dProduct[ProductID],dProduct[CratePrice])</f>
        <v>35</v>
      </c>
      <c r="S612">
        <f>_xlfn.XLOOKUP(fSales[[#This Row],[ProductID]],dProduct[ProductID],dProduct[CrateCost])</f>
        <v>15.4</v>
      </c>
    </row>
    <row r="613" spans="7:19" x14ac:dyDescent="0.25">
      <c r="G613" s="2">
        <v>45699</v>
      </c>
      <c r="H613">
        <v>204</v>
      </c>
      <c r="I613" t="s">
        <v>26</v>
      </c>
      <c r="J613" t="s">
        <v>32</v>
      </c>
      <c r="K613">
        <f>_xlfn.XLOOKUP(fSales[[#This Row],[ProductID]],dProduct[ProductID],dProduct[CratePrice])*fSales[[#This Row],[Units]]</f>
        <v>6069</v>
      </c>
      <c r="L613">
        <f>fSales[[#This Row],[Total sales]]-_xlfn.XLOOKUP(fSales[[#This Row],[ProductID]],dProduct[ProductID],dProduct[CrateCost])*fSales[[#This Row],[Units]]</f>
        <v>2548.98</v>
      </c>
      <c r="M613">
        <f>(_xlfn.XLOOKUP(fSales[[#This Row],[ProductID]],dProduct[ProductID],dProduct[CratePrice])-_xlfn.XLOOKUP(fSales[[#This Row],[ProductID]],dProduct[ProductID],dProduct[CrateCost]))/_xlfn.XLOOKUP(fSales[[#This Row],[ProductID]],dProduct[ProductID],dProduct[CratePrice])</f>
        <v>0.42000000000000004</v>
      </c>
      <c r="N613" t="str">
        <f>_xlfn.XLOOKUP(fSales[[#This Row],[SalesRepID]],dPSalesRep[SalesRepID],dPSalesRep[SalesRep])</f>
        <v>Shihara Fazzaa</v>
      </c>
      <c r="O613" t="str">
        <f>_xlfn.XLOOKUP(fSales[[#This Row],[SalesRepID]],dPSalesRep[SalesRepID],dPSalesRep[Region])</f>
        <v>East</v>
      </c>
      <c r="P613" t="str">
        <f>_xlfn.XLOOKUP(fSales[[#This Row],[ProductID]],dProduct[ProductID],dProduct[Product])</f>
        <v>Orange</v>
      </c>
      <c r="Q613">
        <f>_xlfn.XLOOKUP(fSales[[#This Row],[ProductID]],dProduct[ProductID],dProduct[CratePrice])-_xlfn.XLOOKUP(fSales[[#This Row],[ProductID]],dProduct[ProductID],dProduct[CrateCost])</f>
        <v>12.495000000000001</v>
      </c>
      <c r="R613">
        <f>_xlfn.XLOOKUP(fSales[[#This Row],[ProductID]],dProduct[ProductID],dProduct[CratePrice])</f>
        <v>29.75</v>
      </c>
      <c r="S613">
        <f>_xlfn.XLOOKUP(fSales[[#This Row],[ProductID]],dProduct[ProductID],dProduct[CrateCost])</f>
        <v>17.254999999999999</v>
      </c>
    </row>
    <row r="614" spans="7:19" x14ac:dyDescent="0.25">
      <c r="G614" s="2">
        <v>45699</v>
      </c>
      <c r="H614">
        <v>288</v>
      </c>
      <c r="I614" t="s">
        <v>21</v>
      </c>
      <c r="J614" t="s">
        <v>52</v>
      </c>
      <c r="K614">
        <f>_xlfn.XLOOKUP(fSales[[#This Row],[ProductID]],dProduct[ProductID],dProduct[CratePrice])*fSales[[#This Row],[Units]]</f>
        <v>6480</v>
      </c>
      <c r="L614">
        <f>fSales[[#This Row],[Total sales]]-_xlfn.XLOOKUP(fSales[[#This Row],[ProductID]],dProduct[ProductID],dProduct[CrateCost])*fSales[[#This Row],[Units]]</f>
        <v>2851.2</v>
      </c>
      <c r="M614">
        <f>(_xlfn.XLOOKUP(fSales[[#This Row],[ProductID]],dProduct[ProductID],dProduct[CratePrice])-_xlfn.XLOOKUP(fSales[[#This Row],[ProductID]],dProduct[ProductID],dProduct[CrateCost]))/_xlfn.XLOOKUP(fSales[[#This Row],[ProductID]],dProduct[ProductID],dProduct[CratePrice])</f>
        <v>0.43999999999999995</v>
      </c>
      <c r="N614" t="str">
        <f>_xlfn.XLOOKUP(fSales[[#This Row],[SalesRepID]],dPSalesRep[SalesRepID],dPSalesRep[SalesRep])</f>
        <v>Smitty Rad</v>
      </c>
      <c r="O614" t="str">
        <f>_xlfn.XLOOKUP(fSales[[#This Row],[SalesRepID]],dPSalesRep[SalesRepID],dPSalesRep[Region])</f>
        <v>MidWest</v>
      </c>
      <c r="P614" t="str">
        <f>_xlfn.XLOOKUP(fSales[[#This Row],[ProductID]],dProduct[ProductID],dProduct[Product])</f>
        <v>Kiwi</v>
      </c>
      <c r="Q614">
        <f>_xlfn.XLOOKUP(fSales[[#This Row],[ProductID]],dProduct[ProductID],dProduct[CratePrice])-_xlfn.XLOOKUP(fSales[[#This Row],[ProductID]],dProduct[ProductID],dProduct[CrateCost])</f>
        <v>9.8999999999999986</v>
      </c>
      <c r="R614">
        <f>_xlfn.XLOOKUP(fSales[[#This Row],[ProductID]],dProduct[ProductID],dProduct[CratePrice])</f>
        <v>22.5</v>
      </c>
      <c r="S614">
        <f>_xlfn.XLOOKUP(fSales[[#This Row],[ProductID]],dProduct[ProductID],dProduct[CrateCost])</f>
        <v>12.600000000000001</v>
      </c>
    </row>
    <row r="615" spans="7:19" x14ac:dyDescent="0.25">
      <c r="G615" s="2">
        <v>45699</v>
      </c>
      <c r="H615">
        <v>276</v>
      </c>
      <c r="I615" t="s">
        <v>34</v>
      </c>
      <c r="J615" t="s">
        <v>22</v>
      </c>
      <c r="K615">
        <f>_xlfn.XLOOKUP(fSales[[#This Row],[ProductID]],dProduct[ProductID],dProduct[CratePrice])*fSales[[#This Row],[Units]]</f>
        <v>4830</v>
      </c>
      <c r="L615">
        <f>fSales[[#This Row],[Total sales]]-_xlfn.XLOOKUP(fSales[[#This Row],[ProductID]],dProduct[ProductID],dProduct[CrateCost])*fSales[[#This Row],[Units]]</f>
        <v>1593.8999999999996</v>
      </c>
      <c r="M615">
        <f>(_xlfn.XLOOKUP(fSales[[#This Row],[ProductID]],dProduct[ProductID],dProduct[CratePrice])-_xlfn.XLOOKUP(fSales[[#This Row],[ProductID]],dProduct[ProductID],dProduct[CrateCost]))/_xlfn.XLOOKUP(fSales[[#This Row],[ProductID]],dProduct[ProductID],dProduct[CratePrice])</f>
        <v>0.3299999999999999</v>
      </c>
      <c r="N615" t="str">
        <f>_xlfn.XLOOKUP(fSales[[#This Row],[SalesRepID]],dPSalesRep[SalesRepID],dPSalesRep[SalesRep])</f>
        <v>Timmy Kips</v>
      </c>
      <c r="O615" t="str">
        <f>_xlfn.XLOOKUP(fSales[[#This Row],[SalesRepID]],dPSalesRep[SalesRepID],dPSalesRep[Region])</f>
        <v>East</v>
      </c>
      <c r="P615" t="str">
        <f>_xlfn.XLOOKUP(fSales[[#This Row],[ProductID]],dProduct[ProductID],dProduct[Product])</f>
        <v>Banana</v>
      </c>
      <c r="Q615">
        <f>_xlfn.XLOOKUP(fSales[[#This Row],[ProductID]],dProduct[ProductID],dProduct[CratePrice])-_xlfn.XLOOKUP(fSales[[#This Row],[ProductID]],dProduct[ProductID],dProduct[CrateCost])</f>
        <v>5.7749999999999986</v>
      </c>
      <c r="R615">
        <f>_xlfn.XLOOKUP(fSales[[#This Row],[ProductID]],dProduct[ProductID],dProduct[CratePrice])</f>
        <v>17.5</v>
      </c>
      <c r="S615">
        <f>_xlfn.XLOOKUP(fSales[[#This Row],[ProductID]],dProduct[ProductID],dProduct[CrateCost])</f>
        <v>11.725000000000001</v>
      </c>
    </row>
    <row r="616" spans="7:19" x14ac:dyDescent="0.25">
      <c r="G616" s="2">
        <v>45700</v>
      </c>
      <c r="H616">
        <v>288</v>
      </c>
      <c r="I616" t="s">
        <v>21</v>
      </c>
      <c r="J616" t="s">
        <v>22</v>
      </c>
      <c r="K616">
        <f>_xlfn.XLOOKUP(fSales[[#This Row],[ProductID]],dProduct[ProductID],dProduct[CratePrice])*fSales[[#This Row],[Units]]</f>
        <v>6480</v>
      </c>
      <c r="L616">
        <f>fSales[[#This Row],[Total sales]]-_xlfn.XLOOKUP(fSales[[#This Row],[ProductID]],dProduct[ProductID],dProduct[CrateCost])*fSales[[#This Row],[Units]]</f>
        <v>2851.2</v>
      </c>
      <c r="M616">
        <f>(_xlfn.XLOOKUP(fSales[[#This Row],[ProductID]],dProduct[ProductID],dProduct[CratePrice])-_xlfn.XLOOKUP(fSales[[#This Row],[ProductID]],dProduct[ProductID],dProduct[CrateCost]))/_xlfn.XLOOKUP(fSales[[#This Row],[ProductID]],dProduct[ProductID],dProduct[CratePrice])</f>
        <v>0.43999999999999995</v>
      </c>
      <c r="N616" t="str">
        <f>_xlfn.XLOOKUP(fSales[[#This Row],[SalesRepID]],dPSalesRep[SalesRepID],dPSalesRep[SalesRep])</f>
        <v>Timmy Kips</v>
      </c>
      <c r="O616" t="str">
        <f>_xlfn.XLOOKUP(fSales[[#This Row],[SalesRepID]],dPSalesRep[SalesRepID],dPSalesRep[Region])</f>
        <v>East</v>
      </c>
      <c r="P616" t="str">
        <f>_xlfn.XLOOKUP(fSales[[#This Row],[ProductID]],dProduct[ProductID],dProduct[Product])</f>
        <v>Kiwi</v>
      </c>
      <c r="Q616">
        <f>_xlfn.XLOOKUP(fSales[[#This Row],[ProductID]],dProduct[ProductID],dProduct[CratePrice])-_xlfn.XLOOKUP(fSales[[#This Row],[ProductID]],dProduct[ProductID],dProduct[CrateCost])</f>
        <v>9.8999999999999986</v>
      </c>
      <c r="R616">
        <f>_xlfn.XLOOKUP(fSales[[#This Row],[ProductID]],dProduct[ProductID],dProduct[CratePrice])</f>
        <v>22.5</v>
      </c>
      <c r="S616">
        <f>_xlfn.XLOOKUP(fSales[[#This Row],[ProductID]],dProduct[ProductID],dProduct[CrateCost])</f>
        <v>12.600000000000001</v>
      </c>
    </row>
    <row r="617" spans="7:19" x14ac:dyDescent="0.25">
      <c r="G617" s="2">
        <v>45700</v>
      </c>
      <c r="H617">
        <v>228</v>
      </c>
      <c r="I617" t="s">
        <v>19</v>
      </c>
      <c r="J617" t="s">
        <v>22</v>
      </c>
      <c r="K617">
        <f>_xlfn.XLOOKUP(fSales[[#This Row],[ProductID]],dProduct[ProductID],dProduct[CratePrice])*fSales[[#This Row],[Units]]</f>
        <v>7980</v>
      </c>
      <c r="L617">
        <f>fSales[[#This Row],[Total sales]]-_xlfn.XLOOKUP(fSales[[#This Row],[ProductID]],dProduct[ProductID],dProduct[CrateCost])*fSales[[#This Row],[Units]]</f>
        <v>4468.7999999999993</v>
      </c>
      <c r="M617">
        <f>(_xlfn.XLOOKUP(fSales[[#This Row],[ProductID]],dProduct[ProductID],dProduct[CratePrice])-_xlfn.XLOOKUP(fSales[[#This Row],[ProductID]],dProduct[ProductID],dProduct[CrateCost]))/_xlfn.XLOOKUP(fSales[[#This Row],[ProductID]],dProduct[ProductID],dProduct[CratePrice])</f>
        <v>0.56000000000000005</v>
      </c>
      <c r="N617" t="str">
        <f>_xlfn.XLOOKUP(fSales[[#This Row],[SalesRepID]],dPSalesRep[SalesRepID],dPSalesRep[SalesRep])</f>
        <v>Timmy Kips</v>
      </c>
      <c r="O617" t="str">
        <f>_xlfn.XLOOKUP(fSales[[#This Row],[SalesRepID]],dPSalesRep[SalesRepID],dPSalesRep[Region])</f>
        <v>East</v>
      </c>
      <c r="P617" t="str">
        <f>_xlfn.XLOOKUP(fSales[[#This Row],[ProductID]],dProduct[ProductID],dProduct[Product])</f>
        <v>Apple</v>
      </c>
      <c r="Q617">
        <f>_xlfn.XLOOKUP(fSales[[#This Row],[ProductID]],dProduct[ProductID],dProduct[CratePrice])-_xlfn.XLOOKUP(fSales[[#This Row],[ProductID]],dProduct[ProductID],dProduct[CrateCost])</f>
        <v>19.600000000000001</v>
      </c>
      <c r="R617">
        <f>_xlfn.XLOOKUP(fSales[[#This Row],[ProductID]],dProduct[ProductID],dProduct[CratePrice])</f>
        <v>35</v>
      </c>
      <c r="S617">
        <f>_xlfn.XLOOKUP(fSales[[#This Row],[ProductID]],dProduct[ProductID],dProduct[CrateCost])</f>
        <v>15.4</v>
      </c>
    </row>
    <row r="618" spans="7:19" x14ac:dyDescent="0.25">
      <c r="G618" s="2">
        <v>45703</v>
      </c>
      <c r="H618">
        <v>144</v>
      </c>
      <c r="I618" t="s">
        <v>26</v>
      </c>
      <c r="J618" t="s">
        <v>52</v>
      </c>
      <c r="K618">
        <f>_xlfn.XLOOKUP(fSales[[#This Row],[ProductID]],dProduct[ProductID],dProduct[CratePrice])*fSales[[#This Row],[Units]]</f>
        <v>4284</v>
      </c>
      <c r="L618">
        <f>fSales[[#This Row],[Total sales]]-_xlfn.XLOOKUP(fSales[[#This Row],[ProductID]],dProduct[ProductID],dProduct[CrateCost])*fSales[[#This Row],[Units]]</f>
        <v>1799.2800000000002</v>
      </c>
      <c r="M618">
        <f>(_xlfn.XLOOKUP(fSales[[#This Row],[ProductID]],dProduct[ProductID],dProduct[CratePrice])-_xlfn.XLOOKUP(fSales[[#This Row],[ProductID]],dProduct[ProductID],dProduct[CrateCost]))/_xlfn.XLOOKUP(fSales[[#This Row],[ProductID]],dProduct[ProductID],dProduct[CratePrice])</f>
        <v>0.42000000000000004</v>
      </c>
      <c r="N618" t="str">
        <f>_xlfn.XLOOKUP(fSales[[#This Row],[SalesRepID]],dPSalesRep[SalesRepID],dPSalesRep[SalesRep])</f>
        <v>Smitty Rad</v>
      </c>
      <c r="O618" t="str">
        <f>_xlfn.XLOOKUP(fSales[[#This Row],[SalesRepID]],dPSalesRep[SalesRepID],dPSalesRep[Region])</f>
        <v>MidWest</v>
      </c>
      <c r="P618" t="str">
        <f>_xlfn.XLOOKUP(fSales[[#This Row],[ProductID]],dProduct[ProductID],dProduct[Product])</f>
        <v>Orange</v>
      </c>
      <c r="Q618">
        <f>_xlfn.XLOOKUP(fSales[[#This Row],[ProductID]],dProduct[ProductID],dProduct[CratePrice])-_xlfn.XLOOKUP(fSales[[#This Row],[ProductID]],dProduct[ProductID],dProduct[CrateCost])</f>
        <v>12.495000000000001</v>
      </c>
      <c r="R618">
        <f>_xlfn.XLOOKUP(fSales[[#This Row],[ProductID]],dProduct[ProductID],dProduct[CratePrice])</f>
        <v>29.75</v>
      </c>
      <c r="S618">
        <f>_xlfn.XLOOKUP(fSales[[#This Row],[ProductID]],dProduct[ProductID],dProduct[CrateCost])</f>
        <v>17.254999999999999</v>
      </c>
    </row>
    <row r="619" spans="7:19" x14ac:dyDescent="0.25">
      <c r="G619" s="2">
        <v>45705</v>
      </c>
      <c r="H619">
        <v>204</v>
      </c>
      <c r="I619" t="s">
        <v>19</v>
      </c>
      <c r="J619" t="s">
        <v>37</v>
      </c>
      <c r="K619">
        <f>_xlfn.XLOOKUP(fSales[[#This Row],[ProductID]],dProduct[ProductID],dProduct[CratePrice])*fSales[[#This Row],[Units]]</f>
        <v>7140</v>
      </c>
      <c r="L619">
        <f>fSales[[#This Row],[Total sales]]-_xlfn.XLOOKUP(fSales[[#This Row],[ProductID]],dProduct[ProductID],dProduct[CrateCost])*fSales[[#This Row],[Units]]</f>
        <v>3998.4</v>
      </c>
      <c r="M619">
        <f>(_xlfn.XLOOKUP(fSales[[#This Row],[ProductID]],dProduct[ProductID],dProduct[CratePrice])-_xlfn.XLOOKUP(fSales[[#This Row],[ProductID]],dProduct[ProductID],dProduct[CrateCost]))/_xlfn.XLOOKUP(fSales[[#This Row],[ProductID]],dProduct[ProductID],dProduct[CratePrice])</f>
        <v>0.56000000000000005</v>
      </c>
      <c r="N619" t="str">
        <f>_xlfn.XLOOKUP(fSales[[#This Row],[SalesRepID]],dPSalesRep[SalesRepID],dPSalesRep[SalesRep])</f>
        <v>Chantel Mims</v>
      </c>
      <c r="O619" t="str">
        <f>_xlfn.XLOOKUP(fSales[[#This Row],[SalesRepID]],dPSalesRep[SalesRepID],dPSalesRep[Region])</f>
        <v>NW</v>
      </c>
      <c r="P619" t="str">
        <f>_xlfn.XLOOKUP(fSales[[#This Row],[ProductID]],dProduct[ProductID],dProduct[Product])</f>
        <v>Apple</v>
      </c>
      <c r="Q619">
        <f>_xlfn.XLOOKUP(fSales[[#This Row],[ProductID]],dProduct[ProductID],dProduct[CratePrice])-_xlfn.XLOOKUP(fSales[[#This Row],[ProductID]],dProduct[ProductID],dProduct[CrateCost])</f>
        <v>19.600000000000001</v>
      </c>
      <c r="R619">
        <f>_xlfn.XLOOKUP(fSales[[#This Row],[ProductID]],dProduct[ProductID],dProduct[CratePrice])</f>
        <v>35</v>
      </c>
      <c r="S619">
        <f>_xlfn.XLOOKUP(fSales[[#This Row],[ProductID]],dProduct[ProductID],dProduct[CrateCost])</f>
        <v>15.4</v>
      </c>
    </row>
    <row r="620" spans="7:19" x14ac:dyDescent="0.25">
      <c r="G620" s="2">
        <v>45706</v>
      </c>
      <c r="H620">
        <v>300</v>
      </c>
      <c r="I620" t="s">
        <v>34</v>
      </c>
      <c r="J620" t="s">
        <v>37</v>
      </c>
      <c r="K620">
        <f>_xlfn.XLOOKUP(fSales[[#This Row],[ProductID]],dProduct[ProductID],dProduct[CratePrice])*fSales[[#This Row],[Units]]</f>
        <v>5250</v>
      </c>
      <c r="L620">
        <f>fSales[[#This Row],[Total sales]]-_xlfn.XLOOKUP(fSales[[#This Row],[ProductID]],dProduct[ProductID],dProduct[CrateCost])*fSales[[#This Row],[Units]]</f>
        <v>1732.4999999999995</v>
      </c>
      <c r="M620">
        <f>(_xlfn.XLOOKUP(fSales[[#This Row],[ProductID]],dProduct[ProductID],dProduct[CratePrice])-_xlfn.XLOOKUP(fSales[[#This Row],[ProductID]],dProduct[ProductID],dProduct[CrateCost]))/_xlfn.XLOOKUP(fSales[[#This Row],[ProductID]],dProduct[ProductID],dProduct[CratePrice])</f>
        <v>0.3299999999999999</v>
      </c>
      <c r="N620" t="str">
        <f>_xlfn.XLOOKUP(fSales[[#This Row],[SalesRepID]],dPSalesRep[SalesRepID],dPSalesRep[SalesRep])</f>
        <v>Chantel Mims</v>
      </c>
      <c r="O620" t="str">
        <f>_xlfn.XLOOKUP(fSales[[#This Row],[SalesRepID]],dPSalesRep[SalesRepID],dPSalesRep[Region])</f>
        <v>NW</v>
      </c>
      <c r="P620" t="str">
        <f>_xlfn.XLOOKUP(fSales[[#This Row],[ProductID]],dProduct[ProductID],dProduct[Product])</f>
        <v>Banana</v>
      </c>
      <c r="Q620">
        <f>_xlfn.XLOOKUP(fSales[[#This Row],[ProductID]],dProduct[ProductID],dProduct[CratePrice])-_xlfn.XLOOKUP(fSales[[#This Row],[ProductID]],dProduct[ProductID],dProduct[CrateCost])</f>
        <v>5.7749999999999986</v>
      </c>
      <c r="R620">
        <f>_xlfn.XLOOKUP(fSales[[#This Row],[ProductID]],dProduct[ProductID],dProduct[CratePrice])</f>
        <v>17.5</v>
      </c>
      <c r="S620">
        <f>_xlfn.XLOOKUP(fSales[[#This Row],[ProductID]],dProduct[ProductID],dProduct[CrateCost])</f>
        <v>11.725000000000001</v>
      </c>
    </row>
    <row r="621" spans="7:19" x14ac:dyDescent="0.25">
      <c r="G621" s="2">
        <v>45707</v>
      </c>
      <c r="H621">
        <v>132</v>
      </c>
      <c r="I621" t="s">
        <v>34</v>
      </c>
      <c r="J621" t="s">
        <v>32</v>
      </c>
      <c r="K621">
        <f>_xlfn.XLOOKUP(fSales[[#This Row],[ProductID]],dProduct[ProductID],dProduct[CratePrice])*fSales[[#This Row],[Units]]</f>
        <v>2310</v>
      </c>
      <c r="L621">
        <f>fSales[[#This Row],[Total sales]]-_xlfn.XLOOKUP(fSales[[#This Row],[ProductID]],dProduct[ProductID],dProduct[CrateCost])*fSales[[#This Row],[Units]]</f>
        <v>762.29999999999973</v>
      </c>
      <c r="M621">
        <f>(_xlfn.XLOOKUP(fSales[[#This Row],[ProductID]],dProduct[ProductID],dProduct[CratePrice])-_xlfn.XLOOKUP(fSales[[#This Row],[ProductID]],dProduct[ProductID],dProduct[CrateCost]))/_xlfn.XLOOKUP(fSales[[#This Row],[ProductID]],dProduct[ProductID],dProduct[CratePrice])</f>
        <v>0.3299999999999999</v>
      </c>
      <c r="N621" t="str">
        <f>_xlfn.XLOOKUP(fSales[[#This Row],[SalesRepID]],dPSalesRep[SalesRepID],dPSalesRep[SalesRep])</f>
        <v>Shihara Fazzaa</v>
      </c>
      <c r="O621" t="str">
        <f>_xlfn.XLOOKUP(fSales[[#This Row],[SalesRepID]],dPSalesRep[SalesRepID],dPSalesRep[Region])</f>
        <v>East</v>
      </c>
      <c r="P621" t="str">
        <f>_xlfn.XLOOKUP(fSales[[#This Row],[ProductID]],dProduct[ProductID],dProduct[Product])</f>
        <v>Banana</v>
      </c>
      <c r="Q621">
        <f>_xlfn.XLOOKUP(fSales[[#This Row],[ProductID]],dProduct[ProductID],dProduct[CratePrice])-_xlfn.XLOOKUP(fSales[[#This Row],[ProductID]],dProduct[ProductID],dProduct[CrateCost])</f>
        <v>5.7749999999999986</v>
      </c>
      <c r="R621">
        <f>_xlfn.XLOOKUP(fSales[[#This Row],[ProductID]],dProduct[ProductID],dProduct[CratePrice])</f>
        <v>17.5</v>
      </c>
      <c r="S621">
        <f>_xlfn.XLOOKUP(fSales[[#This Row],[ProductID]],dProduct[ProductID],dProduct[CrateCost])</f>
        <v>11.725000000000001</v>
      </c>
    </row>
    <row r="622" spans="7:19" x14ac:dyDescent="0.25">
      <c r="G622" s="2">
        <v>45709</v>
      </c>
      <c r="H622">
        <v>252</v>
      </c>
      <c r="I622" t="s">
        <v>34</v>
      </c>
      <c r="J622" t="s">
        <v>29</v>
      </c>
      <c r="K622">
        <f>_xlfn.XLOOKUP(fSales[[#This Row],[ProductID]],dProduct[ProductID],dProduct[CratePrice])*fSales[[#This Row],[Units]]</f>
        <v>4410</v>
      </c>
      <c r="L622">
        <f>fSales[[#This Row],[Total sales]]-_xlfn.XLOOKUP(fSales[[#This Row],[ProductID]],dProduct[ProductID],dProduct[CrateCost])*fSales[[#This Row],[Units]]</f>
        <v>1455.2999999999997</v>
      </c>
      <c r="M622">
        <f>(_xlfn.XLOOKUP(fSales[[#This Row],[ProductID]],dProduct[ProductID],dProduct[CratePrice])-_xlfn.XLOOKUP(fSales[[#This Row],[ProductID]],dProduct[ProductID],dProduct[CrateCost]))/_xlfn.XLOOKUP(fSales[[#This Row],[ProductID]],dProduct[ProductID],dProduct[CratePrice])</f>
        <v>0.3299999999999999</v>
      </c>
      <c r="N622" t="str">
        <f>_xlfn.XLOOKUP(fSales[[#This Row],[SalesRepID]],dPSalesRep[SalesRepID],dPSalesRep[SalesRep])</f>
        <v>Sioux Best</v>
      </c>
      <c r="O622" t="str">
        <f>_xlfn.XLOOKUP(fSales[[#This Row],[SalesRepID]],dPSalesRep[SalesRepID],dPSalesRep[Region])</f>
        <v>West</v>
      </c>
      <c r="P622" t="str">
        <f>_xlfn.XLOOKUP(fSales[[#This Row],[ProductID]],dProduct[ProductID],dProduct[Product])</f>
        <v>Banana</v>
      </c>
      <c r="Q622">
        <f>_xlfn.XLOOKUP(fSales[[#This Row],[ProductID]],dProduct[ProductID],dProduct[CratePrice])-_xlfn.XLOOKUP(fSales[[#This Row],[ProductID]],dProduct[ProductID],dProduct[CrateCost])</f>
        <v>5.7749999999999986</v>
      </c>
      <c r="R622">
        <f>_xlfn.XLOOKUP(fSales[[#This Row],[ProductID]],dProduct[ProductID],dProduct[CratePrice])</f>
        <v>17.5</v>
      </c>
      <c r="S622">
        <f>_xlfn.XLOOKUP(fSales[[#This Row],[ProductID]],dProduct[ProductID],dProduct[CrateCost])</f>
        <v>11.725000000000001</v>
      </c>
    </row>
    <row r="623" spans="7:19" x14ac:dyDescent="0.25">
      <c r="G623" s="2">
        <v>45709</v>
      </c>
      <c r="H623">
        <v>108</v>
      </c>
      <c r="I623" t="s">
        <v>21</v>
      </c>
      <c r="J623" t="s">
        <v>29</v>
      </c>
      <c r="K623">
        <f>_xlfn.XLOOKUP(fSales[[#This Row],[ProductID]],dProduct[ProductID],dProduct[CratePrice])*fSales[[#This Row],[Units]]</f>
        <v>2430</v>
      </c>
      <c r="L623">
        <f>fSales[[#This Row],[Total sales]]-_xlfn.XLOOKUP(fSales[[#This Row],[ProductID]],dProduct[ProductID],dProduct[CrateCost])*fSales[[#This Row],[Units]]</f>
        <v>1069.1999999999998</v>
      </c>
      <c r="M623">
        <f>(_xlfn.XLOOKUP(fSales[[#This Row],[ProductID]],dProduct[ProductID],dProduct[CratePrice])-_xlfn.XLOOKUP(fSales[[#This Row],[ProductID]],dProduct[ProductID],dProduct[CrateCost]))/_xlfn.XLOOKUP(fSales[[#This Row],[ProductID]],dProduct[ProductID],dProduct[CratePrice])</f>
        <v>0.43999999999999995</v>
      </c>
      <c r="N623" t="str">
        <f>_xlfn.XLOOKUP(fSales[[#This Row],[SalesRepID]],dPSalesRep[SalesRepID],dPSalesRep[SalesRep])</f>
        <v>Sioux Best</v>
      </c>
      <c r="O623" t="str">
        <f>_xlfn.XLOOKUP(fSales[[#This Row],[SalesRepID]],dPSalesRep[SalesRepID],dPSalesRep[Region])</f>
        <v>West</v>
      </c>
      <c r="P623" t="str">
        <f>_xlfn.XLOOKUP(fSales[[#This Row],[ProductID]],dProduct[ProductID],dProduct[Product])</f>
        <v>Kiwi</v>
      </c>
      <c r="Q623">
        <f>_xlfn.XLOOKUP(fSales[[#This Row],[ProductID]],dProduct[ProductID],dProduct[CratePrice])-_xlfn.XLOOKUP(fSales[[#This Row],[ProductID]],dProduct[ProductID],dProduct[CrateCost])</f>
        <v>9.8999999999999986</v>
      </c>
      <c r="R623">
        <f>_xlfn.XLOOKUP(fSales[[#This Row],[ProductID]],dProduct[ProductID],dProduct[CratePrice])</f>
        <v>22.5</v>
      </c>
      <c r="S623">
        <f>_xlfn.XLOOKUP(fSales[[#This Row],[ProductID]],dProduct[ProductID],dProduct[CrateCost])</f>
        <v>12.600000000000001</v>
      </c>
    </row>
    <row r="624" spans="7:19" x14ac:dyDescent="0.25">
      <c r="G624" s="2">
        <v>45710</v>
      </c>
      <c r="H624">
        <v>72</v>
      </c>
      <c r="I624" t="s">
        <v>28</v>
      </c>
      <c r="J624" t="s">
        <v>29</v>
      </c>
      <c r="K624">
        <f>_xlfn.XLOOKUP(fSales[[#This Row],[ProductID]],dProduct[ProductID],dProduct[CratePrice])*fSales[[#This Row],[Units]]</f>
        <v>3146.4</v>
      </c>
      <c r="L624">
        <f>fSales[[#This Row],[Total sales]]-_xlfn.XLOOKUP(fSales[[#This Row],[ProductID]],dProduct[ProductID],dProduct[CrateCost])*fSales[[#This Row],[Units]]</f>
        <v>1321.4880000000001</v>
      </c>
      <c r="M624">
        <f>(_xlfn.XLOOKUP(fSales[[#This Row],[ProductID]],dProduct[ProductID],dProduct[CratePrice])-_xlfn.XLOOKUP(fSales[[#This Row],[ProductID]],dProduct[ProductID],dProduct[CrateCost]))/_xlfn.XLOOKUP(fSales[[#This Row],[ProductID]],dProduct[ProductID],dProduct[CratePrice])</f>
        <v>0.42000000000000004</v>
      </c>
      <c r="N624" t="str">
        <f>_xlfn.XLOOKUP(fSales[[#This Row],[SalesRepID]],dPSalesRep[SalesRepID],dPSalesRep[SalesRep])</f>
        <v>Sioux Best</v>
      </c>
      <c r="O624" t="str">
        <f>_xlfn.XLOOKUP(fSales[[#This Row],[SalesRepID]],dPSalesRep[SalesRepID],dPSalesRep[Region])</f>
        <v>West</v>
      </c>
      <c r="P624" t="str">
        <f>_xlfn.XLOOKUP(fSales[[#This Row],[ProductID]],dProduct[ProductID],dProduct[Product])</f>
        <v>Cherry</v>
      </c>
      <c r="Q624">
        <f>_xlfn.XLOOKUP(fSales[[#This Row],[ProductID]],dProduct[ProductID],dProduct[CratePrice])-_xlfn.XLOOKUP(fSales[[#This Row],[ProductID]],dProduct[ProductID],dProduct[CrateCost])</f>
        <v>18.354000000000003</v>
      </c>
      <c r="R624">
        <f>_xlfn.XLOOKUP(fSales[[#This Row],[ProductID]],dProduct[ProductID],dProduct[CratePrice])</f>
        <v>43.7</v>
      </c>
      <c r="S624">
        <f>_xlfn.XLOOKUP(fSales[[#This Row],[ProductID]],dProduct[ProductID],dProduct[CrateCost])</f>
        <v>25.346</v>
      </c>
    </row>
    <row r="625" spans="7:19" x14ac:dyDescent="0.25">
      <c r="G625" s="2">
        <v>45710</v>
      </c>
      <c r="H625">
        <v>24</v>
      </c>
      <c r="I625" t="s">
        <v>26</v>
      </c>
      <c r="J625" t="s">
        <v>22</v>
      </c>
      <c r="K625">
        <f>_xlfn.XLOOKUP(fSales[[#This Row],[ProductID]],dProduct[ProductID],dProduct[CratePrice])*fSales[[#This Row],[Units]]</f>
        <v>714</v>
      </c>
      <c r="L625">
        <f>fSales[[#This Row],[Total sales]]-_xlfn.XLOOKUP(fSales[[#This Row],[ProductID]],dProduct[ProductID],dProduct[CrateCost])*fSales[[#This Row],[Units]]</f>
        <v>299.88</v>
      </c>
      <c r="M625">
        <f>(_xlfn.XLOOKUP(fSales[[#This Row],[ProductID]],dProduct[ProductID],dProduct[CratePrice])-_xlfn.XLOOKUP(fSales[[#This Row],[ProductID]],dProduct[ProductID],dProduct[CrateCost]))/_xlfn.XLOOKUP(fSales[[#This Row],[ProductID]],dProduct[ProductID],dProduct[CratePrice])</f>
        <v>0.42000000000000004</v>
      </c>
      <c r="N625" t="str">
        <f>_xlfn.XLOOKUP(fSales[[#This Row],[SalesRepID]],dPSalesRep[SalesRepID],dPSalesRep[SalesRep])</f>
        <v>Timmy Kips</v>
      </c>
      <c r="O625" t="str">
        <f>_xlfn.XLOOKUP(fSales[[#This Row],[SalesRepID]],dPSalesRep[SalesRepID],dPSalesRep[Region])</f>
        <v>East</v>
      </c>
      <c r="P625" t="str">
        <f>_xlfn.XLOOKUP(fSales[[#This Row],[ProductID]],dProduct[ProductID],dProduct[Product])</f>
        <v>Orange</v>
      </c>
      <c r="Q625">
        <f>_xlfn.XLOOKUP(fSales[[#This Row],[ProductID]],dProduct[ProductID],dProduct[CratePrice])-_xlfn.XLOOKUP(fSales[[#This Row],[ProductID]],dProduct[ProductID],dProduct[CrateCost])</f>
        <v>12.495000000000001</v>
      </c>
      <c r="R625">
        <f>_xlfn.XLOOKUP(fSales[[#This Row],[ProductID]],dProduct[ProductID],dProduct[CratePrice])</f>
        <v>29.75</v>
      </c>
      <c r="S625">
        <f>_xlfn.XLOOKUP(fSales[[#This Row],[ProductID]],dProduct[ProductID],dProduct[CrateCost])</f>
        <v>17.254999999999999</v>
      </c>
    </row>
    <row r="626" spans="7:19" x14ac:dyDescent="0.25">
      <c r="G626" s="2">
        <v>45712</v>
      </c>
      <c r="H626">
        <v>228</v>
      </c>
      <c r="I626" t="s">
        <v>26</v>
      </c>
      <c r="J626" t="s">
        <v>37</v>
      </c>
      <c r="K626">
        <f>_xlfn.XLOOKUP(fSales[[#This Row],[ProductID]],dProduct[ProductID],dProduct[CratePrice])*fSales[[#This Row],[Units]]</f>
        <v>6783</v>
      </c>
      <c r="L626">
        <f>fSales[[#This Row],[Total sales]]-_xlfn.XLOOKUP(fSales[[#This Row],[ProductID]],dProduct[ProductID],dProduct[CrateCost])*fSales[[#This Row],[Units]]</f>
        <v>2848.86</v>
      </c>
      <c r="M626">
        <f>(_xlfn.XLOOKUP(fSales[[#This Row],[ProductID]],dProduct[ProductID],dProduct[CratePrice])-_xlfn.XLOOKUP(fSales[[#This Row],[ProductID]],dProduct[ProductID],dProduct[CrateCost]))/_xlfn.XLOOKUP(fSales[[#This Row],[ProductID]],dProduct[ProductID],dProduct[CratePrice])</f>
        <v>0.42000000000000004</v>
      </c>
      <c r="N626" t="str">
        <f>_xlfn.XLOOKUP(fSales[[#This Row],[SalesRepID]],dPSalesRep[SalesRepID],dPSalesRep[SalesRep])</f>
        <v>Chantel Mims</v>
      </c>
      <c r="O626" t="str">
        <f>_xlfn.XLOOKUP(fSales[[#This Row],[SalesRepID]],dPSalesRep[SalesRepID],dPSalesRep[Region])</f>
        <v>NW</v>
      </c>
      <c r="P626" t="str">
        <f>_xlfn.XLOOKUP(fSales[[#This Row],[ProductID]],dProduct[ProductID],dProduct[Product])</f>
        <v>Orange</v>
      </c>
      <c r="Q626">
        <f>_xlfn.XLOOKUP(fSales[[#This Row],[ProductID]],dProduct[ProductID],dProduct[CratePrice])-_xlfn.XLOOKUP(fSales[[#This Row],[ProductID]],dProduct[ProductID],dProduct[CrateCost])</f>
        <v>12.495000000000001</v>
      </c>
      <c r="R626">
        <f>_xlfn.XLOOKUP(fSales[[#This Row],[ProductID]],dProduct[ProductID],dProduct[CratePrice])</f>
        <v>29.75</v>
      </c>
      <c r="S626">
        <f>_xlfn.XLOOKUP(fSales[[#This Row],[ProductID]],dProduct[ProductID],dProduct[CrateCost])</f>
        <v>17.254999999999999</v>
      </c>
    </row>
    <row r="627" spans="7:19" x14ac:dyDescent="0.25">
      <c r="G627" s="2">
        <v>45713</v>
      </c>
      <c r="H627">
        <v>168</v>
      </c>
      <c r="I627" t="s">
        <v>26</v>
      </c>
      <c r="J627" t="s">
        <v>22</v>
      </c>
      <c r="K627">
        <f>_xlfn.XLOOKUP(fSales[[#This Row],[ProductID]],dProduct[ProductID],dProduct[CratePrice])*fSales[[#This Row],[Units]]</f>
        <v>4998</v>
      </c>
      <c r="L627">
        <f>fSales[[#This Row],[Total sales]]-_xlfn.XLOOKUP(fSales[[#This Row],[ProductID]],dProduct[ProductID],dProduct[CrateCost])*fSales[[#This Row],[Units]]</f>
        <v>2099.1600000000003</v>
      </c>
      <c r="M627">
        <f>(_xlfn.XLOOKUP(fSales[[#This Row],[ProductID]],dProduct[ProductID],dProduct[CratePrice])-_xlfn.XLOOKUP(fSales[[#This Row],[ProductID]],dProduct[ProductID],dProduct[CrateCost]))/_xlfn.XLOOKUP(fSales[[#This Row],[ProductID]],dProduct[ProductID],dProduct[CratePrice])</f>
        <v>0.42000000000000004</v>
      </c>
      <c r="N627" t="str">
        <f>_xlfn.XLOOKUP(fSales[[#This Row],[SalesRepID]],dPSalesRep[SalesRepID],dPSalesRep[SalesRep])</f>
        <v>Timmy Kips</v>
      </c>
      <c r="O627" t="str">
        <f>_xlfn.XLOOKUP(fSales[[#This Row],[SalesRepID]],dPSalesRep[SalesRepID],dPSalesRep[Region])</f>
        <v>East</v>
      </c>
      <c r="P627" t="str">
        <f>_xlfn.XLOOKUP(fSales[[#This Row],[ProductID]],dProduct[ProductID],dProduct[Product])</f>
        <v>Orange</v>
      </c>
      <c r="Q627">
        <f>_xlfn.XLOOKUP(fSales[[#This Row],[ProductID]],dProduct[ProductID],dProduct[CratePrice])-_xlfn.XLOOKUP(fSales[[#This Row],[ProductID]],dProduct[ProductID],dProduct[CrateCost])</f>
        <v>12.495000000000001</v>
      </c>
      <c r="R627">
        <f>_xlfn.XLOOKUP(fSales[[#This Row],[ProductID]],dProduct[ProductID],dProduct[CratePrice])</f>
        <v>29.75</v>
      </c>
      <c r="S627">
        <f>_xlfn.XLOOKUP(fSales[[#This Row],[ProductID]],dProduct[ProductID],dProduct[CrateCost])</f>
        <v>17.254999999999999</v>
      </c>
    </row>
    <row r="628" spans="7:19" x14ac:dyDescent="0.25">
      <c r="G628" s="2">
        <v>45714</v>
      </c>
      <c r="H628">
        <v>240</v>
      </c>
      <c r="I628" t="s">
        <v>26</v>
      </c>
      <c r="J628" t="s">
        <v>29</v>
      </c>
      <c r="K628">
        <f>_xlfn.XLOOKUP(fSales[[#This Row],[ProductID]],dProduct[ProductID],dProduct[CratePrice])*fSales[[#This Row],[Units]]</f>
        <v>7140</v>
      </c>
      <c r="L628">
        <f>fSales[[#This Row],[Total sales]]-_xlfn.XLOOKUP(fSales[[#This Row],[ProductID]],dProduct[ProductID],dProduct[CrateCost])*fSales[[#This Row],[Units]]</f>
        <v>2998.8</v>
      </c>
      <c r="M628">
        <f>(_xlfn.XLOOKUP(fSales[[#This Row],[ProductID]],dProduct[ProductID],dProduct[CratePrice])-_xlfn.XLOOKUP(fSales[[#This Row],[ProductID]],dProduct[ProductID],dProduct[CrateCost]))/_xlfn.XLOOKUP(fSales[[#This Row],[ProductID]],dProduct[ProductID],dProduct[CratePrice])</f>
        <v>0.42000000000000004</v>
      </c>
      <c r="N628" t="str">
        <f>_xlfn.XLOOKUP(fSales[[#This Row],[SalesRepID]],dPSalesRep[SalesRepID],dPSalesRep[SalesRep])</f>
        <v>Sioux Best</v>
      </c>
      <c r="O628" t="str">
        <f>_xlfn.XLOOKUP(fSales[[#This Row],[SalesRepID]],dPSalesRep[SalesRepID],dPSalesRep[Region])</f>
        <v>West</v>
      </c>
      <c r="P628" t="str">
        <f>_xlfn.XLOOKUP(fSales[[#This Row],[ProductID]],dProduct[ProductID],dProduct[Product])</f>
        <v>Orange</v>
      </c>
      <c r="Q628">
        <f>_xlfn.XLOOKUP(fSales[[#This Row],[ProductID]],dProduct[ProductID],dProduct[CratePrice])-_xlfn.XLOOKUP(fSales[[#This Row],[ProductID]],dProduct[ProductID],dProduct[CrateCost])</f>
        <v>12.495000000000001</v>
      </c>
      <c r="R628">
        <f>_xlfn.XLOOKUP(fSales[[#This Row],[ProductID]],dProduct[ProductID],dProduct[CratePrice])</f>
        <v>29.75</v>
      </c>
      <c r="S628">
        <f>_xlfn.XLOOKUP(fSales[[#This Row],[ProductID]],dProduct[ProductID],dProduct[CrateCost])</f>
        <v>17.254999999999999</v>
      </c>
    </row>
    <row r="629" spans="7:19" x14ac:dyDescent="0.25">
      <c r="G629" s="2">
        <v>45716</v>
      </c>
      <c r="H629">
        <v>36</v>
      </c>
      <c r="I629" t="s">
        <v>21</v>
      </c>
      <c r="J629" t="s">
        <v>29</v>
      </c>
      <c r="K629">
        <f>_xlfn.XLOOKUP(fSales[[#This Row],[ProductID]],dProduct[ProductID],dProduct[CratePrice])*fSales[[#This Row],[Units]]</f>
        <v>810</v>
      </c>
      <c r="L629">
        <f>fSales[[#This Row],[Total sales]]-_xlfn.XLOOKUP(fSales[[#This Row],[ProductID]],dProduct[ProductID],dProduct[CrateCost])*fSales[[#This Row],[Units]]</f>
        <v>356.4</v>
      </c>
      <c r="M629">
        <f>(_xlfn.XLOOKUP(fSales[[#This Row],[ProductID]],dProduct[ProductID],dProduct[CratePrice])-_xlfn.XLOOKUP(fSales[[#This Row],[ProductID]],dProduct[ProductID],dProduct[CrateCost]))/_xlfn.XLOOKUP(fSales[[#This Row],[ProductID]],dProduct[ProductID],dProduct[CratePrice])</f>
        <v>0.43999999999999995</v>
      </c>
      <c r="N629" t="str">
        <f>_xlfn.XLOOKUP(fSales[[#This Row],[SalesRepID]],dPSalesRep[SalesRepID],dPSalesRep[SalesRep])</f>
        <v>Sioux Best</v>
      </c>
      <c r="O629" t="str">
        <f>_xlfn.XLOOKUP(fSales[[#This Row],[SalesRepID]],dPSalesRep[SalesRepID],dPSalesRep[Region])</f>
        <v>West</v>
      </c>
      <c r="P629" t="str">
        <f>_xlfn.XLOOKUP(fSales[[#This Row],[ProductID]],dProduct[ProductID],dProduct[Product])</f>
        <v>Kiwi</v>
      </c>
      <c r="Q629">
        <f>_xlfn.XLOOKUP(fSales[[#This Row],[ProductID]],dProduct[ProductID],dProduct[CratePrice])-_xlfn.XLOOKUP(fSales[[#This Row],[ProductID]],dProduct[ProductID],dProduct[CrateCost])</f>
        <v>9.8999999999999986</v>
      </c>
      <c r="R629">
        <f>_xlfn.XLOOKUP(fSales[[#This Row],[ProductID]],dProduct[ProductID],dProduct[CratePrice])</f>
        <v>22.5</v>
      </c>
      <c r="S629">
        <f>_xlfn.XLOOKUP(fSales[[#This Row],[ProductID]],dProduct[ProductID],dProduct[CrateCost])</f>
        <v>12.600000000000001</v>
      </c>
    </row>
    <row r="630" spans="7:19" x14ac:dyDescent="0.25">
      <c r="G630" s="2">
        <v>45718</v>
      </c>
      <c r="H630">
        <v>84</v>
      </c>
      <c r="I630" t="s">
        <v>28</v>
      </c>
      <c r="J630" t="s">
        <v>52</v>
      </c>
      <c r="K630">
        <f>_xlfn.XLOOKUP(fSales[[#This Row],[ProductID]],dProduct[ProductID],dProduct[CratePrice])*fSales[[#This Row],[Units]]</f>
        <v>3670.8</v>
      </c>
      <c r="L630">
        <f>fSales[[#This Row],[Total sales]]-_xlfn.XLOOKUP(fSales[[#This Row],[ProductID]],dProduct[ProductID],dProduct[CrateCost])*fSales[[#This Row],[Units]]</f>
        <v>1541.7360000000003</v>
      </c>
      <c r="M630">
        <f>(_xlfn.XLOOKUP(fSales[[#This Row],[ProductID]],dProduct[ProductID],dProduct[CratePrice])-_xlfn.XLOOKUP(fSales[[#This Row],[ProductID]],dProduct[ProductID],dProduct[CrateCost]))/_xlfn.XLOOKUP(fSales[[#This Row],[ProductID]],dProduct[ProductID],dProduct[CratePrice])</f>
        <v>0.42000000000000004</v>
      </c>
      <c r="N630" t="str">
        <f>_xlfn.XLOOKUP(fSales[[#This Row],[SalesRepID]],dPSalesRep[SalesRepID],dPSalesRep[SalesRep])</f>
        <v>Smitty Rad</v>
      </c>
      <c r="O630" t="str">
        <f>_xlfn.XLOOKUP(fSales[[#This Row],[SalesRepID]],dPSalesRep[SalesRepID],dPSalesRep[Region])</f>
        <v>MidWest</v>
      </c>
      <c r="P630" t="str">
        <f>_xlfn.XLOOKUP(fSales[[#This Row],[ProductID]],dProduct[ProductID],dProduct[Product])</f>
        <v>Cherry</v>
      </c>
      <c r="Q630">
        <f>_xlfn.XLOOKUP(fSales[[#This Row],[ProductID]],dProduct[ProductID],dProduct[CratePrice])-_xlfn.XLOOKUP(fSales[[#This Row],[ProductID]],dProduct[ProductID],dProduct[CrateCost])</f>
        <v>18.354000000000003</v>
      </c>
      <c r="R630">
        <f>_xlfn.XLOOKUP(fSales[[#This Row],[ProductID]],dProduct[ProductID],dProduct[CratePrice])</f>
        <v>43.7</v>
      </c>
      <c r="S630">
        <f>_xlfn.XLOOKUP(fSales[[#This Row],[ProductID]],dProduct[ProductID],dProduct[CrateCost])</f>
        <v>25.346</v>
      </c>
    </row>
    <row r="631" spans="7:19" x14ac:dyDescent="0.25">
      <c r="G631" s="2">
        <v>45718</v>
      </c>
      <c r="H631">
        <v>192</v>
      </c>
      <c r="I631" t="s">
        <v>28</v>
      </c>
      <c r="J631" t="s">
        <v>37</v>
      </c>
      <c r="K631">
        <f>_xlfn.XLOOKUP(fSales[[#This Row],[ProductID]],dProduct[ProductID],dProduct[CratePrice])*fSales[[#This Row],[Units]]</f>
        <v>8390.4000000000015</v>
      </c>
      <c r="L631">
        <f>fSales[[#This Row],[Total sales]]-_xlfn.XLOOKUP(fSales[[#This Row],[ProductID]],dProduct[ProductID],dProduct[CrateCost])*fSales[[#This Row],[Units]]</f>
        <v>3523.9680000000017</v>
      </c>
      <c r="M631">
        <f>(_xlfn.XLOOKUP(fSales[[#This Row],[ProductID]],dProduct[ProductID],dProduct[CratePrice])-_xlfn.XLOOKUP(fSales[[#This Row],[ProductID]],dProduct[ProductID],dProduct[CrateCost]))/_xlfn.XLOOKUP(fSales[[#This Row],[ProductID]],dProduct[ProductID],dProduct[CratePrice])</f>
        <v>0.42000000000000004</v>
      </c>
      <c r="N631" t="str">
        <f>_xlfn.XLOOKUP(fSales[[#This Row],[SalesRepID]],dPSalesRep[SalesRepID],dPSalesRep[SalesRep])</f>
        <v>Chantel Mims</v>
      </c>
      <c r="O631" t="str">
        <f>_xlfn.XLOOKUP(fSales[[#This Row],[SalesRepID]],dPSalesRep[SalesRepID],dPSalesRep[Region])</f>
        <v>NW</v>
      </c>
      <c r="P631" t="str">
        <f>_xlfn.XLOOKUP(fSales[[#This Row],[ProductID]],dProduct[ProductID],dProduct[Product])</f>
        <v>Cherry</v>
      </c>
      <c r="Q631">
        <f>_xlfn.XLOOKUP(fSales[[#This Row],[ProductID]],dProduct[ProductID],dProduct[CratePrice])-_xlfn.XLOOKUP(fSales[[#This Row],[ProductID]],dProduct[ProductID],dProduct[CrateCost])</f>
        <v>18.354000000000003</v>
      </c>
      <c r="R631">
        <f>_xlfn.XLOOKUP(fSales[[#This Row],[ProductID]],dProduct[ProductID],dProduct[CratePrice])</f>
        <v>43.7</v>
      </c>
      <c r="S631">
        <f>_xlfn.XLOOKUP(fSales[[#This Row],[ProductID]],dProduct[ProductID],dProduct[CrateCost])</f>
        <v>25.346</v>
      </c>
    </row>
    <row r="632" spans="7:19" x14ac:dyDescent="0.25">
      <c r="G632" s="2">
        <v>45719</v>
      </c>
      <c r="H632">
        <v>108</v>
      </c>
      <c r="I632" t="s">
        <v>19</v>
      </c>
      <c r="J632" t="s">
        <v>29</v>
      </c>
      <c r="K632">
        <f>_xlfn.XLOOKUP(fSales[[#This Row],[ProductID]],dProduct[ProductID],dProduct[CratePrice])*fSales[[#This Row],[Units]]</f>
        <v>3780</v>
      </c>
      <c r="L632">
        <f>fSales[[#This Row],[Total sales]]-_xlfn.XLOOKUP(fSales[[#This Row],[ProductID]],dProduct[ProductID],dProduct[CrateCost])*fSales[[#This Row],[Units]]</f>
        <v>2116.8000000000002</v>
      </c>
      <c r="M632">
        <f>(_xlfn.XLOOKUP(fSales[[#This Row],[ProductID]],dProduct[ProductID],dProduct[CratePrice])-_xlfn.XLOOKUP(fSales[[#This Row],[ProductID]],dProduct[ProductID],dProduct[CrateCost]))/_xlfn.XLOOKUP(fSales[[#This Row],[ProductID]],dProduct[ProductID],dProduct[CratePrice])</f>
        <v>0.56000000000000005</v>
      </c>
      <c r="N632" t="str">
        <f>_xlfn.XLOOKUP(fSales[[#This Row],[SalesRepID]],dPSalesRep[SalesRepID],dPSalesRep[SalesRep])</f>
        <v>Sioux Best</v>
      </c>
      <c r="O632" t="str">
        <f>_xlfn.XLOOKUP(fSales[[#This Row],[SalesRepID]],dPSalesRep[SalesRepID],dPSalesRep[Region])</f>
        <v>West</v>
      </c>
      <c r="P632" t="str">
        <f>_xlfn.XLOOKUP(fSales[[#This Row],[ProductID]],dProduct[ProductID],dProduct[Product])</f>
        <v>Apple</v>
      </c>
      <c r="Q632">
        <f>_xlfn.XLOOKUP(fSales[[#This Row],[ProductID]],dProduct[ProductID],dProduct[CratePrice])-_xlfn.XLOOKUP(fSales[[#This Row],[ProductID]],dProduct[ProductID],dProduct[CrateCost])</f>
        <v>19.600000000000001</v>
      </c>
      <c r="R632">
        <f>_xlfn.XLOOKUP(fSales[[#This Row],[ProductID]],dProduct[ProductID],dProduct[CratePrice])</f>
        <v>35</v>
      </c>
      <c r="S632">
        <f>_xlfn.XLOOKUP(fSales[[#This Row],[ProductID]],dProduct[ProductID],dProduct[CrateCost])</f>
        <v>15.4</v>
      </c>
    </row>
    <row r="633" spans="7:19" x14ac:dyDescent="0.25">
      <c r="G633" s="2">
        <v>45719</v>
      </c>
      <c r="H633">
        <v>72</v>
      </c>
      <c r="I633" t="s">
        <v>26</v>
      </c>
      <c r="J633" t="s">
        <v>37</v>
      </c>
      <c r="K633">
        <f>_xlfn.XLOOKUP(fSales[[#This Row],[ProductID]],dProduct[ProductID],dProduct[CratePrice])*fSales[[#This Row],[Units]]</f>
        <v>2142</v>
      </c>
      <c r="L633">
        <f>fSales[[#This Row],[Total sales]]-_xlfn.XLOOKUP(fSales[[#This Row],[ProductID]],dProduct[ProductID],dProduct[CrateCost])*fSales[[#This Row],[Units]]</f>
        <v>899.6400000000001</v>
      </c>
      <c r="M633">
        <f>(_xlfn.XLOOKUP(fSales[[#This Row],[ProductID]],dProduct[ProductID],dProduct[CratePrice])-_xlfn.XLOOKUP(fSales[[#This Row],[ProductID]],dProduct[ProductID],dProduct[CrateCost]))/_xlfn.XLOOKUP(fSales[[#This Row],[ProductID]],dProduct[ProductID],dProduct[CratePrice])</f>
        <v>0.42000000000000004</v>
      </c>
      <c r="N633" t="str">
        <f>_xlfn.XLOOKUP(fSales[[#This Row],[SalesRepID]],dPSalesRep[SalesRepID],dPSalesRep[SalesRep])</f>
        <v>Chantel Mims</v>
      </c>
      <c r="O633" t="str">
        <f>_xlfn.XLOOKUP(fSales[[#This Row],[SalesRepID]],dPSalesRep[SalesRepID],dPSalesRep[Region])</f>
        <v>NW</v>
      </c>
      <c r="P633" t="str">
        <f>_xlfn.XLOOKUP(fSales[[#This Row],[ProductID]],dProduct[ProductID],dProduct[Product])</f>
        <v>Orange</v>
      </c>
      <c r="Q633">
        <f>_xlfn.XLOOKUP(fSales[[#This Row],[ProductID]],dProduct[ProductID],dProduct[CratePrice])-_xlfn.XLOOKUP(fSales[[#This Row],[ProductID]],dProduct[ProductID],dProduct[CrateCost])</f>
        <v>12.495000000000001</v>
      </c>
      <c r="R633">
        <f>_xlfn.XLOOKUP(fSales[[#This Row],[ProductID]],dProduct[ProductID],dProduct[CratePrice])</f>
        <v>29.75</v>
      </c>
      <c r="S633">
        <f>_xlfn.XLOOKUP(fSales[[#This Row],[ProductID]],dProduct[ProductID],dProduct[CrateCost])</f>
        <v>17.254999999999999</v>
      </c>
    </row>
    <row r="634" spans="7:19" x14ac:dyDescent="0.25">
      <c r="G634" s="2">
        <v>45720</v>
      </c>
      <c r="H634">
        <v>48</v>
      </c>
      <c r="I634" t="s">
        <v>34</v>
      </c>
      <c r="J634" t="s">
        <v>52</v>
      </c>
      <c r="K634">
        <f>_xlfn.XLOOKUP(fSales[[#This Row],[ProductID]],dProduct[ProductID],dProduct[CratePrice])*fSales[[#This Row],[Units]]</f>
        <v>840</v>
      </c>
      <c r="L634">
        <f>fSales[[#This Row],[Total sales]]-_xlfn.XLOOKUP(fSales[[#This Row],[ProductID]],dProduct[ProductID],dProduct[CrateCost])*fSales[[#This Row],[Units]]</f>
        <v>277.19999999999993</v>
      </c>
      <c r="M634">
        <f>(_xlfn.XLOOKUP(fSales[[#This Row],[ProductID]],dProduct[ProductID],dProduct[CratePrice])-_xlfn.XLOOKUP(fSales[[#This Row],[ProductID]],dProduct[ProductID],dProduct[CrateCost]))/_xlfn.XLOOKUP(fSales[[#This Row],[ProductID]],dProduct[ProductID],dProduct[CratePrice])</f>
        <v>0.3299999999999999</v>
      </c>
      <c r="N634" t="str">
        <f>_xlfn.XLOOKUP(fSales[[#This Row],[SalesRepID]],dPSalesRep[SalesRepID],dPSalesRep[SalesRep])</f>
        <v>Smitty Rad</v>
      </c>
      <c r="O634" t="str">
        <f>_xlfn.XLOOKUP(fSales[[#This Row],[SalesRepID]],dPSalesRep[SalesRepID],dPSalesRep[Region])</f>
        <v>MidWest</v>
      </c>
      <c r="P634" t="str">
        <f>_xlfn.XLOOKUP(fSales[[#This Row],[ProductID]],dProduct[ProductID],dProduct[Product])</f>
        <v>Banana</v>
      </c>
      <c r="Q634">
        <f>_xlfn.XLOOKUP(fSales[[#This Row],[ProductID]],dProduct[ProductID],dProduct[CratePrice])-_xlfn.XLOOKUP(fSales[[#This Row],[ProductID]],dProduct[ProductID],dProduct[CrateCost])</f>
        <v>5.7749999999999986</v>
      </c>
      <c r="R634">
        <f>_xlfn.XLOOKUP(fSales[[#This Row],[ProductID]],dProduct[ProductID],dProduct[CratePrice])</f>
        <v>17.5</v>
      </c>
      <c r="S634">
        <f>_xlfn.XLOOKUP(fSales[[#This Row],[ProductID]],dProduct[ProductID],dProduct[CrateCost])</f>
        <v>11.725000000000001</v>
      </c>
    </row>
    <row r="635" spans="7:19" x14ac:dyDescent="0.25">
      <c r="G635" s="2">
        <v>45720</v>
      </c>
      <c r="H635">
        <v>168</v>
      </c>
      <c r="I635" t="s">
        <v>26</v>
      </c>
      <c r="J635" t="s">
        <v>32</v>
      </c>
      <c r="K635">
        <f>_xlfn.XLOOKUP(fSales[[#This Row],[ProductID]],dProduct[ProductID],dProduct[CratePrice])*fSales[[#This Row],[Units]]</f>
        <v>4998</v>
      </c>
      <c r="L635">
        <f>fSales[[#This Row],[Total sales]]-_xlfn.XLOOKUP(fSales[[#This Row],[ProductID]],dProduct[ProductID],dProduct[CrateCost])*fSales[[#This Row],[Units]]</f>
        <v>2099.1600000000003</v>
      </c>
      <c r="M635">
        <f>(_xlfn.XLOOKUP(fSales[[#This Row],[ProductID]],dProduct[ProductID],dProduct[CratePrice])-_xlfn.XLOOKUP(fSales[[#This Row],[ProductID]],dProduct[ProductID],dProduct[CrateCost]))/_xlfn.XLOOKUP(fSales[[#This Row],[ProductID]],dProduct[ProductID],dProduct[CratePrice])</f>
        <v>0.42000000000000004</v>
      </c>
      <c r="N635" t="str">
        <f>_xlfn.XLOOKUP(fSales[[#This Row],[SalesRepID]],dPSalesRep[SalesRepID],dPSalesRep[SalesRep])</f>
        <v>Shihara Fazzaa</v>
      </c>
      <c r="O635" t="str">
        <f>_xlfn.XLOOKUP(fSales[[#This Row],[SalesRepID]],dPSalesRep[SalesRepID],dPSalesRep[Region])</f>
        <v>East</v>
      </c>
      <c r="P635" t="str">
        <f>_xlfn.XLOOKUP(fSales[[#This Row],[ProductID]],dProduct[ProductID],dProduct[Product])</f>
        <v>Orange</v>
      </c>
      <c r="Q635">
        <f>_xlfn.XLOOKUP(fSales[[#This Row],[ProductID]],dProduct[ProductID],dProduct[CratePrice])-_xlfn.XLOOKUP(fSales[[#This Row],[ProductID]],dProduct[ProductID],dProduct[CrateCost])</f>
        <v>12.495000000000001</v>
      </c>
      <c r="R635">
        <f>_xlfn.XLOOKUP(fSales[[#This Row],[ProductID]],dProduct[ProductID],dProduct[CratePrice])</f>
        <v>29.75</v>
      </c>
      <c r="S635">
        <f>_xlfn.XLOOKUP(fSales[[#This Row],[ProductID]],dProduct[ProductID],dProduct[CrateCost])</f>
        <v>17.254999999999999</v>
      </c>
    </row>
    <row r="636" spans="7:19" x14ac:dyDescent="0.25">
      <c r="G636" s="2">
        <v>45720</v>
      </c>
      <c r="H636">
        <v>36</v>
      </c>
      <c r="I636" t="s">
        <v>21</v>
      </c>
      <c r="J636" t="s">
        <v>29</v>
      </c>
      <c r="K636">
        <f>_xlfn.XLOOKUP(fSales[[#This Row],[ProductID]],dProduct[ProductID],dProduct[CratePrice])*fSales[[#This Row],[Units]]</f>
        <v>810</v>
      </c>
      <c r="L636">
        <f>fSales[[#This Row],[Total sales]]-_xlfn.XLOOKUP(fSales[[#This Row],[ProductID]],dProduct[ProductID],dProduct[CrateCost])*fSales[[#This Row],[Units]]</f>
        <v>356.4</v>
      </c>
      <c r="M636">
        <f>(_xlfn.XLOOKUP(fSales[[#This Row],[ProductID]],dProduct[ProductID],dProduct[CratePrice])-_xlfn.XLOOKUP(fSales[[#This Row],[ProductID]],dProduct[ProductID],dProduct[CrateCost]))/_xlfn.XLOOKUP(fSales[[#This Row],[ProductID]],dProduct[ProductID],dProduct[CratePrice])</f>
        <v>0.43999999999999995</v>
      </c>
      <c r="N636" t="str">
        <f>_xlfn.XLOOKUP(fSales[[#This Row],[SalesRepID]],dPSalesRep[SalesRepID],dPSalesRep[SalesRep])</f>
        <v>Sioux Best</v>
      </c>
      <c r="O636" t="str">
        <f>_xlfn.XLOOKUP(fSales[[#This Row],[SalesRepID]],dPSalesRep[SalesRepID],dPSalesRep[Region])</f>
        <v>West</v>
      </c>
      <c r="P636" t="str">
        <f>_xlfn.XLOOKUP(fSales[[#This Row],[ProductID]],dProduct[ProductID],dProduct[Product])</f>
        <v>Kiwi</v>
      </c>
      <c r="Q636">
        <f>_xlfn.XLOOKUP(fSales[[#This Row],[ProductID]],dProduct[ProductID],dProduct[CratePrice])-_xlfn.XLOOKUP(fSales[[#This Row],[ProductID]],dProduct[ProductID],dProduct[CrateCost])</f>
        <v>9.8999999999999986</v>
      </c>
      <c r="R636">
        <f>_xlfn.XLOOKUP(fSales[[#This Row],[ProductID]],dProduct[ProductID],dProduct[CratePrice])</f>
        <v>22.5</v>
      </c>
      <c r="S636">
        <f>_xlfn.XLOOKUP(fSales[[#This Row],[ProductID]],dProduct[ProductID],dProduct[CrateCost])</f>
        <v>12.600000000000001</v>
      </c>
    </row>
    <row r="637" spans="7:19" x14ac:dyDescent="0.25">
      <c r="G637" s="2">
        <v>45720</v>
      </c>
      <c r="H637">
        <v>144</v>
      </c>
      <c r="I637" t="s">
        <v>28</v>
      </c>
      <c r="J637" t="s">
        <v>29</v>
      </c>
      <c r="K637">
        <f>_xlfn.XLOOKUP(fSales[[#This Row],[ProductID]],dProduct[ProductID],dProduct[CratePrice])*fSales[[#This Row],[Units]]</f>
        <v>6292.8</v>
      </c>
      <c r="L637">
        <f>fSales[[#This Row],[Total sales]]-_xlfn.XLOOKUP(fSales[[#This Row],[ProductID]],dProduct[ProductID],dProduct[CrateCost])*fSales[[#This Row],[Units]]</f>
        <v>2642.9760000000001</v>
      </c>
      <c r="M637">
        <f>(_xlfn.XLOOKUP(fSales[[#This Row],[ProductID]],dProduct[ProductID],dProduct[CratePrice])-_xlfn.XLOOKUP(fSales[[#This Row],[ProductID]],dProduct[ProductID],dProduct[CrateCost]))/_xlfn.XLOOKUP(fSales[[#This Row],[ProductID]],dProduct[ProductID],dProduct[CratePrice])</f>
        <v>0.42000000000000004</v>
      </c>
      <c r="N637" t="str">
        <f>_xlfn.XLOOKUP(fSales[[#This Row],[SalesRepID]],dPSalesRep[SalesRepID],dPSalesRep[SalesRep])</f>
        <v>Sioux Best</v>
      </c>
      <c r="O637" t="str">
        <f>_xlfn.XLOOKUP(fSales[[#This Row],[SalesRepID]],dPSalesRep[SalesRepID],dPSalesRep[Region])</f>
        <v>West</v>
      </c>
      <c r="P637" t="str">
        <f>_xlfn.XLOOKUP(fSales[[#This Row],[ProductID]],dProduct[ProductID],dProduct[Product])</f>
        <v>Cherry</v>
      </c>
      <c r="Q637">
        <f>_xlfn.XLOOKUP(fSales[[#This Row],[ProductID]],dProduct[ProductID],dProduct[CratePrice])-_xlfn.XLOOKUP(fSales[[#This Row],[ProductID]],dProduct[ProductID],dProduct[CrateCost])</f>
        <v>18.354000000000003</v>
      </c>
      <c r="R637">
        <f>_xlfn.XLOOKUP(fSales[[#This Row],[ProductID]],dProduct[ProductID],dProduct[CratePrice])</f>
        <v>43.7</v>
      </c>
      <c r="S637">
        <f>_xlfn.XLOOKUP(fSales[[#This Row],[ProductID]],dProduct[ProductID],dProduct[CrateCost])</f>
        <v>25.346</v>
      </c>
    </row>
    <row r="638" spans="7:19" x14ac:dyDescent="0.25">
      <c r="G638" s="2">
        <v>45720</v>
      </c>
      <c r="H638">
        <v>72</v>
      </c>
      <c r="I638" t="s">
        <v>28</v>
      </c>
      <c r="J638" t="s">
        <v>32</v>
      </c>
      <c r="K638">
        <f>_xlfn.XLOOKUP(fSales[[#This Row],[ProductID]],dProduct[ProductID],dProduct[CratePrice])*fSales[[#This Row],[Units]]</f>
        <v>3146.4</v>
      </c>
      <c r="L638">
        <f>fSales[[#This Row],[Total sales]]-_xlfn.XLOOKUP(fSales[[#This Row],[ProductID]],dProduct[ProductID],dProduct[CrateCost])*fSales[[#This Row],[Units]]</f>
        <v>1321.4880000000001</v>
      </c>
      <c r="M638">
        <f>(_xlfn.XLOOKUP(fSales[[#This Row],[ProductID]],dProduct[ProductID],dProduct[CratePrice])-_xlfn.XLOOKUP(fSales[[#This Row],[ProductID]],dProduct[ProductID],dProduct[CrateCost]))/_xlfn.XLOOKUP(fSales[[#This Row],[ProductID]],dProduct[ProductID],dProduct[CratePrice])</f>
        <v>0.42000000000000004</v>
      </c>
      <c r="N638" t="str">
        <f>_xlfn.XLOOKUP(fSales[[#This Row],[SalesRepID]],dPSalesRep[SalesRepID],dPSalesRep[SalesRep])</f>
        <v>Shihara Fazzaa</v>
      </c>
      <c r="O638" t="str">
        <f>_xlfn.XLOOKUP(fSales[[#This Row],[SalesRepID]],dPSalesRep[SalesRepID],dPSalesRep[Region])</f>
        <v>East</v>
      </c>
      <c r="P638" t="str">
        <f>_xlfn.XLOOKUP(fSales[[#This Row],[ProductID]],dProduct[ProductID],dProduct[Product])</f>
        <v>Cherry</v>
      </c>
      <c r="Q638">
        <f>_xlfn.XLOOKUP(fSales[[#This Row],[ProductID]],dProduct[ProductID],dProduct[CratePrice])-_xlfn.XLOOKUP(fSales[[#This Row],[ProductID]],dProduct[ProductID],dProduct[CrateCost])</f>
        <v>18.354000000000003</v>
      </c>
      <c r="R638">
        <f>_xlfn.XLOOKUP(fSales[[#This Row],[ProductID]],dProduct[ProductID],dProduct[CratePrice])</f>
        <v>43.7</v>
      </c>
      <c r="S638">
        <f>_xlfn.XLOOKUP(fSales[[#This Row],[ProductID]],dProduct[ProductID],dProduct[CrateCost])</f>
        <v>25.346</v>
      </c>
    </row>
    <row r="639" spans="7:19" x14ac:dyDescent="0.25">
      <c r="G639" s="2">
        <v>45722</v>
      </c>
      <c r="H639">
        <v>156</v>
      </c>
      <c r="I639" t="s">
        <v>21</v>
      </c>
      <c r="J639" t="s">
        <v>22</v>
      </c>
      <c r="K639">
        <f>_xlfn.XLOOKUP(fSales[[#This Row],[ProductID]],dProduct[ProductID],dProduct[CratePrice])*fSales[[#This Row],[Units]]</f>
        <v>3510</v>
      </c>
      <c r="L639">
        <f>fSales[[#This Row],[Total sales]]-_xlfn.XLOOKUP(fSales[[#This Row],[ProductID]],dProduct[ProductID],dProduct[CrateCost])*fSales[[#This Row],[Units]]</f>
        <v>1544.3999999999999</v>
      </c>
      <c r="M639">
        <f>(_xlfn.XLOOKUP(fSales[[#This Row],[ProductID]],dProduct[ProductID],dProduct[CratePrice])-_xlfn.XLOOKUP(fSales[[#This Row],[ProductID]],dProduct[ProductID],dProduct[CrateCost]))/_xlfn.XLOOKUP(fSales[[#This Row],[ProductID]],dProduct[ProductID],dProduct[CratePrice])</f>
        <v>0.43999999999999995</v>
      </c>
      <c r="N639" t="str">
        <f>_xlfn.XLOOKUP(fSales[[#This Row],[SalesRepID]],dPSalesRep[SalesRepID],dPSalesRep[SalesRep])</f>
        <v>Timmy Kips</v>
      </c>
      <c r="O639" t="str">
        <f>_xlfn.XLOOKUP(fSales[[#This Row],[SalesRepID]],dPSalesRep[SalesRepID],dPSalesRep[Region])</f>
        <v>East</v>
      </c>
      <c r="P639" t="str">
        <f>_xlfn.XLOOKUP(fSales[[#This Row],[ProductID]],dProduct[ProductID],dProduct[Product])</f>
        <v>Kiwi</v>
      </c>
      <c r="Q639">
        <f>_xlfn.XLOOKUP(fSales[[#This Row],[ProductID]],dProduct[ProductID],dProduct[CratePrice])-_xlfn.XLOOKUP(fSales[[#This Row],[ProductID]],dProduct[ProductID],dProduct[CrateCost])</f>
        <v>9.8999999999999986</v>
      </c>
      <c r="R639">
        <f>_xlfn.XLOOKUP(fSales[[#This Row],[ProductID]],dProduct[ProductID],dProduct[CratePrice])</f>
        <v>22.5</v>
      </c>
      <c r="S639">
        <f>_xlfn.XLOOKUP(fSales[[#This Row],[ProductID]],dProduct[ProductID],dProduct[CrateCost])</f>
        <v>12.600000000000001</v>
      </c>
    </row>
    <row r="640" spans="7:19" x14ac:dyDescent="0.25">
      <c r="G640" s="2">
        <v>45724</v>
      </c>
      <c r="H640">
        <v>144</v>
      </c>
      <c r="I640" t="s">
        <v>28</v>
      </c>
      <c r="J640" t="s">
        <v>32</v>
      </c>
      <c r="K640">
        <f>_xlfn.XLOOKUP(fSales[[#This Row],[ProductID]],dProduct[ProductID],dProduct[CratePrice])*fSales[[#This Row],[Units]]</f>
        <v>6292.8</v>
      </c>
      <c r="L640">
        <f>fSales[[#This Row],[Total sales]]-_xlfn.XLOOKUP(fSales[[#This Row],[ProductID]],dProduct[ProductID],dProduct[CrateCost])*fSales[[#This Row],[Units]]</f>
        <v>2642.9760000000001</v>
      </c>
      <c r="M640">
        <f>(_xlfn.XLOOKUP(fSales[[#This Row],[ProductID]],dProduct[ProductID],dProduct[CratePrice])-_xlfn.XLOOKUP(fSales[[#This Row],[ProductID]],dProduct[ProductID],dProduct[CrateCost]))/_xlfn.XLOOKUP(fSales[[#This Row],[ProductID]],dProduct[ProductID],dProduct[CratePrice])</f>
        <v>0.42000000000000004</v>
      </c>
      <c r="N640" t="str">
        <f>_xlfn.XLOOKUP(fSales[[#This Row],[SalesRepID]],dPSalesRep[SalesRepID],dPSalesRep[SalesRep])</f>
        <v>Shihara Fazzaa</v>
      </c>
      <c r="O640" t="str">
        <f>_xlfn.XLOOKUP(fSales[[#This Row],[SalesRepID]],dPSalesRep[SalesRepID],dPSalesRep[Region])</f>
        <v>East</v>
      </c>
      <c r="P640" t="str">
        <f>_xlfn.XLOOKUP(fSales[[#This Row],[ProductID]],dProduct[ProductID],dProduct[Product])</f>
        <v>Cherry</v>
      </c>
      <c r="Q640">
        <f>_xlfn.XLOOKUP(fSales[[#This Row],[ProductID]],dProduct[ProductID],dProduct[CratePrice])-_xlfn.XLOOKUP(fSales[[#This Row],[ProductID]],dProduct[ProductID],dProduct[CrateCost])</f>
        <v>18.354000000000003</v>
      </c>
      <c r="R640">
        <f>_xlfn.XLOOKUP(fSales[[#This Row],[ProductID]],dProduct[ProductID],dProduct[CratePrice])</f>
        <v>43.7</v>
      </c>
      <c r="S640">
        <f>_xlfn.XLOOKUP(fSales[[#This Row],[ProductID]],dProduct[ProductID],dProduct[CrateCost])</f>
        <v>25.346</v>
      </c>
    </row>
    <row r="641" spans="7:19" x14ac:dyDescent="0.25">
      <c r="G641" s="2">
        <v>45725</v>
      </c>
      <c r="H641">
        <v>168</v>
      </c>
      <c r="I641" t="s">
        <v>21</v>
      </c>
      <c r="J641" t="s">
        <v>32</v>
      </c>
      <c r="K641">
        <f>_xlfn.XLOOKUP(fSales[[#This Row],[ProductID]],dProduct[ProductID],dProduct[CratePrice])*fSales[[#This Row],[Units]]</f>
        <v>3780</v>
      </c>
      <c r="L641">
        <f>fSales[[#This Row],[Total sales]]-_xlfn.XLOOKUP(fSales[[#This Row],[ProductID]],dProduct[ProductID],dProduct[CrateCost])*fSales[[#This Row],[Units]]</f>
        <v>1663.1999999999998</v>
      </c>
      <c r="M641">
        <f>(_xlfn.XLOOKUP(fSales[[#This Row],[ProductID]],dProduct[ProductID],dProduct[CratePrice])-_xlfn.XLOOKUP(fSales[[#This Row],[ProductID]],dProduct[ProductID],dProduct[CrateCost]))/_xlfn.XLOOKUP(fSales[[#This Row],[ProductID]],dProduct[ProductID],dProduct[CratePrice])</f>
        <v>0.43999999999999995</v>
      </c>
      <c r="N641" t="str">
        <f>_xlfn.XLOOKUP(fSales[[#This Row],[SalesRepID]],dPSalesRep[SalesRepID],dPSalesRep[SalesRep])</f>
        <v>Shihara Fazzaa</v>
      </c>
      <c r="O641" t="str">
        <f>_xlfn.XLOOKUP(fSales[[#This Row],[SalesRepID]],dPSalesRep[SalesRepID],dPSalesRep[Region])</f>
        <v>East</v>
      </c>
      <c r="P641" t="str">
        <f>_xlfn.XLOOKUP(fSales[[#This Row],[ProductID]],dProduct[ProductID],dProduct[Product])</f>
        <v>Kiwi</v>
      </c>
      <c r="Q641">
        <f>_xlfn.XLOOKUP(fSales[[#This Row],[ProductID]],dProduct[ProductID],dProduct[CratePrice])-_xlfn.XLOOKUP(fSales[[#This Row],[ProductID]],dProduct[ProductID],dProduct[CrateCost])</f>
        <v>9.8999999999999986</v>
      </c>
      <c r="R641">
        <f>_xlfn.XLOOKUP(fSales[[#This Row],[ProductID]],dProduct[ProductID],dProduct[CratePrice])</f>
        <v>22.5</v>
      </c>
      <c r="S641">
        <f>_xlfn.XLOOKUP(fSales[[#This Row],[ProductID]],dProduct[ProductID],dProduct[CrateCost])</f>
        <v>12.600000000000001</v>
      </c>
    </row>
    <row r="642" spans="7:19" x14ac:dyDescent="0.25">
      <c r="G642" s="2">
        <v>45725</v>
      </c>
      <c r="H642">
        <v>168</v>
      </c>
      <c r="I642" t="s">
        <v>21</v>
      </c>
      <c r="J642" t="s">
        <v>37</v>
      </c>
      <c r="K642">
        <f>_xlfn.XLOOKUP(fSales[[#This Row],[ProductID]],dProduct[ProductID],dProduct[CratePrice])*fSales[[#This Row],[Units]]</f>
        <v>3780</v>
      </c>
      <c r="L642">
        <f>fSales[[#This Row],[Total sales]]-_xlfn.XLOOKUP(fSales[[#This Row],[ProductID]],dProduct[ProductID],dProduct[CrateCost])*fSales[[#This Row],[Units]]</f>
        <v>1663.1999999999998</v>
      </c>
      <c r="M642">
        <f>(_xlfn.XLOOKUP(fSales[[#This Row],[ProductID]],dProduct[ProductID],dProduct[CratePrice])-_xlfn.XLOOKUP(fSales[[#This Row],[ProductID]],dProduct[ProductID],dProduct[CrateCost]))/_xlfn.XLOOKUP(fSales[[#This Row],[ProductID]],dProduct[ProductID],dProduct[CratePrice])</f>
        <v>0.43999999999999995</v>
      </c>
      <c r="N642" t="str">
        <f>_xlfn.XLOOKUP(fSales[[#This Row],[SalesRepID]],dPSalesRep[SalesRepID],dPSalesRep[SalesRep])</f>
        <v>Chantel Mims</v>
      </c>
      <c r="O642" t="str">
        <f>_xlfn.XLOOKUP(fSales[[#This Row],[SalesRepID]],dPSalesRep[SalesRepID],dPSalesRep[Region])</f>
        <v>NW</v>
      </c>
      <c r="P642" t="str">
        <f>_xlfn.XLOOKUP(fSales[[#This Row],[ProductID]],dProduct[ProductID],dProduct[Product])</f>
        <v>Kiwi</v>
      </c>
      <c r="Q642">
        <f>_xlfn.XLOOKUP(fSales[[#This Row],[ProductID]],dProduct[ProductID],dProduct[CratePrice])-_xlfn.XLOOKUP(fSales[[#This Row],[ProductID]],dProduct[ProductID],dProduct[CrateCost])</f>
        <v>9.8999999999999986</v>
      </c>
      <c r="R642">
        <f>_xlfn.XLOOKUP(fSales[[#This Row],[ProductID]],dProduct[ProductID],dProduct[CratePrice])</f>
        <v>22.5</v>
      </c>
      <c r="S642">
        <f>_xlfn.XLOOKUP(fSales[[#This Row],[ProductID]],dProduct[ProductID],dProduct[CrateCost])</f>
        <v>12.600000000000001</v>
      </c>
    </row>
    <row r="643" spans="7:19" x14ac:dyDescent="0.25">
      <c r="G643" s="2">
        <v>45725</v>
      </c>
      <c r="H643">
        <v>108</v>
      </c>
      <c r="I643" t="s">
        <v>19</v>
      </c>
      <c r="J643" t="s">
        <v>22</v>
      </c>
      <c r="K643">
        <f>_xlfn.XLOOKUP(fSales[[#This Row],[ProductID]],dProduct[ProductID],dProduct[CratePrice])*fSales[[#This Row],[Units]]</f>
        <v>3780</v>
      </c>
      <c r="L643">
        <f>fSales[[#This Row],[Total sales]]-_xlfn.XLOOKUP(fSales[[#This Row],[ProductID]],dProduct[ProductID],dProduct[CrateCost])*fSales[[#This Row],[Units]]</f>
        <v>2116.8000000000002</v>
      </c>
      <c r="M643">
        <f>(_xlfn.XLOOKUP(fSales[[#This Row],[ProductID]],dProduct[ProductID],dProduct[CratePrice])-_xlfn.XLOOKUP(fSales[[#This Row],[ProductID]],dProduct[ProductID],dProduct[CrateCost]))/_xlfn.XLOOKUP(fSales[[#This Row],[ProductID]],dProduct[ProductID],dProduct[CratePrice])</f>
        <v>0.56000000000000005</v>
      </c>
      <c r="N643" t="str">
        <f>_xlfn.XLOOKUP(fSales[[#This Row],[SalesRepID]],dPSalesRep[SalesRepID],dPSalesRep[SalesRep])</f>
        <v>Timmy Kips</v>
      </c>
      <c r="O643" t="str">
        <f>_xlfn.XLOOKUP(fSales[[#This Row],[SalesRepID]],dPSalesRep[SalesRepID],dPSalesRep[Region])</f>
        <v>East</v>
      </c>
      <c r="P643" t="str">
        <f>_xlfn.XLOOKUP(fSales[[#This Row],[ProductID]],dProduct[ProductID],dProduct[Product])</f>
        <v>Apple</v>
      </c>
      <c r="Q643">
        <f>_xlfn.XLOOKUP(fSales[[#This Row],[ProductID]],dProduct[ProductID],dProduct[CratePrice])-_xlfn.XLOOKUP(fSales[[#This Row],[ProductID]],dProduct[ProductID],dProduct[CrateCost])</f>
        <v>19.600000000000001</v>
      </c>
      <c r="R643">
        <f>_xlfn.XLOOKUP(fSales[[#This Row],[ProductID]],dProduct[ProductID],dProduct[CratePrice])</f>
        <v>35</v>
      </c>
      <c r="S643">
        <f>_xlfn.XLOOKUP(fSales[[#This Row],[ProductID]],dProduct[ProductID],dProduct[CrateCost])</f>
        <v>15.4</v>
      </c>
    </row>
    <row r="644" spans="7:19" x14ac:dyDescent="0.25">
      <c r="G644" s="2">
        <v>45725</v>
      </c>
      <c r="H644">
        <v>24</v>
      </c>
      <c r="I644" t="s">
        <v>19</v>
      </c>
      <c r="J644" t="s">
        <v>29</v>
      </c>
      <c r="K644">
        <f>_xlfn.XLOOKUP(fSales[[#This Row],[ProductID]],dProduct[ProductID],dProduct[CratePrice])*fSales[[#This Row],[Units]]</f>
        <v>840</v>
      </c>
      <c r="L644">
        <f>fSales[[#This Row],[Total sales]]-_xlfn.XLOOKUP(fSales[[#This Row],[ProductID]],dProduct[ProductID],dProduct[CrateCost])*fSales[[#This Row],[Units]]</f>
        <v>470.4</v>
      </c>
      <c r="M644">
        <f>(_xlfn.XLOOKUP(fSales[[#This Row],[ProductID]],dProduct[ProductID],dProduct[CratePrice])-_xlfn.XLOOKUP(fSales[[#This Row],[ProductID]],dProduct[ProductID],dProduct[CrateCost]))/_xlfn.XLOOKUP(fSales[[#This Row],[ProductID]],dProduct[ProductID],dProduct[CratePrice])</f>
        <v>0.56000000000000005</v>
      </c>
      <c r="N644" t="str">
        <f>_xlfn.XLOOKUP(fSales[[#This Row],[SalesRepID]],dPSalesRep[SalesRepID],dPSalesRep[SalesRep])</f>
        <v>Sioux Best</v>
      </c>
      <c r="O644" t="str">
        <f>_xlfn.XLOOKUP(fSales[[#This Row],[SalesRepID]],dPSalesRep[SalesRepID],dPSalesRep[Region])</f>
        <v>West</v>
      </c>
      <c r="P644" t="str">
        <f>_xlfn.XLOOKUP(fSales[[#This Row],[ProductID]],dProduct[ProductID],dProduct[Product])</f>
        <v>Apple</v>
      </c>
      <c r="Q644">
        <f>_xlfn.XLOOKUP(fSales[[#This Row],[ProductID]],dProduct[ProductID],dProduct[CratePrice])-_xlfn.XLOOKUP(fSales[[#This Row],[ProductID]],dProduct[ProductID],dProduct[CrateCost])</f>
        <v>19.600000000000001</v>
      </c>
      <c r="R644">
        <f>_xlfn.XLOOKUP(fSales[[#This Row],[ProductID]],dProduct[ProductID],dProduct[CratePrice])</f>
        <v>35</v>
      </c>
      <c r="S644">
        <f>_xlfn.XLOOKUP(fSales[[#This Row],[ProductID]],dProduct[ProductID],dProduct[CrateCost])</f>
        <v>15.4</v>
      </c>
    </row>
    <row r="645" spans="7:19" x14ac:dyDescent="0.25">
      <c r="G645" s="2">
        <v>45725</v>
      </c>
      <c r="H645">
        <v>84</v>
      </c>
      <c r="I645" t="s">
        <v>26</v>
      </c>
      <c r="J645" t="s">
        <v>52</v>
      </c>
      <c r="K645">
        <f>_xlfn.XLOOKUP(fSales[[#This Row],[ProductID]],dProduct[ProductID],dProduct[CratePrice])*fSales[[#This Row],[Units]]</f>
        <v>2499</v>
      </c>
      <c r="L645">
        <f>fSales[[#This Row],[Total sales]]-_xlfn.XLOOKUP(fSales[[#This Row],[ProductID]],dProduct[ProductID],dProduct[CrateCost])*fSales[[#This Row],[Units]]</f>
        <v>1049.5800000000002</v>
      </c>
      <c r="M645">
        <f>(_xlfn.XLOOKUP(fSales[[#This Row],[ProductID]],dProduct[ProductID],dProduct[CratePrice])-_xlfn.XLOOKUP(fSales[[#This Row],[ProductID]],dProduct[ProductID],dProduct[CrateCost]))/_xlfn.XLOOKUP(fSales[[#This Row],[ProductID]],dProduct[ProductID],dProduct[CratePrice])</f>
        <v>0.42000000000000004</v>
      </c>
      <c r="N645" t="str">
        <f>_xlfn.XLOOKUP(fSales[[#This Row],[SalesRepID]],dPSalesRep[SalesRepID],dPSalesRep[SalesRep])</f>
        <v>Smitty Rad</v>
      </c>
      <c r="O645" t="str">
        <f>_xlfn.XLOOKUP(fSales[[#This Row],[SalesRepID]],dPSalesRep[SalesRepID],dPSalesRep[Region])</f>
        <v>MidWest</v>
      </c>
      <c r="P645" t="str">
        <f>_xlfn.XLOOKUP(fSales[[#This Row],[ProductID]],dProduct[ProductID],dProduct[Product])</f>
        <v>Orange</v>
      </c>
      <c r="Q645">
        <f>_xlfn.XLOOKUP(fSales[[#This Row],[ProductID]],dProduct[ProductID],dProduct[CratePrice])-_xlfn.XLOOKUP(fSales[[#This Row],[ProductID]],dProduct[ProductID],dProduct[CrateCost])</f>
        <v>12.495000000000001</v>
      </c>
      <c r="R645">
        <f>_xlfn.XLOOKUP(fSales[[#This Row],[ProductID]],dProduct[ProductID],dProduct[CratePrice])</f>
        <v>29.75</v>
      </c>
      <c r="S645">
        <f>_xlfn.XLOOKUP(fSales[[#This Row],[ProductID]],dProduct[ProductID],dProduct[CrateCost])</f>
        <v>17.254999999999999</v>
      </c>
    </row>
    <row r="646" spans="7:19" x14ac:dyDescent="0.25">
      <c r="G646" s="2">
        <v>45726</v>
      </c>
      <c r="H646">
        <v>216</v>
      </c>
      <c r="I646" t="s">
        <v>28</v>
      </c>
      <c r="J646" t="s">
        <v>32</v>
      </c>
      <c r="K646">
        <f>_xlfn.XLOOKUP(fSales[[#This Row],[ProductID]],dProduct[ProductID],dProduct[CratePrice])*fSales[[#This Row],[Units]]</f>
        <v>9439.2000000000007</v>
      </c>
      <c r="L646">
        <f>fSales[[#This Row],[Total sales]]-_xlfn.XLOOKUP(fSales[[#This Row],[ProductID]],dProduct[ProductID],dProduct[CrateCost])*fSales[[#This Row],[Units]]</f>
        <v>3964.4640000000009</v>
      </c>
      <c r="M646">
        <f>(_xlfn.XLOOKUP(fSales[[#This Row],[ProductID]],dProduct[ProductID],dProduct[CratePrice])-_xlfn.XLOOKUP(fSales[[#This Row],[ProductID]],dProduct[ProductID],dProduct[CrateCost]))/_xlfn.XLOOKUP(fSales[[#This Row],[ProductID]],dProduct[ProductID],dProduct[CratePrice])</f>
        <v>0.42000000000000004</v>
      </c>
      <c r="N646" t="str">
        <f>_xlfn.XLOOKUP(fSales[[#This Row],[SalesRepID]],dPSalesRep[SalesRepID],dPSalesRep[SalesRep])</f>
        <v>Shihara Fazzaa</v>
      </c>
      <c r="O646" t="str">
        <f>_xlfn.XLOOKUP(fSales[[#This Row],[SalesRepID]],dPSalesRep[SalesRepID],dPSalesRep[Region])</f>
        <v>East</v>
      </c>
      <c r="P646" t="str">
        <f>_xlfn.XLOOKUP(fSales[[#This Row],[ProductID]],dProduct[ProductID],dProduct[Product])</f>
        <v>Cherry</v>
      </c>
      <c r="Q646">
        <f>_xlfn.XLOOKUP(fSales[[#This Row],[ProductID]],dProduct[ProductID],dProduct[CratePrice])-_xlfn.XLOOKUP(fSales[[#This Row],[ProductID]],dProduct[ProductID],dProduct[CrateCost])</f>
        <v>18.354000000000003</v>
      </c>
      <c r="R646">
        <f>_xlfn.XLOOKUP(fSales[[#This Row],[ProductID]],dProduct[ProductID],dProduct[CratePrice])</f>
        <v>43.7</v>
      </c>
      <c r="S646">
        <f>_xlfn.XLOOKUP(fSales[[#This Row],[ProductID]],dProduct[ProductID],dProduct[CrateCost])</f>
        <v>25.346</v>
      </c>
    </row>
    <row r="647" spans="7:19" x14ac:dyDescent="0.25">
      <c r="G647" s="2">
        <v>45726</v>
      </c>
      <c r="H647">
        <v>72</v>
      </c>
      <c r="I647" t="s">
        <v>28</v>
      </c>
      <c r="J647" t="s">
        <v>52</v>
      </c>
      <c r="K647">
        <f>_xlfn.XLOOKUP(fSales[[#This Row],[ProductID]],dProduct[ProductID],dProduct[CratePrice])*fSales[[#This Row],[Units]]</f>
        <v>3146.4</v>
      </c>
      <c r="L647">
        <f>fSales[[#This Row],[Total sales]]-_xlfn.XLOOKUP(fSales[[#This Row],[ProductID]],dProduct[ProductID],dProduct[CrateCost])*fSales[[#This Row],[Units]]</f>
        <v>1321.4880000000001</v>
      </c>
      <c r="M647">
        <f>(_xlfn.XLOOKUP(fSales[[#This Row],[ProductID]],dProduct[ProductID],dProduct[CratePrice])-_xlfn.XLOOKUP(fSales[[#This Row],[ProductID]],dProduct[ProductID],dProduct[CrateCost]))/_xlfn.XLOOKUP(fSales[[#This Row],[ProductID]],dProduct[ProductID],dProduct[CratePrice])</f>
        <v>0.42000000000000004</v>
      </c>
      <c r="N647" t="str">
        <f>_xlfn.XLOOKUP(fSales[[#This Row],[SalesRepID]],dPSalesRep[SalesRepID],dPSalesRep[SalesRep])</f>
        <v>Smitty Rad</v>
      </c>
      <c r="O647" t="str">
        <f>_xlfn.XLOOKUP(fSales[[#This Row],[SalesRepID]],dPSalesRep[SalesRepID],dPSalesRep[Region])</f>
        <v>MidWest</v>
      </c>
      <c r="P647" t="str">
        <f>_xlfn.XLOOKUP(fSales[[#This Row],[ProductID]],dProduct[ProductID],dProduct[Product])</f>
        <v>Cherry</v>
      </c>
      <c r="Q647">
        <f>_xlfn.XLOOKUP(fSales[[#This Row],[ProductID]],dProduct[ProductID],dProduct[CratePrice])-_xlfn.XLOOKUP(fSales[[#This Row],[ProductID]],dProduct[ProductID],dProduct[CrateCost])</f>
        <v>18.354000000000003</v>
      </c>
      <c r="R647">
        <f>_xlfn.XLOOKUP(fSales[[#This Row],[ProductID]],dProduct[ProductID],dProduct[CratePrice])</f>
        <v>43.7</v>
      </c>
      <c r="S647">
        <f>_xlfn.XLOOKUP(fSales[[#This Row],[ProductID]],dProduct[ProductID],dProduct[CrateCost])</f>
        <v>25.346</v>
      </c>
    </row>
    <row r="648" spans="7:19" x14ac:dyDescent="0.25">
      <c r="G648" s="2">
        <v>45727</v>
      </c>
      <c r="H648">
        <v>60</v>
      </c>
      <c r="I648" t="s">
        <v>21</v>
      </c>
      <c r="J648" t="s">
        <v>22</v>
      </c>
      <c r="K648">
        <f>_xlfn.XLOOKUP(fSales[[#This Row],[ProductID]],dProduct[ProductID],dProduct[CratePrice])*fSales[[#This Row],[Units]]</f>
        <v>1350</v>
      </c>
      <c r="L648">
        <f>fSales[[#This Row],[Total sales]]-_xlfn.XLOOKUP(fSales[[#This Row],[ProductID]],dProduct[ProductID],dProduct[CrateCost])*fSales[[#This Row],[Units]]</f>
        <v>593.99999999999989</v>
      </c>
      <c r="M648">
        <f>(_xlfn.XLOOKUP(fSales[[#This Row],[ProductID]],dProduct[ProductID],dProduct[CratePrice])-_xlfn.XLOOKUP(fSales[[#This Row],[ProductID]],dProduct[ProductID],dProduct[CrateCost]))/_xlfn.XLOOKUP(fSales[[#This Row],[ProductID]],dProduct[ProductID],dProduct[CratePrice])</f>
        <v>0.43999999999999995</v>
      </c>
      <c r="N648" t="str">
        <f>_xlfn.XLOOKUP(fSales[[#This Row],[SalesRepID]],dPSalesRep[SalesRepID],dPSalesRep[SalesRep])</f>
        <v>Timmy Kips</v>
      </c>
      <c r="O648" t="str">
        <f>_xlfn.XLOOKUP(fSales[[#This Row],[SalesRepID]],dPSalesRep[SalesRepID],dPSalesRep[Region])</f>
        <v>East</v>
      </c>
      <c r="P648" t="str">
        <f>_xlfn.XLOOKUP(fSales[[#This Row],[ProductID]],dProduct[ProductID],dProduct[Product])</f>
        <v>Kiwi</v>
      </c>
      <c r="Q648">
        <f>_xlfn.XLOOKUP(fSales[[#This Row],[ProductID]],dProduct[ProductID],dProduct[CratePrice])-_xlfn.XLOOKUP(fSales[[#This Row],[ProductID]],dProduct[ProductID],dProduct[CrateCost])</f>
        <v>9.8999999999999986</v>
      </c>
      <c r="R648">
        <f>_xlfn.XLOOKUP(fSales[[#This Row],[ProductID]],dProduct[ProductID],dProduct[CratePrice])</f>
        <v>22.5</v>
      </c>
      <c r="S648">
        <f>_xlfn.XLOOKUP(fSales[[#This Row],[ProductID]],dProduct[ProductID],dProduct[CrateCost])</f>
        <v>12.600000000000001</v>
      </c>
    </row>
    <row r="649" spans="7:19" x14ac:dyDescent="0.25">
      <c r="G649" s="2">
        <v>45727</v>
      </c>
      <c r="H649">
        <v>24</v>
      </c>
      <c r="I649" t="s">
        <v>19</v>
      </c>
      <c r="J649" t="s">
        <v>22</v>
      </c>
      <c r="K649">
        <f>_xlfn.XLOOKUP(fSales[[#This Row],[ProductID]],dProduct[ProductID],dProduct[CratePrice])*fSales[[#This Row],[Units]]</f>
        <v>840</v>
      </c>
      <c r="L649">
        <f>fSales[[#This Row],[Total sales]]-_xlfn.XLOOKUP(fSales[[#This Row],[ProductID]],dProduct[ProductID],dProduct[CrateCost])*fSales[[#This Row],[Units]]</f>
        <v>470.4</v>
      </c>
      <c r="M649">
        <f>(_xlfn.XLOOKUP(fSales[[#This Row],[ProductID]],dProduct[ProductID],dProduct[CratePrice])-_xlfn.XLOOKUP(fSales[[#This Row],[ProductID]],dProduct[ProductID],dProduct[CrateCost]))/_xlfn.XLOOKUP(fSales[[#This Row],[ProductID]],dProduct[ProductID],dProduct[CratePrice])</f>
        <v>0.56000000000000005</v>
      </c>
      <c r="N649" t="str">
        <f>_xlfn.XLOOKUP(fSales[[#This Row],[SalesRepID]],dPSalesRep[SalesRepID],dPSalesRep[SalesRep])</f>
        <v>Timmy Kips</v>
      </c>
      <c r="O649" t="str">
        <f>_xlfn.XLOOKUP(fSales[[#This Row],[SalesRepID]],dPSalesRep[SalesRepID],dPSalesRep[Region])</f>
        <v>East</v>
      </c>
      <c r="P649" t="str">
        <f>_xlfn.XLOOKUP(fSales[[#This Row],[ProductID]],dProduct[ProductID],dProduct[Product])</f>
        <v>Apple</v>
      </c>
      <c r="Q649">
        <f>_xlfn.XLOOKUP(fSales[[#This Row],[ProductID]],dProduct[ProductID],dProduct[CratePrice])-_xlfn.XLOOKUP(fSales[[#This Row],[ProductID]],dProduct[ProductID],dProduct[CrateCost])</f>
        <v>19.600000000000001</v>
      </c>
      <c r="R649">
        <f>_xlfn.XLOOKUP(fSales[[#This Row],[ProductID]],dProduct[ProductID],dProduct[CratePrice])</f>
        <v>35</v>
      </c>
      <c r="S649">
        <f>_xlfn.XLOOKUP(fSales[[#This Row],[ProductID]],dProduct[ProductID],dProduct[CrateCost])</f>
        <v>15.4</v>
      </c>
    </row>
    <row r="650" spans="7:19" x14ac:dyDescent="0.25">
      <c r="G650" s="2">
        <v>45728</v>
      </c>
      <c r="H650">
        <v>168</v>
      </c>
      <c r="I650" t="s">
        <v>21</v>
      </c>
      <c r="J650" t="s">
        <v>22</v>
      </c>
      <c r="K650">
        <f>_xlfn.XLOOKUP(fSales[[#This Row],[ProductID]],dProduct[ProductID],dProduct[CratePrice])*fSales[[#This Row],[Units]]</f>
        <v>3780</v>
      </c>
      <c r="L650">
        <f>fSales[[#This Row],[Total sales]]-_xlfn.XLOOKUP(fSales[[#This Row],[ProductID]],dProduct[ProductID],dProduct[CrateCost])*fSales[[#This Row],[Units]]</f>
        <v>1663.1999999999998</v>
      </c>
      <c r="M650">
        <f>(_xlfn.XLOOKUP(fSales[[#This Row],[ProductID]],dProduct[ProductID],dProduct[CratePrice])-_xlfn.XLOOKUP(fSales[[#This Row],[ProductID]],dProduct[ProductID],dProduct[CrateCost]))/_xlfn.XLOOKUP(fSales[[#This Row],[ProductID]],dProduct[ProductID],dProduct[CratePrice])</f>
        <v>0.43999999999999995</v>
      </c>
      <c r="N650" t="str">
        <f>_xlfn.XLOOKUP(fSales[[#This Row],[SalesRepID]],dPSalesRep[SalesRepID],dPSalesRep[SalesRep])</f>
        <v>Timmy Kips</v>
      </c>
      <c r="O650" t="str">
        <f>_xlfn.XLOOKUP(fSales[[#This Row],[SalesRepID]],dPSalesRep[SalesRepID],dPSalesRep[Region])</f>
        <v>East</v>
      </c>
      <c r="P650" t="str">
        <f>_xlfn.XLOOKUP(fSales[[#This Row],[ProductID]],dProduct[ProductID],dProduct[Product])</f>
        <v>Kiwi</v>
      </c>
      <c r="Q650">
        <f>_xlfn.XLOOKUP(fSales[[#This Row],[ProductID]],dProduct[ProductID],dProduct[CratePrice])-_xlfn.XLOOKUP(fSales[[#This Row],[ProductID]],dProduct[ProductID],dProduct[CrateCost])</f>
        <v>9.8999999999999986</v>
      </c>
      <c r="R650">
        <f>_xlfn.XLOOKUP(fSales[[#This Row],[ProductID]],dProduct[ProductID],dProduct[CratePrice])</f>
        <v>22.5</v>
      </c>
      <c r="S650">
        <f>_xlfn.XLOOKUP(fSales[[#This Row],[ProductID]],dProduct[ProductID],dProduct[CrateCost])</f>
        <v>12.600000000000001</v>
      </c>
    </row>
    <row r="651" spans="7:19" x14ac:dyDescent="0.25">
      <c r="G651" s="2">
        <v>45728</v>
      </c>
      <c r="H651">
        <v>156</v>
      </c>
      <c r="I651" t="s">
        <v>34</v>
      </c>
      <c r="J651" t="s">
        <v>32</v>
      </c>
      <c r="K651">
        <f>_xlfn.XLOOKUP(fSales[[#This Row],[ProductID]],dProduct[ProductID],dProduct[CratePrice])*fSales[[#This Row],[Units]]</f>
        <v>2730</v>
      </c>
      <c r="L651">
        <f>fSales[[#This Row],[Total sales]]-_xlfn.XLOOKUP(fSales[[#This Row],[ProductID]],dProduct[ProductID],dProduct[CrateCost])*fSales[[#This Row],[Units]]</f>
        <v>900.89999999999986</v>
      </c>
      <c r="M651">
        <f>(_xlfn.XLOOKUP(fSales[[#This Row],[ProductID]],dProduct[ProductID],dProduct[CratePrice])-_xlfn.XLOOKUP(fSales[[#This Row],[ProductID]],dProduct[ProductID],dProduct[CrateCost]))/_xlfn.XLOOKUP(fSales[[#This Row],[ProductID]],dProduct[ProductID],dProduct[CratePrice])</f>
        <v>0.3299999999999999</v>
      </c>
      <c r="N651" t="str">
        <f>_xlfn.XLOOKUP(fSales[[#This Row],[SalesRepID]],dPSalesRep[SalesRepID],dPSalesRep[SalesRep])</f>
        <v>Shihara Fazzaa</v>
      </c>
      <c r="O651" t="str">
        <f>_xlfn.XLOOKUP(fSales[[#This Row],[SalesRepID]],dPSalesRep[SalesRepID],dPSalesRep[Region])</f>
        <v>East</v>
      </c>
      <c r="P651" t="str">
        <f>_xlfn.XLOOKUP(fSales[[#This Row],[ProductID]],dProduct[ProductID],dProduct[Product])</f>
        <v>Banana</v>
      </c>
      <c r="Q651">
        <f>_xlfn.XLOOKUP(fSales[[#This Row],[ProductID]],dProduct[ProductID],dProduct[CratePrice])-_xlfn.XLOOKUP(fSales[[#This Row],[ProductID]],dProduct[ProductID],dProduct[CrateCost])</f>
        <v>5.7749999999999986</v>
      </c>
      <c r="R651">
        <f>_xlfn.XLOOKUP(fSales[[#This Row],[ProductID]],dProduct[ProductID],dProduct[CratePrice])</f>
        <v>17.5</v>
      </c>
      <c r="S651">
        <f>_xlfn.XLOOKUP(fSales[[#This Row],[ProductID]],dProduct[ProductID],dProduct[CrateCost])</f>
        <v>11.725000000000001</v>
      </c>
    </row>
    <row r="652" spans="7:19" x14ac:dyDescent="0.25">
      <c r="G652" s="2">
        <v>45731</v>
      </c>
      <c r="H652">
        <v>192</v>
      </c>
      <c r="I652" t="s">
        <v>21</v>
      </c>
      <c r="J652" t="s">
        <v>52</v>
      </c>
      <c r="K652">
        <f>_xlfn.XLOOKUP(fSales[[#This Row],[ProductID]],dProduct[ProductID],dProduct[CratePrice])*fSales[[#This Row],[Units]]</f>
        <v>4320</v>
      </c>
      <c r="L652">
        <f>fSales[[#This Row],[Total sales]]-_xlfn.XLOOKUP(fSales[[#This Row],[ProductID]],dProduct[ProductID],dProduct[CrateCost])*fSales[[#This Row],[Units]]</f>
        <v>1900.7999999999997</v>
      </c>
      <c r="M652">
        <f>(_xlfn.XLOOKUP(fSales[[#This Row],[ProductID]],dProduct[ProductID],dProduct[CratePrice])-_xlfn.XLOOKUP(fSales[[#This Row],[ProductID]],dProduct[ProductID],dProduct[CrateCost]))/_xlfn.XLOOKUP(fSales[[#This Row],[ProductID]],dProduct[ProductID],dProduct[CratePrice])</f>
        <v>0.43999999999999995</v>
      </c>
      <c r="N652" t="str">
        <f>_xlfn.XLOOKUP(fSales[[#This Row],[SalesRepID]],dPSalesRep[SalesRepID],dPSalesRep[SalesRep])</f>
        <v>Smitty Rad</v>
      </c>
      <c r="O652" t="str">
        <f>_xlfn.XLOOKUP(fSales[[#This Row],[SalesRepID]],dPSalesRep[SalesRepID],dPSalesRep[Region])</f>
        <v>MidWest</v>
      </c>
      <c r="P652" t="str">
        <f>_xlfn.XLOOKUP(fSales[[#This Row],[ProductID]],dProduct[ProductID],dProduct[Product])</f>
        <v>Kiwi</v>
      </c>
      <c r="Q652">
        <f>_xlfn.XLOOKUP(fSales[[#This Row],[ProductID]],dProduct[ProductID],dProduct[CratePrice])-_xlfn.XLOOKUP(fSales[[#This Row],[ProductID]],dProduct[ProductID],dProduct[CrateCost])</f>
        <v>9.8999999999999986</v>
      </c>
      <c r="R652">
        <f>_xlfn.XLOOKUP(fSales[[#This Row],[ProductID]],dProduct[ProductID],dProduct[CratePrice])</f>
        <v>22.5</v>
      </c>
      <c r="S652">
        <f>_xlfn.XLOOKUP(fSales[[#This Row],[ProductID]],dProduct[ProductID],dProduct[CrateCost])</f>
        <v>12.600000000000001</v>
      </c>
    </row>
    <row r="653" spans="7:19" x14ac:dyDescent="0.25">
      <c r="G653" s="2">
        <v>45731</v>
      </c>
      <c r="H653">
        <v>48</v>
      </c>
      <c r="I653" t="s">
        <v>26</v>
      </c>
      <c r="J653" t="s">
        <v>32</v>
      </c>
      <c r="K653">
        <f>_xlfn.XLOOKUP(fSales[[#This Row],[ProductID]],dProduct[ProductID],dProduct[CratePrice])*fSales[[#This Row],[Units]]</f>
        <v>1428</v>
      </c>
      <c r="L653">
        <f>fSales[[#This Row],[Total sales]]-_xlfn.XLOOKUP(fSales[[#This Row],[ProductID]],dProduct[ProductID],dProduct[CrateCost])*fSales[[#This Row],[Units]]</f>
        <v>599.76</v>
      </c>
      <c r="M653">
        <f>(_xlfn.XLOOKUP(fSales[[#This Row],[ProductID]],dProduct[ProductID],dProduct[CratePrice])-_xlfn.XLOOKUP(fSales[[#This Row],[ProductID]],dProduct[ProductID],dProduct[CrateCost]))/_xlfn.XLOOKUP(fSales[[#This Row],[ProductID]],dProduct[ProductID],dProduct[CratePrice])</f>
        <v>0.42000000000000004</v>
      </c>
      <c r="N653" t="str">
        <f>_xlfn.XLOOKUP(fSales[[#This Row],[SalesRepID]],dPSalesRep[SalesRepID],dPSalesRep[SalesRep])</f>
        <v>Shihara Fazzaa</v>
      </c>
      <c r="O653" t="str">
        <f>_xlfn.XLOOKUP(fSales[[#This Row],[SalesRepID]],dPSalesRep[SalesRepID],dPSalesRep[Region])</f>
        <v>East</v>
      </c>
      <c r="P653" t="str">
        <f>_xlfn.XLOOKUP(fSales[[#This Row],[ProductID]],dProduct[ProductID],dProduct[Product])</f>
        <v>Orange</v>
      </c>
      <c r="Q653">
        <f>_xlfn.XLOOKUP(fSales[[#This Row],[ProductID]],dProduct[ProductID],dProduct[CratePrice])-_xlfn.XLOOKUP(fSales[[#This Row],[ProductID]],dProduct[ProductID],dProduct[CrateCost])</f>
        <v>12.495000000000001</v>
      </c>
      <c r="R653">
        <f>_xlfn.XLOOKUP(fSales[[#This Row],[ProductID]],dProduct[ProductID],dProduct[CratePrice])</f>
        <v>29.75</v>
      </c>
      <c r="S653">
        <f>_xlfn.XLOOKUP(fSales[[#This Row],[ProductID]],dProduct[ProductID],dProduct[CrateCost])</f>
        <v>17.254999999999999</v>
      </c>
    </row>
    <row r="654" spans="7:19" x14ac:dyDescent="0.25">
      <c r="G654" s="2">
        <v>45732</v>
      </c>
      <c r="H654">
        <v>120</v>
      </c>
      <c r="I654" t="s">
        <v>34</v>
      </c>
      <c r="J654" t="s">
        <v>29</v>
      </c>
      <c r="K654">
        <f>_xlfn.XLOOKUP(fSales[[#This Row],[ProductID]],dProduct[ProductID],dProduct[CratePrice])*fSales[[#This Row],[Units]]</f>
        <v>2100</v>
      </c>
      <c r="L654">
        <f>fSales[[#This Row],[Total sales]]-_xlfn.XLOOKUP(fSales[[#This Row],[ProductID]],dProduct[ProductID],dProduct[CrateCost])*fSales[[#This Row],[Units]]</f>
        <v>692.99999999999977</v>
      </c>
      <c r="M654">
        <f>(_xlfn.XLOOKUP(fSales[[#This Row],[ProductID]],dProduct[ProductID],dProduct[CratePrice])-_xlfn.XLOOKUP(fSales[[#This Row],[ProductID]],dProduct[ProductID],dProduct[CrateCost]))/_xlfn.XLOOKUP(fSales[[#This Row],[ProductID]],dProduct[ProductID],dProduct[CratePrice])</f>
        <v>0.3299999999999999</v>
      </c>
      <c r="N654" t="str">
        <f>_xlfn.XLOOKUP(fSales[[#This Row],[SalesRepID]],dPSalesRep[SalesRepID],dPSalesRep[SalesRep])</f>
        <v>Sioux Best</v>
      </c>
      <c r="O654" t="str">
        <f>_xlfn.XLOOKUP(fSales[[#This Row],[SalesRepID]],dPSalesRep[SalesRepID],dPSalesRep[Region])</f>
        <v>West</v>
      </c>
      <c r="P654" t="str">
        <f>_xlfn.XLOOKUP(fSales[[#This Row],[ProductID]],dProduct[ProductID],dProduct[Product])</f>
        <v>Banana</v>
      </c>
      <c r="Q654">
        <f>_xlfn.XLOOKUP(fSales[[#This Row],[ProductID]],dProduct[ProductID],dProduct[CratePrice])-_xlfn.XLOOKUP(fSales[[#This Row],[ProductID]],dProduct[ProductID],dProduct[CrateCost])</f>
        <v>5.7749999999999986</v>
      </c>
      <c r="R654">
        <f>_xlfn.XLOOKUP(fSales[[#This Row],[ProductID]],dProduct[ProductID],dProduct[CratePrice])</f>
        <v>17.5</v>
      </c>
      <c r="S654">
        <f>_xlfn.XLOOKUP(fSales[[#This Row],[ProductID]],dProduct[ProductID],dProduct[CrateCost])</f>
        <v>11.725000000000001</v>
      </c>
    </row>
    <row r="655" spans="7:19" x14ac:dyDescent="0.25">
      <c r="G655" s="2">
        <v>45733</v>
      </c>
      <c r="H655">
        <v>72</v>
      </c>
      <c r="I655" t="s">
        <v>21</v>
      </c>
      <c r="J655" t="s">
        <v>52</v>
      </c>
      <c r="K655">
        <f>_xlfn.XLOOKUP(fSales[[#This Row],[ProductID]],dProduct[ProductID],dProduct[CratePrice])*fSales[[#This Row],[Units]]</f>
        <v>1620</v>
      </c>
      <c r="L655">
        <f>fSales[[#This Row],[Total sales]]-_xlfn.XLOOKUP(fSales[[#This Row],[ProductID]],dProduct[ProductID],dProduct[CrateCost])*fSales[[#This Row],[Units]]</f>
        <v>712.8</v>
      </c>
      <c r="M655">
        <f>(_xlfn.XLOOKUP(fSales[[#This Row],[ProductID]],dProduct[ProductID],dProduct[CratePrice])-_xlfn.XLOOKUP(fSales[[#This Row],[ProductID]],dProduct[ProductID],dProduct[CrateCost]))/_xlfn.XLOOKUP(fSales[[#This Row],[ProductID]],dProduct[ProductID],dProduct[CratePrice])</f>
        <v>0.43999999999999995</v>
      </c>
      <c r="N655" t="str">
        <f>_xlfn.XLOOKUP(fSales[[#This Row],[SalesRepID]],dPSalesRep[SalesRepID],dPSalesRep[SalesRep])</f>
        <v>Smitty Rad</v>
      </c>
      <c r="O655" t="str">
        <f>_xlfn.XLOOKUP(fSales[[#This Row],[SalesRepID]],dPSalesRep[SalesRepID],dPSalesRep[Region])</f>
        <v>MidWest</v>
      </c>
      <c r="P655" t="str">
        <f>_xlfn.XLOOKUP(fSales[[#This Row],[ProductID]],dProduct[ProductID],dProduct[Product])</f>
        <v>Kiwi</v>
      </c>
      <c r="Q655">
        <f>_xlfn.XLOOKUP(fSales[[#This Row],[ProductID]],dProduct[ProductID],dProduct[CratePrice])-_xlfn.XLOOKUP(fSales[[#This Row],[ProductID]],dProduct[ProductID],dProduct[CrateCost])</f>
        <v>9.8999999999999986</v>
      </c>
      <c r="R655">
        <f>_xlfn.XLOOKUP(fSales[[#This Row],[ProductID]],dProduct[ProductID],dProduct[CratePrice])</f>
        <v>22.5</v>
      </c>
      <c r="S655">
        <f>_xlfn.XLOOKUP(fSales[[#This Row],[ProductID]],dProduct[ProductID],dProduct[CrateCost])</f>
        <v>12.600000000000001</v>
      </c>
    </row>
    <row r="656" spans="7:19" x14ac:dyDescent="0.25">
      <c r="G656" s="2">
        <v>45733</v>
      </c>
      <c r="H656">
        <v>132</v>
      </c>
      <c r="I656" t="s">
        <v>28</v>
      </c>
      <c r="J656" t="s">
        <v>37</v>
      </c>
      <c r="K656">
        <f>_xlfn.XLOOKUP(fSales[[#This Row],[ProductID]],dProduct[ProductID],dProduct[CratePrice])*fSales[[#This Row],[Units]]</f>
        <v>5768.4000000000005</v>
      </c>
      <c r="L656">
        <f>fSales[[#This Row],[Total sales]]-_xlfn.XLOOKUP(fSales[[#This Row],[ProductID]],dProduct[ProductID],dProduct[CrateCost])*fSales[[#This Row],[Units]]</f>
        <v>2422.7280000000005</v>
      </c>
      <c r="M656">
        <f>(_xlfn.XLOOKUP(fSales[[#This Row],[ProductID]],dProduct[ProductID],dProduct[CratePrice])-_xlfn.XLOOKUP(fSales[[#This Row],[ProductID]],dProduct[ProductID],dProduct[CrateCost]))/_xlfn.XLOOKUP(fSales[[#This Row],[ProductID]],dProduct[ProductID],dProduct[CratePrice])</f>
        <v>0.42000000000000004</v>
      </c>
      <c r="N656" t="str">
        <f>_xlfn.XLOOKUP(fSales[[#This Row],[SalesRepID]],dPSalesRep[SalesRepID],dPSalesRep[SalesRep])</f>
        <v>Chantel Mims</v>
      </c>
      <c r="O656" t="str">
        <f>_xlfn.XLOOKUP(fSales[[#This Row],[SalesRepID]],dPSalesRep[SalesRepID],dPSalesRep[Region])</f>
        <v>NW</v>
      </c>
      <c r="P656" t="str">
        <f>_xlfn.XLOOKUP(fSales[[#This Row],[ProductID]],dProduct[ProductID],dProduct[Product])</f>
        <v>Cherry</v>
      </c>
      <c r="Q656">
        <f>_xlfn.XLOOKUP(fSales[[#This Row],[ProductID]],dProduct[ProductID],dProduct[CratePrice])-_xlfn.XLOOKUP(fSales[[#This Row],[ProductID]],dProduct[ProductID],dProduct[CrateCost])</f>
        <v>18.354000000000003</v>
      </c>
      <c r="R656">
        <f>_xlfn.XLOOKUP(fSales[[#This Row],[ProductID]],dProduct[ProductID],dProduct[CratePrice])</f>
        <v>43.7</v>
      </c>
      <c r="S656">
        <f>_xlfn.XLOOKUP(fSales[[#This Row],[ProductID]],dProduct[ProductID],dProduct[CrateCost])</f>
        <v>25.346</v>
      </c>
    </row>
    <row r="657" spans="7:19" x14ac:dyDescent="0.25">
      <c r="G657" s="2">
        <v>45733</v>
      </c>
      <c r="H657">
        <v>252</v>
      </c>
      <c r="I657" t="s">
        <v>28</v>
      </c>
      <c r="J657" t="s">
        <v>32</v>
      </c>
      <c r="K657">
        <f>_xlfn.XLOOKUP(fSales[[#This Row],[ProductID]],dProduct[ProductID],dProduct[CratePrice])*fSales[[#This Row],[Units]]</f>
        <v>11012.400000000001</v>
      </c>
      <c r="L657">
        <f>fSales[[#This Row],[Total sales]]-_xlfn.XLOOKUP(fSales[[#This Row],[ProductID]],dProduct[ProductID],dProduct[CrateCost])*fSales[[#This Row],[Units]]</f>
        <v>4625.2080000000014</v>
      </c>
      <c r="M657">
        <f>(_xlfn.XLOOKUP(fSales[[#This Row],[ProductID]],dProduct[ProductID],dProduct[CratePrice])-_xlfn.XLOOKUP(fSales[[#This Row],[ProductID]],dProduct[ProductID],dProduct[CrateCost]))/_xlfn.XLOOKUP(fSales[[#This Row],[ProductID]],dProduct[ProductID],dProduct[CratePrice])</f>
        <v>0.42000000000000004</v>
      </c>
      <c r="N657" t="str">
        <f>_xlfn.XLOOKUP(fSales[[#This Row],[SalesRepID]],dPSalesRep[SalesRepID],dPSalesRep[SalesRep])</f>
        <v>Shihara Fazzaa</v>
      </c>
      <c r="O657" t="str">
        <f>_xlfn.XLOOKUP(fSales[[#This Row],[SalesRepID]],dPSalesRep[SalesRepID],dPSalesRep[Region])</f>
        <v>East</v>
      </c>
      <c r="P657" t="str">
        <f>_xlfn.XLOOKUP(fSales[[#This Row],[ProductID]],dProduct[ProductID],dProduct[Product])</f>
        <v>Cherry</v>
      </c>
      <c r="Q657">
        <f>_xlfn.XLOOKUP(fSales[[#This Row],[ProductID]],dProduct[ProductID],dProduct[CratePrice])-_xlfn.XLOOKUP(fSales[[#This Row],[ProductID]],dProduct[ProductID],dProduct[CrateCost])</f>
        <v>18.354000000000003</v>
      </c>
      <c r="R657">
        <f>_xlfn.XLOOKUP(fSales[[#This Row],[ProductID]],dProduct[ProductID],dProduct[CratePrice])</f>
        <v>43.7</v>
      </c>
      <c r="S657">
        <f>_xlfn.XLOOKUP(fSales[[#This Row],[ProductID]],dProduct[ProductID],dProduct[CrateCost])</f>
        <v>25.346</v>
      </c>
    </row>
    <row r="658" spans="7:19" x14ac:dyDescent="0.25">
      <c r="G658" s="2">
        <v>45734</v>
      </c>
      <c r="H658">
        <v>120</v>
      </c>
      <c r="I658" t="s">
        <v>19</v>
      </c>
      <c r="J658" t="s">
        <v>22</v>
      </c>
      <c r="K658">
        <f>_xlfn.XLOOKUP(fSales[[#This Row],[ProductID]],dProduct[ProductID],dProduct[CratePrice])*fSales[[#This Row],[Units]]</f>
        <v>4200</v>
      </c>
      <c r="L658">
        <f>fSales[[#This Row],[Total sales]]-_xlfn.XLOOKUP(fSales[[#This Row],[ProductID]],dProduct[ProductID],dProduct[CrateCost])*fSales[[#This Row],[Units]]</f>
        <v>2352</v>
      </c>
      <c r="M658">
        <f>(_xlfn.XLOOKUP(fSales[[#This Row],[ProductID]],dProduct[ProductID],dProduct[CratePrice])-_xlfn.XLOOKUP(fSales[[#This Row],[ProductID]],dProduct[ProductID],dProduct[CrateCost]))/_xlfn.XLOOKUP(fSales[[#This Row],[ProductID]],dProduct[ProductID],dProduct[CratePrice])</f>
        <v>0.56000000000000005</v>
      </c>
      <c r="N658" t="str">
        <f>_xlfn.XLOOKUP(fSales[[#This Row],[SalesRepID]],dPSalesRep[SalesRepID],dPSalesRep[SalesRep])</f>
        <v>Timmy Kips</v>
      </c>
      <c r="O658" t="str">
        <f>_xlfn.XLOOKUP(fSales[[#This Row],[SalesRepID]],dPSalesRep[SalesRepID],dPSalesRep[Region])</f>
        <v>East</v>
      </c>
      <c r="P658" t="str">
        <f>_xlfn.XLOOKUP(fSales[[#This Row],[ProductID]],dProduct[ProductID],dProduct[Product])</f>
        <v>Apple</v>
      </c>
      <c r="Q658">
        <f>_xlfn.XLOOKUP(fSales[[#This Row],[ProductID]],dProduct[ProductID],dProduct[CratePrice])-_xlfn.XLOOKUP(fSales[[#This Row],[ProductID]],dProduct[ProductID],dProduct[CrateCost])</f>
        <v>19.600000000000001</v>
      </c>
      <c r="R658">
        <f>_xlfn.XLOOKUP(fSales[[#This Row],[ProductID]],dProduct[ProductID],dProduct[CratePrice])</f>
        <v>35</v>
      </c>
      <c r="S658">
        <f>_xlfn.XLOOKUP(fSales[[#This Row],[ProductID]],dProduct[ProductID],dProduct[CrateCost])</f>
        <v>15.4</v>
      </c>
    </row>
    <row r="659" spans="7:19" x14ac:dyDescent="0.25">
      <c r="G659" s="2">
        <v>45734</v>
      </c>
      <c r="H659">
        <v>204</v>
      </c>
      <c r="I659" t="s">
        <v>34</v>
      </c>
      <c r="J659" t="s">
        <v>52</v>
      </c>
      <c r="K659">
        <f>_xlfn.XLOOKUP(fSales[[#This Row],[ProductID]],dProduct[ProductID],dProduct[CratePrice])*fSales[[#This Row],[Units]]</f>
        <v>3570</v>
      </c>
      <c r="L659">
        <f>fSales[[#This Row],[Total sales]]-_xlfn.XLOOKUP(fSales[[#This Row],[ProductID]],dProduct[ProductID],dProduct[CrateCost])*fSales[[#This Row],[Units]]</f>
        <v>1178.0999999999999</v>
      </c>
      <c r="M659">
        <f>(_xlfn.XLOOKUP(fSales[[#This Row],[ProductID]],dProduct[ProductID],dProduct[CratePrice])-_xlfn.XLOOKUP(fSales[[#This Row],[ProductID]],dProduct[ProductID],dProduct[CrateCost]))/_xlfn.XLOOKUP(fSales[[#This Row],[ProductID]],dProduct[ProductID],dProduct[CratePrice])</f>
        <v>0.3299999999999999</v>
      </c>
      <c r="N659" t="str">
        <f>_xlfn.XLOOKUP(fSales[[#This Row],[SalesRepID]],dPSalesRep[SalesRepID],dPSalesRep[SalesRep])</f>
        <v>Smitty Rad</v>
      </c>
      <c r="O659" t="str">
        <f>_xlfn.XLOOKUP(fSales[[#This Row],[SalesRepID]],dPSalesRep[SalesRepID],dPSalesRep[Region])</f>
        <v>MidWest</v>
      </c>
      <c r="P659" t="str">
        <f>_xlfn.XLOOKUP(fSales[[#This Row],[ProductID]],dProduct[ProductID],dProduct[Product])</f>
        <v>Banana</v>
      </c>
      <c r="Q659">
        <f>_xlfn.XLOOKUP(fSales[[#This Row],[ProductID]],dProduct[ProductID],dProduct[CratePrice])-_xlfn.XLOOKUP(fSales[[#This Row],[ProductID]],dProduct[ProductID],dProduct[CrateCost])</f>
        <v>5.7749999999999986</v>
      </c>
      <c r="R659">
        <f>_xlfn.XLOOKUP(fSales[[#This Row],[ProductID]],dProduct[ProductID],dProduct[CratePrice])</f>
        <v>17.5</v>
      </c>
      <c r="S659">
        <f>_xlfn.XLOOKUP(fSales[[#This Row],[ProductID]],dProduct[ProductID],dProduct[CrateCost])</f>
        <v>11.725000000000001</v>
      </c>
    </row>
    <row r="660" spans="7:19" x14ac:dyDescent="0.25">
      <c r="G660" s="2">
        <v>45734</v>
      </c>
      <c r="H660">
        <v>144</v>
      </c>
      <c r="I660" t="s">
        <v>34</v>
      </c>
      <c r="J660" t="s">
        <v>37</v>
      </c>
      <c r="K660">
        <f>_xlfn.XLOOKUP(fSales[[#This Row],[ProductID]],dProduct[ProductID],dProduct[CratePrice])*fSales[[#This Row],[Units]]</f>
        <v>2520</v>
      </c>
      <c r="L660">
        <f>fSales[[#This Row],[Total sales]]-_xlfn.XLOOKUP(fSales[[#This Row],[ProductID]],dProduct[ProductID],dProduct[CrateCost])*fSales[[#This Row],[Units]]</f>
        <v>831.59999999999991</v>
      </c>
      <c r="M660">
        <f>(_xlfn.XLOOKUP(fSales[[#This Row],[ProductID]],dProduct[ProductID],dProduct[CratePrice])-_xlfn.XLOOKUP(fSales[[#This Row],[ProductID]],dProduct[ProductID],dProduct[CrateCost]))/_xlfn.XLOOKUP(fSales[[#This Row],[ProductID]],dProduct[ProductID],dProduct[CratePrice])</f>
        <v>0.3299999999999999</v>
      </c>
      <c r="N660" t="str">
        <f>_xlfn.XLOOKUP(fSales[[#This Row],[SalesRepID]],dPSalesRep[SalesRepID],dPSalesRep[SalesRep])</f>
        <v>Chantel Mims</v>
      </c>
      <c r="O660" t="str">
        <f>_xlfn.XLOOKUP(fSales[[#This Row],[SalesRepID]],dPSalesRep[SalesRepID],dPSalesRep[Region])</f>
        <v>NW</v>
      </c>
      <c r="P660" t="str">
        <f>_xlfn.XLOOKUP(fSales[[#This Row],[ProductID]],dProduct[ProductID],dProduct[Product])</f>
        <v>Banana</v>
      </c>
      <c r="Q660">
        <f>_xlfn.XLOOKUP(fSales[[#This Row],[ProductID]],dProduct[ProductID],dProduct[CratePrice])-_xlfn.XLOOKUP(fSales[[#This Row],[ProductID]],dProduct[ProductID],dProduct[CrateCost])</f>
        <v>5.7749999999999986</v>
      </c>
      <c r="R660">
        <f>_xlfn.XLOOKUP(fSales[[#This Row],[ProductID]],dProduct[ProductID],dProduct[CratePrice])</f>
        <v>17.5</v>
      </c>
      <c r="S660">
        <f>_xlfn.XLOOKUP(fSales[[#This Row],[ProductID]],dProduct[ProductID],dProduct[CrateCost])</f>
        <v>11.725000000000001</v>
      </c>
    </row>
    <row r="661" spans="7:19" x14ac:dyDescent="0.25">
      <c r="G661" s="2">
        <v>45735</v>
      </c>
      <c r="H661">
        <v>264</v>
      </c>
      <c r="I661" t="s">
        <v>21</v>
      </c>
      <c r="J661" t="s">
        <v>22</v>
      </c>
      <c r="K661">
        <f>_xlfn.XLOOKUP(fSales[[#This Row],[ProductID]],dProduct[ProductID],dProduct[CratePrice])*fSales[[#This Row],[Units]]</f>
        <v>5940</v>
      </c>
      <c r="L661">
        <f>fSales[[#This Row],[Total sales]]-_xlfn.XLOOKUP(fSales[[#This Row],[ProductID]],dProduct[ProductID],dProduct[CrateCost])*fSales[[#This Row],[Units]]</f>
        <v>2613.5999999999995</v>
      </c>
      <c r="M661">
        <f>(_xlfn.XLOOKUP(fSales[[#This Row],[ProductID]],dProduct[ProductID],dProduct[CratePrice])-_xlfn.XLOOKUP(fSales[[#This Row],[ProductID]],dProduct[ProductID],dProduct[CrateCost]))/_xlfn.XLOOKUP(fSales[[#This Row],[ProductID]],dProduct[ProductID],dProduct[CratePrice])</f>
        <v>0.43999999999999995</v>
      </c>
      <c r="N661" t="str">
        <f>_xlfn.XLOOKUP(fSales[[#This Row],[SalesRepID]],dPSalesRep[SalesRepID],dPSalesRep[SalesRep])</f>
        <v>Timmy Kips</v>
      </c>
      <c r="O661" t="str">
        <f>_xlfn.XLOOKUP(fSales[[#This Row],[SalesRepID]],dPSalesRep[SalesRepID],dPSalesRep[Region])</f>
        <v>East</v>
      </c>
      <c r="P661" t="str">
        <f>_xlfn.XLOOKUP(fSales[[#This Row],[ProductID]],dProduct[ProductID],dProduct[Product])</f>
        <v>Kiwi</v>
      </c>
      <c r="Q661">
        <f>_xlfn.XLOOKUP(fSales[[#This Row],[ProductID]],dProduct[ProductID],dProduct[CratePrice])-_xlfn.XLOOKUP(fSales[[#This Row],[ProductID]],dProduct[ProductID],dProduct[CrateCost])</f>
        <v>9.8999999999999986</v>
      </c>
      <c r="R661">
        <f>_xlfn.XLOOKUP(fSales[[#This Row],[ProductID]],dProduct[ProductID],dProduct[CratePrice])</f>
        <v>22.5</v>
      </c>
      <c r="S661">
        <f>_xlfn.XLOOKUP(fSales[[#This Row],[ProductID]],dProduct[ProductID],dProduct[CrateCost])</f>
        <v>12.600000000000001</v>
      </c>
    </row>
    <row r="662" spans="7:19" x14ac:dyDescent="0.25">
      <c r="G662" s="2">
        <v>45735</v>
      </c>
      <c r="H662">
        <v>24</v>
      </c>
      <c r="I662" t="s">
        <v>19</v>
      </c>
      <c r="J662" t="s">
        <v>29</v>
      </c>
      <c r="K662">
        <f>_xlfn.XLOOKUP(fSales[[#This Row],[ProductID]],dProduct[ProductID],dProduct[CratePrice])*fSales[[#This Row],[Units]]</f>
        <v>840</v>
      </c>
      <c r="L662">
        <f>fSales[[#This Row],[Total sales]]-_xlfn.XLOOKUP(fSales[[#This Row],[ProductID]],dProduct[ProductID],dProduct[CrateCost])*fSales[[#This Row],[Units]]</f>
        <v>470.4</v>
      </c>
      <c r="M662">
        <f>(_xlfn.XLOOKUP(fSales[[#This Row],[ProductID]],dProduct[ProductID],dProduct[CratePrice])-_xlfn.XLOOKUP(fSales[[#This Row],[ProductID]],dProduct[ProductID],dProduct[CrateCost]))/_xlfn.XLOOKUP(fSales[[#This Row],[ProductID]],dProduct[ProductID],dProduct[CratePrice])</f>
        <v>0.56000000000000005</v>
      </c>
      <c r="N662" t="str">
        <f>_xlfn.XLOOKUP(fSales[[#This Row],[SalesRepID]],dPSalesRep[SalesRepID],dPSalesRep[SalesRep])</f>
        <v>Sioux Best</v>
      </c>
      <c r="O662" t="str">
        <f>_xlfn.XLOOKUP(fSales[[#This Row],[SalesRepID]],dPSalesRep[SalesRepID],dPSalesRep[Region])</f>
        <v>West</v>
      </c>
      <c r="P662" t="str">
        <f>_xlfn.XLOOKUP(fSales[[#This Row],[ProductID]],dProduct[ProductID],dProduct[Product])</f>
        <v>Apple</v>
      </c>
      <c r="Q662">
        <f>_xlfn.XLOOKUP(fSales[[#This Row],[ProductID]],dProduct[ProductID],dProduct[CratePrice])-_xlfn.XLOOKUP(fSales[[#This Row],[ProductID]],dProduct[ProductID],dProduct[CrateCost])</f>
        <v>19.600000000000001</v>
      </c>
      <c r="R662">
        <f>_xlfn.XLOOKUP(fSales[[#This Row],[ProductID]],dProduct[ProductID],dProduct[CratePrice])</f>
        <v>35</v>
      </c>
      <c r="S662">
        <f>_xlfn.XLOOKUP(fSales[[#This Row],[ProductID]],dProduct[ProductID],dProduct[CrateCost])</f>
        <v>15.4</v>
      </c>
    </row>
    <row r="663" spans="7:19" x14ac:dyDescent="0.25">
      <c r="G663" s="2">
        <v>45735</v>
      </c>
      <c r="H663">
        <v>204</v>
      </c>
      <c r="I663" t="s">
        <v>28</v>
      </c>
      <c r="J663" t="s">
        <v>37</v>
      </c>
      <c r="K663">
        <f>_xlfn.XLOOKUP(fSales[[#This Row],[ProductID]],dProduct[ProductID],dProduct[CratePrice])*fSales[[#This Row],[Units]]</f>
        <v>8914.8000000000011</v>
      </c>
      <c r="L663">
        <f>fSales[[#This Row],[Total sales]]-_xlfn.XLOOKUP(fSales[[#This Row],[ProductID]],dProduct[ProductID],dProduct[CrateCost])*fSales[[#This Row],[Units]]</f>
        <v>3744.2160000000013</v>
      </c>
      <c r="M663">
        <f>(_xlfn.XLOOKUP(fSales[[#This Row],[ProductID]],dProduct[ProductID],dProduct[CratePrice])-_xlfn.XLOOKUP(fSales[[#This Row],[ProductID]],dProduct[ProductID],dProduct[CrateCost]))/_xlfn.XLOOKUP(fSales[[#This Row],[ProductID]],dProduct[ProductID],dProduct[CratePrice])</f>
        <v>0.42000000000000004</v>
      </c>
      <c r="N663" t="str">
        <f>_xlfn.XLOOKUP(fSales[[#This Row],[SalesRepID]],dPSalesRep[SalesRepID],dPSalesRep[SalesRep])</f>
        <v>Chantel Mims</v>
      </c>
      <c r="O663" t="str">
        <f>_xlfn.XLOOKUP(fSales[[#This Row],[SalesRepID]],dPSalesRep[SalesRepID],dPSalesRep[Region])</f>
        <v>NW</v>
      </c>
      <c r="P663" t="str">
        <f>_xlfn.XLOOKUP(fSales[[#This Row],[ProductID]],dProduct[ProductID],dProduct[Product])</f>
        <v>Cherry</v>
      </c>
      <c r="Q663">
        <f>_xlfn.XLOOKUP(fSales[[#This Row],[ProductID]],dProduct[ProductID],dProduct[CratePrice])-_xlfn.XLOOKUP(fSales[[#This Row],[ProductID]],dProduct[ProductID],dProduct[CrateCost])</f>
        <v>18.354000000000003</v>
      </c>
      <c r="R663">
        <f>_xlfn.XLOOKUP(fSales[[#This Row],[ProductID]],dProduct[ProductID],dProduct[CratePrice])</f>
        <v>43.7</v>
      </c>
      <c r="S663">
        <f>_xlfn.XLOOKUP(fSales[[#This Row],[ProductID]],dProduct[ProductID],dProduct[CrateCost])</f>
        <v>25.346</v>
      </c>
    </row>
    <row r="664" spans="7:19" x14ac:dyDescent="0.25">
      <c r="G664" s="2">
        <v>45738</v>
      </c>
      <c r="H664">
        <v>60</v>
      </c>
      <c r="I664" t="s">
        <v>21</v>
      </c>
      <c r="J664" t="s">
        <v>29</v>
      </c>
      <c r="K664">
        <f>_xlfn.XLOOKUP(fSales[[#This Row],[ProductID]],dProduct[ProductID],dProduct[CratePrice])*fSales[[#This Row],[Units]]</f>
        <v>1350</v>
      </c>
      <c r="L664">
        <f>fSales[[#This Row],[Total sales]]-_xlfn.XLOOKUP(fSales[[#This Row],[ProductID]],dProduct[ProductID],dProduct[CrateCost])*fSales[[#This Row],[Units]]</f>
        <v>593.99999999999989</v>
      </c>
      <c r="M664">
        <f>(_xlfn.XLOOKUP(fSales[[#This Row],[ProductID]],dProduct[ProductID],dProduct[CratePrice])-_xlfn.XLOOKUP(fSales[[#This Row],[ProductID]],dProduct[ProductID],dProduct[CrateCost]))/_xlfn.XLOOKUP(fSales[[#This Row],[ProductID]],dProduct[ProductID],dProduct[CratePrice])</f>
        <v>0.43999999999999995</v>
      </c>
      <c r="N664" t="str">
        <f>_xlfn.XLOOKUP(fSales[[#This Row],[SalesRepID]],dPSalesRep[SalesRepID],dPSalesRep[SalesRep])</f>
        <v>Sioux Best</v>
      </c>
      <c r="O664" t="str">
        <f>_xlfn.XLOOKUP(fSales[[#This Row],[SalesRepID]],dPSalesRep[SalesRepID],dPSalesRep[Region])</f>
        <v>West</v>
      </c>
      <c r="P664" t="str">
        <f>_xlfn.XLOOKUP(fSales[[#This Row],[ProductID]],dProduct[ProductID],dProduct[Product])</f>
        <v>Kiwi</v>
      </c>
      <c r="Q664">
        <f>_xlfn.XLOOKUP(fSales[[#This Row],[ProductID]],dProduct[ProductID],dProduct[CratePrice])-_xlfn.XLOOKUP(fSales[[#This Row],[ProductID]],dProduct[ProductID],dProduct[CrateCost])</f>
        <v>9.8999999999999986</v>
      </c>
      <c r="R664">
        <f>_xlfn.XLOOKUP(fSales[[#This Row],[ProductID]],dProduct[ProductID],dProduct[CratePrice])</f>
        <v>22.5</v>
      </c>
      <c r="S664">
        <f>_xlfn.XLOOKUP(fSales[[#This Row],[ProductID]],dProduct[ProductID],dProduct[CrateCost])</f>
        <v>12.600000000000001</v>
      </c>
    </row>
    <row r="665" spans="7:19" x14ac:dyDescent="0.25">
      <c r="G665" s="2">
        <v>45738</v>
      </c>
      <c r="H665">
        <v>252</v>
      </c>
      <c r="I665" t="s">
        <v>34</v>
      </c>
      <c r="J665" t="s">
        <v>52</v>
      </c>
      <c r="K665">
        <f>_xlfn.XLOOKUP(fSales[[#This Row],[ProductID]],dProduct[ProductID],dProduct[CratePrice])*fSales[[#This Row],[Units]]</f>
        <v>4410</v>
      </c>
      <c r="L665">
        <f>fSales[[#This Row],[Total sales]]-_xlfn.XLOOKUP(fSales[[#This Row],[ProductID]],dProduct[ProductID],dProduct[CrateCost])*fSales[[#This Row],[Units]]</f>
        <v>1455.2999999999997</v>
      </c>
      <c r="M665">
        <f>(_xlfn.XLOOKUP(fSales[[#This Row],[ProductID]],dProduct[ProductID],dProduct[CratePrice])-_xlfn.XLOOKUP(fSales[[#This Row],[ProductID]],dProduct[ProductID],dProduct[CrateCost]))/_xlfn.XLOOKUP(fSales[[#This Row],[ProductID]],dProduct[ProductID],dProduct[CratePrice])</f>
        <v>0.3299999999999999</v>
      </c>
      <c r="N665" t="str">
        <f>_xlfn.XLOOKUP(fSales[[#This Row],[SalesRepID]],dPSalesRep[SalesRepID],dPSalesRep[SalesRep])</f>
        <v>Smitty Rad</v>
      </c>
      <c r="O665" t="str">
        <f>_xlfn.XLOOKUP(fSales[[#This Row],[SalesRepID]],dPSalesRep[SalesRepID],dPSalesRep[Region])</f>
        <v>MidWest</v>
      </c>
      <c r="P665" t="str">
        <f>_xlfn.XLOOKUP(fSales[[#This Row],[ProductID]],dProduct[ProductID],dProduct[Product])</f>
        <v>Banana</v>
      </c>
      <c r="Q665">
        <f>_xlfn.XLOOKUP(fSales[[#This Row],[ProductID]],dProduct[ProductID],dProduct[CratePrice])-_xlfn.XLOOKUP(fSales[[#This Row],[ProductID]],dProduct[ProductID],dProduct[CrateCost])</f>
        <v>5.7749999999999986</v>
      </c>
      <c r="R665">
        <f>_xlfn.XLOOKUP(fSales[[#This Row],[ProductID]],dProduct[ProductID],dProduct[CratePrice])</f>
        <v>17.5</v>
      </c>
      <c r="S665">
        <f>_xlfn.XLOOKUP(fSales[[#This Row],[ProductID]],dProduct[ProductID],dProduct[CrateCost])</f>
        <v>11.725000000000001</v>
      </c>
    </row>
    <row r="666" spans="7:19" x14ac:dyDescent="0.25">
      <c r="G666" s="2">
        <v>45739</v>
      </c>
      <c r="H666">
        <v>168</v>
      </c>
      <c r="I666" t="s">
        <v>19</v>
      </c>
      <c r="J666" t="s">
        <v>52</v>
      </c>
      <c r="K666">
        <f>_xlfn.XLOOKUP(fSales[[#This Row],[ProductID]],dProduct[ProductID],dProduct[CratePrice])*fSales[[#This Row],[Units]]</f>
        <v>5880</v>
      </c>
      <c r="L666">
        <f>fSales[[#This Row],[Total sales]]-_xlfn.XLOOKUP(fSales[[#This Row],[ProductID]],dProduct[ProductID],dProduct[CrateCost])*fSales[[#This Row],[Units]]</f>
        <v>3292.7999999999997</v>
      </c>
      <c r="M666">
        <f>(_xlfn.XLOOKUP(fSales[[#This Row],[ProductID]],dProduct[ProductID],dProduct[CratePrice])-_xlfn.XLOOKUP(fSales[[#This Row],[ProductID]],dProduct[ProductID],dProduct[CrateCost]))/_xlfn.XLOOKUP(fSales[[#This Row],[ProductID]],dProduct[ProductID],dProduct[CratePrice])</f>
        <v>0.56000000000000005</v>
      </c>
      <c r="N666" t="str">
        <f>_xlfn.XLOOKUP(fSales[[#This Row],[SalesRepID]],dPSalesRep[SalesRepID],dPSalesRep[SalesRep])</f>
        <v>Smitty Rad</v>
      </c>
      <c r="O666" t="str">
        <f>_xlfn.XLOOKUP(fSales[[#This Row],[SalesRepID]],dPSalesRep[SalesRepID],dPSalesRep[Region])</f>
        <v>MidWest</v>
      </c>
      <c r="P666" t="str">
        <f>_xlfn.XLOOKUP(fSales[[#This Row],[ProductID]],dProduct[ProductID],dProduct[Product])</f>
        <v>Apple</v>
      </c>
      <c r="Q666">
        <f>_xlfn.XLOOKUP(fSales[[#This Row],[ProductID]],dProduct[ProductID],dProduct[CratePrice])-_xlfn.XLOOKUP(fSales[[#This Row],[ProductID]],dProduct[ProductID],dProduct[CrateCost])</f>
        <v>19.600000000000001</v>
      </c>
      <c r="R666">
        <f>_xlfn.XLOOKUP(fSales[[#This Row],[ProductID]],dProduct[ProductID],dProduct[CratePrice])</f>
        <v>35</v>
      </c>
      <c r="S666">
        <f>_xlfn.XLOOKUP(fSales[[#This Row],[ProductID]],dProduct[ProductID],dProduct[CrateCost])</f>
        <v>15.4</v>
      </c>
    </row>
    <row r="667" spans="7:19" x14ac:dyDescent="0.25">
      <c r="G667" s="2">
        <v>45739</v>
      </c>
      <c r="H667">
        <v>192</v>
      </c>
      <c r="I667" t="s">
        <v>19</v>
      </c>
      <c r="J667" t="s">
        <v>52</v>
      </c>
      <c r="K667">
        <f>_xlfn.XLOOKUP(fSales[[#This Row],[ProductID]],dProduct[ProductID],dProduct[CratePrice])*fSales[[#This Row],[Units]]</f>
        <v>6720</v>
      </c>
      <c r="L667">
        <f>fSales[[#This Row],[Total sales]]-_xlfn.XLOOKUP(fSales[[#This Row],[ProductID]],dProduct[ProductID],dProduct[CrateCost])*fSales[[#This Row],[Units]]</f>
        <v>3763.2</v>
      </c>
      <c r="M667">
        <f>(_xlfn.XLOOKUP(fSales[[#This Row],[ProductID]],dProduct[ProductID],dProduct[CratePrice])-_xlfn.XLOOKUP(fSales[[#This Row],[ProductID]],dProduct[ProductID],dProduct[CrateCost]))/_xlfn.XLOOKUP(fSales[[#This Row],[ProductID]],dProduct[ProductID],dProduct[CratePrice])</f>
        <v>0.56000000000000005</v>
      </c>
      <c r="N667" t="str">
        <f>_xlfn.XLOOKUP(fSales[[#This Row],[SalesRepID]],dPSalesRep[SalesRepID],dPSalesRep[SalesRep])</f>
        <v>Smitty Rad</v>
      </c>
      <c r="O667" t="str">
        <f>_xlfn.XLOOKUP(fSales[[#This Row],[SalesRepID]],dPSalesRep[SalesRepID],dPSalesRep[Region])</f>
        <v>MidWest</v>
      </c>
      <c r="P667" t="str">
        <f>_xlfn.XLOOKUP(fSales[[#This Row],[ProductID]],dProduct[ProductID],dProduct[Product])</f>
        <v>Apple</v>
      </c>
      <c r="Q667">
        <f>_xlfn.XLOOKUP(fSales[[#This Row],[ProductID]],dProduct[ProductID],dProduct[CratePrice])-_xlfn.XLOOKUP(fSales[[#This Row],[ProductID]],dProduct[ProductID],dProduct[CrateCost])</f>
        <v>19.600000000000001</v>
      </c>
      <c r="R667">
        <f>_xlfn.XLOOKUP(fSales[[#This Row],[ProductID]],dProduct[ProductID],dProduct[CratePrice])</f>
        <v>35</v>
      </c>
      <c r="S667">
        <f>_xlfn.XLOOKUP(fSales[[#This Row],[ProductID]],dProduct[ProductID],dProduct[CrateCost])</f>
        <v>15.4</v>
      </c>
    </row>
    <row r="668" spans="7:19" x14ac:dyDescent="0.25">
      <c r="G668" s="2">
        <v>45740</v>
      </c>
      <c r="H668">
        <v>276</v>
      </c>
      <c r="I668" t="s">
        <v>26</v>
      </c>
      <c r="J668" t="s">
        <v>32</v>
      </c>
      <c r="K668">
        <f>_xlfn.XLOOKUP(fSales[[#This Row],[ProductID]],dProduct[ProductID],dProduct[CratePrice])*fSales[[#This Row],[Units]]</f>
        <v>8211</v>
      </c>
      <c r="L668">
        <f>fSales[[#This Row],[Total sales]]-_xlfn.XLOOKUP(fSales[[#This Row],[ProductID]],dProduct[ProductID],dProduct[CrateCost])*fSales[[#This Row],[Units]]</f>
        <v>3448.62</v>
      </c>
      <c r="M668">
        <f>(_xlfn.XLOOKUP(fSales[[#This Row],[ProductID]],dProduct[ProductID],dProduct[CratePrice])-_xlfn.XLOOKUP(fSales[[#This Row],[ProductID]],dProduct[ProductID],dProduct[CrateCost]))/_xlfn.XLOOKUP(fSales[[#This Row],[ProductID]],dProduct[ProductID],dProduct[CratePrice])</f>
        <v>0.42000000000000004</v>
      </c>
      <c r="N668" t="str">
        <f>_xlfn.XLOOKUP(fSales[[#This Row],[SalesRepID]],dPSalesRep[SalesRepID],dPSalesRep[SalesRep])</f>
        <v>Shihara Fazzaa</v>
      </c>
      <c r="O668" t="str">
        <f>_xlfn.XLOOKUP(fSales[[#This Row],[SalesRepID]],dPSalesRep[SalesRepID],dPSalesRep[Region])</f>
        <v>East</v>
      </c>
      <c r="P668" t="str">
        <f>_xlfn.XLOOKUP(fSales[[#This Row],[ProductID]],dProduct[ProductID],dProduct[Product])</f>
        <v>Orange</v>
      </c>
      <c r="Q668">
        <f>_xlfn.XLOOKUP(fSales[[#This Row],[ProductID]],dProduct[ProductID],dProduct[CratePrice])-_xlfn.XLOOKUP(fSales[[#This Row],[ProductID]],dProduct[ProductID],dProduct[CrateCost])</f>
        <v>12.495000000000001</v>
      </c>
      <c r="R668">
        <f>_xlfn.XLOOKUP(fSales[[#This Row],[ProductID]],dProduct[ProductID],dProduct[CratePrice])</f>
        <v>29.75</v>
      </c>
      <c r="S668">
        <f>_xlfn.XLOOKUP(fSales[[#This Row],[ProductID]],dProduct[ProductID],dProduct[CrateCost])</f>
        <v>17.254999999999999</v>
      </c>
    </row>
    <row r="669" spans="7:19" x14ac:dyDescent="0.25">
      <c r="G669" s="2">
        <v>45742</v>
      </c>
      <c r="H669">
        <v>120</v>
      </c>
      <c r="I669" t="s">
        <v>26</v>
      </c>
      <c r="J669" t="s">
        <v>22</v>
      </c>
      <c r="K669">
        <f>_xlfn.XLOOKUP(fSales[[#This Row],[ProductID]],dProduct[ProductID],dProduct[CratePrice])*fSales[[#This Row],[Units]]</f>
        <v>3570</v>
      </c>
      <c r="L669">
        <f>fSales[[#This Row],[Total sales]]-_xlfn.XLOOKUP(fSales[[#This Row],[ProductID]],dProduct[ProductID],dProduct[CrateCost])*fSales[[#This Row],[Units]]</f>
        <v>1499.4</v>
      </c>
      <c r="M669">
        <f>(_xlfn.XLOOKUP(fSales[[#This Row],[ProductID]],dProduct[ProductID],dProduct[CratePrice])-_xlfn.XLOOKUP(fSales[[#This Row],[ProductID]],dProduct[ProductID],dProduct[CrateCost]))/_xlfn.XLOOKUP(fSales[[#This Row],[ProductID]],dProduct[ProductID],dProduct[CratePrice])</f>
        <v>0.42000000000000004</v>
      </c>
      <c r="N669" t="str">
        <f>_xlfn.XLOOKUP(fSales[[#This Row],[SalesRepID]],dPSalesRep[SalesRepID],dPSalesRep[SalesRep])</f>
        <v>Timmy Kips</v>
      </c>
      <c r="O669" t="str">
        <f>_xlfn.XLOOKUP(fSales[[#This Row],[SalesRepID]],dPSalesRep[SalesRepID],dPSalesRep[Region])</f>
        <v>East</v>
      </c>
      <c r="P669" t="str">
        <f>_xlfn.XLOOKUP(fSales[[#This Row],[ProductID]],dProduct[ProductID],dProduct[Product])</f>
        <v>Orange</v>
      </c>
      <c r="Q669">
        <f>_xlfn.XLOOKUP(fSales[[#This Row],[ProductID]],dProduct[ProductID],dProduct[CratePrice])-_xlfn.XLOOKUP(fSales[[#This Row],[ProductID]],dProduct[ProductID],dProduct[CrateCost])</f>
        <v>12.495000000000001</v>
      </c>
      <c r="R669">
        <f>_xlfn.XLOOKUP(fSales[[#This Row],[ProductID]],dProduct[ProductID],dProduct[CratePrice])</f>
        <v>29.75</v>
      </c>
      <c r="S669">
        <f>_xlfn.XLOOKUP(fSales[[#This Row],[ProductID]],dProduct[ProductID],dProduct[CrateCost])</f>
        <v>17.254999999999999</v>
      </c>
    </row>
    <row r="670" spans="7:19" x14ac:dyDescent="0.25">
      <c r="G670" s="2">
        <v>45744</v>
      </c>
      <c r="H670">
        <v>156</v>
      </c>
      <c r="I670" t="s">
        <v>19</v>
      </c>
      <c r="J670" t="s">
        <v>32</v>
      </c>
      <c r="K670">
        <f>_xlfn.XLOOKUP(fSales[[#This Row],[ProductID]],dProduct[ProductID],dProduct[CratePrice])*fSales[[#This Row],[Units]]</f>
        <v>5460</v>
      </c>
      <c r="L670">
        <f>fSales[[#This Row],[Total sales]]-_xlfn.XLOOKUP(fSales[[#This Row],[ProductID]],dProduct[ProductID],dProduct[CrateCost])*fSales[[#This Row],[Units]]</f>
        <v>3057.6</v>
      </c>
      <c r="M670">
        <f>(_xlfn.XLOOKUP(fSales[[#This Row],[ProductID]],dProduct[ProductID],dProduct[CratePrice])-_xlfn.XLOOKUP(fSales[[#This Row],[ProductID]],dProduct[ProductID],dProduct[CrateCost]))/_xlfn.XLOOKUP(fSales[[#This Row],[ProductID]],dProduct[ProductID],dProduct[CratePrice])</f>
        <v>0.56000000000000005</v>
      </c>
      <c r="N670" t="str">
        <f>_xlfn.XLOOKUP(fSales[[#This Row],[SalesRepID]],dPSalesRep[SalesRepID],dPSalesRep[SalesRep])</f>
        <v>Shihara Fazzaa</v>
      </c>
      <c r="O670" t="str">
        <f>_xlfn.XLOOKUP(fSales[[#This Row],[SalesRepID]],dPSalesRep[SalesRepID],dPSalesRep[Region])</f>
        <v>East</v>
      </c>
      <c r="P670" t="str">
        <f>_xlfn.XLOOKUP(fSales[[#This Row],[ProductID]],dProduct[ProductID],dProduct[Product])</f>
        <v>Apple</v>
      </c>
      <c r="Q670">
        <f>_xlfn.XLOOKUP(fSales[[#This Row],[ProductID]],dProduct[ProductID],dProduct[CratePrice])-_xlfn.XLOOKUP(fSales[[#This Row],[ProductID]],dProduct[ProductID],dProduct[CrateCost])</f>
        <v>19.600000000000001</v>
      </c>
      <c r="R670">
        <f>_xlfn.XLOOKUP(fSales[[#This Row],[ProductID]],dProduct[ProductID],dProduct[CratePrice])</f>
        <v>35</v>
      </c>
      <c r="S670">
        <f>_xlfn.XLOOKUP(fSales[[#This Row],[ProductID]],dProduct[ProductID],dProduct[CrateCost])</f>
        <v>15.4</v>
      </c>
    </row>
    <row r="671" spans="7:19" x14ac:dyDescent="0.25">
      <c r="G671" s="2">
        <v>45746</v>
      </c>
      <c r="H671">
        <v>60</v>
      </c>
      <c r="I671" t="s">
        <v>19</v>
      </c>
      <c r="J671" t="s">
        <v>32</v>
      </c>
      <c r="K671">
        <f>_xlfn.XLOOKUP(fSales[[#This Row],[ProductID]],dProduct[ProductID],dProduct[CratePrice])*fSales[[#This Row],[Units]]</f>
        <v>2100</v>
      </c>
      <c r="L671">
        <f>fSales[[#This Row],[Total sales]]-_xlfn.XLOOKUP(fSales[[#This Row],[ProductID]],dProduct[ProductID],dProduct[CrateCost])*fSales[[#This Row],[Units]]</f>
        <v>1176</v>
      </c>
      <c r="M671">
        <f>(_xlfn.XLOOKUP(fSales[[#This Row],[ProductID]],dProduct[ProductID],dProduct[CratePrice])-_xlfn.XLOOKUP(fSales[[#This Row],[ProductID]],dProduct[ProductID],dProduct[CrateCost]))/_xlfn.XLOOKUP(fSales[[#This Row],[ProductID]],dProduct[ProductID],dProduct[CratePrice])</f>
        <v>0.56000000000000005</v>
      </c>
      <c r="N671" t="str">
        <f>_xlfn.XLOOKUP(fSales[[#This Row],[SalesRepID]],dPSalesRep[SalesRepID],dPSalesRep[SalesRep])</f>
        <v>Shihara Fazzaa</v>
      </c>
      <c r="O671" t="str">
        <f>_xlfn.XLOOKUP(fSales[[#This Row],[SalesRepID]],dPSalesRep[SalesRepID],dPSalesRep[Region])</f>
        <v>East</v>
      </c>
      <c r="P671" t="str">
        <f>_xlfn.XLOOKUP(fSales[[#This Row],[ProductID]],dProduct[ProductID],dProduct[Product])</f>
        <v>Apple</v>
      </c>
      <c r="Q671">
        <f>_xlfn.XLOOKUP(fSales[[#This Row],[ProductID]],dProduct[ProductID],dProduct[CratePrice])-_xlfn.XLOOKUP(fSales[[#This Row],[ProductID]],dProduct[ProductID],dProduct[CrateCost])</f>
        <v>19.600000000000001</v>
      </c>
      <c r="R671">
        <f>_xlfn.XLOOKUP(fSales[[#This Row],[ProductID]],dProduct[ProductID],dProduct[CratePrice])</f>
        <v>35</v>
      </c>
      <c r="S671">
        <f>_xlfn.XLOOKUP(fSales[[#This Row],[ProductID]],dProduct[ProductID],dProduct[CrateCost])</f>
        <v>15.4</v>
      </c>
    </row>
    <row r="672" spans="7:19" x14ac:dyDescent="0.25">
      <c r="G672" s="2">
        <v>45746</v>
      </c>
      <c r="H672">
        <v>24</v>
      </c>
      <c r="I672" t="s">
        <v>28</v>
      </c>
      <c r="J672" t="s">
        <v>32</v>
      </c>
      <c r="K672">
        <f>_xlfn.XLOOKUP(fSales[[#This Row],[ProductID]],dProduct[ProductID],dProduct[CratePrice])*fSales[[#This Row],[Units]]</f>
        <v>1048.8000000000002</v>
      </c>
      <c r="L672">
        <f>fSales[[#This Row],[Total sales]]-_xlfn.XLOOKUP(fSales[[#This Row],[ProductID]],dProduct[ProductID],dProduct[CrateCost])*fSales[[#This Row],[Units]]</f>
        <v>440.49600000000021</v>
      </c>
      <c r="M672">
        <f>(_xlfn.XLOOKUP(fSales[[#This Row],[ProductID]],dProduct[ProductID],dProduct[CratePrice])-_xlfn.XLOOKUP(fSales[[#This Row],[ProductID]],dProduct[ProductID],dProduct[CrateCost]))/_xlfn.XLOOKUP(fSales[[#This Row],[ProductID]],dProduct[ProductID],dProduct[CratePrice])</f>
        <v>0.42000000000000004</v>
      </c>
      <c r="N672" t="str">
        <f>_xlfn.XLOOKUP(fSales[[#This Row],[SalesRepID]],dPSalesRep[SalesRepID],dPSalesRep[SalesRep])</f>
        <v>Shihara Fazzaa</v>
      </c>
      <c r="O672" t="str">
        <f>_xlfn.XLOOKUP(fSales[[#This Row],[SalesRepID]],dPSalesRep[SalesRepID],dPSalesRep[Region])</f>
        <v>East</v>
      </c>
      <c r="P672" t="str">
        <f>_xlfn.XLOOKUP(fSales[[#This Row],[ProductID]],dProduct[ProductID],dProduct[Product])</f>
        <v>Cherry</v>
      </c>
      <c r="Q672">
        <f>_xlfn.XLOOKUP(fSales[[#This Row],[ProductID]],dProduct[ProductID],dProduct[CratePrice])-_xlfn.XLOOKUP(fSales[[#This Row],[ProductID]],dProduct[ProductID],dProduct[CrateCost])</f>
        <v>18.354000000000003</v>
      </c>
      <c r="R672">
        <f>_xlfn.XLOOKUP(fSales[[#This Row],[ProductID]],dProduct[ProductID],dProduct[CratePrice])</f>
        <v>43.7</v>
      </c>
      <c r="S672">
        <f>_xlfn.XLOOKUP(fSales[[#This Row],[ProductID]],dProduct[ProductID],dProduct[CrateCost])</f>
        <v>25.346</v>
      </c>
    </row>
    <row r="673" spans="7:19" x14ac:dyDescent="0.25">
      <c r="G673" s="2">
        <v>45747</v>
      </c>
      <c r="H673">
        <v>132</v>
      </c>
      <c r="I673" t="s">
        <v>19</v>
      </c>
      <c r="J673" t="s">
        <v>52</v>
      </c>
      <c r="K673">
        <f>_xlfn.XLOOKUP(fSales[[#This Row],[ProductID]],dProduct[ProductID],dProduct[CratePrice])*fSales[[#This Row],[Units]]</f>
        <v>4620</v>
      </c>
      <c r="L673">
        <f>fSales[[#This Row],[Total sales]]-_xlfn.XLOOKUP(fSales[[#This Row],[ProductID]],dProduct[ProductID],dProduct[CrateCost])*fSales[[#This Row],[Units]]</f>
        <v>2587.1999999999998</v>
      </c>
      <c r="M673">
        <f>(_xlfn.XLOOKUP(fSales[[#This Row],[ProductID]],dProduct[ProductID],dProduct[CratePrice])-_xlfn.XLOOKUP(fSales[[#This Row],[ProductID]],dProduct[ProductID],dProduct[CrateCost]))/_xlfn.XLOOKUP(fSales[[#This Row],[ProductID]],dProduct[ProductID],dProduct[CratePrice])</f>
        <v>0.56000000000000005</v>
      </c>
      <c r="N673" t="str">
        <f>_xlfn.XLOOKUP(fSales[[#This Row],[SalesRepID]],dPSalesRep[SalesRepID],dPSalesRep[SalesRep])</f>
        <v>Smitty Rad</v>
      </c>
      <c r="O673" t="str">
        <f>_xlfn.XLOOKUP(fSales[[#This Row],[SalesRepID]],dPSalesRep[SalesRepID],dPSalesRep[Region])</f>
        <v>MidWest</v>
      </c>
      <c r="P673" t="str">
        <f>_xlfn.XLOOKUP(fSales[[#This Row],[ProductID]],dProduct[ProductID],dProduct[Product])</f>
        <v>Apple</v>
      </c>
      <c r="Q673">
        <f>_xlfn.XLOOKUP(fSales[[#This Row],[ProductID]],dProduct[ProductID],dProduct[CratePrice])-_xlfn.XLOOKUP(fSales[[#This Row],[ProductID]],dProduct[ProductID],dProduct[CrateCost])</f>
        <v>19.600000000000001</v>
      </c>
      <c r="R673">
        <f>_xlfn.XLOOKUP(fSales[[#This Row],[ProductID]],dProduct[ProductID],dProduct[CratePrice])</f>
        <v>35</v>
      </c>
      <c r="S673">
        <f>_xlfn.XLOOKUP(fSales[[#This Row],[ProductID]],dProduct[ProductID],dProduct[CrateCost])</f>
        <v>15.4</v>
      </c>
    </row>
    <row r="674" spans="7:19" x14ac:dyDescent="0.25">
      <c r="G674" s="2">
        <v>45747</v>
      </c>
      <c r="H674">
        <v>252</v>
      </c>
      <c r="I674" t="s">
        <v>26</v>
      </c>
      <c r="J674" t="s">
        <v>29</v>
      </c>
      <c r="K674">
        <f>_xlfn.XLOOKUP(fSales[[#This Row],[ProductID]],dProduct[ProductID],dProduct[CratePrice])*fSales[[#This Row],[Units]]</f>
        <v>7497</v>
      </c>
      <c r="L674">
        <f>fSales[[#This Row],[Total sales]]-_xlfn.XLOOKUP(fSales[[#This Row],[ProductID]],dProduct[ProductID],dProduct[CrateCost])*fSales[[#This Row],[Units]]</f>
        <v>3148.7400000000007</v>
      </c>
      <c r="M674">
        <f>(_xlfn.XLOOKUP(fSales[[#This Row],[ProductID]],dProduct[ProductID],dProduct[CratePrice])-_xlfn.XLOOKUP(fSales[[#This Row],[ProductID]],dProduct[ProductID],dProduct[CrateCost]))/_xlfn.XLOOKUP(fSales[[#This Row],[ProductID]],dProduct[ProductID],dProduct[CratePrice])</f>
        <v>0.42000000000000004</v>
      </c>
      <c r="N674" t="str">
        <f>_xlfn.XLOOKUP(fSales[[#This Row],[SalesRepID]],dPSalesRep[SalesRepID],dPSalesRep[SalesRep])</f>
        <v>Sioux Best</v>
      </c>
      <c r="O674" t="str">
        <f>_xlfn.XLOOKUP(fSales[[#This Row],[SalesRepID]],dPSalesRep[SalesRepID],dPSalesRep[Region])</f>
        <v>West</v>
      </c>
      <c r="P674" t="str">
        <f>_xlfn.XLOOKUP(fSales[[#This Row],[ProductID]],dProduct[ProductID],dProduct[Product])</f>
        <v>Orange</v>
      </c>
      <c r="Q674">
        <f>_xlfn.XLOOKUP(fSales[[#This Row],[ProductID]],dProduct[ProductID],dProduct[CratePrice])-_xlfn.XLOOKUP(fSales[[#This Row],[ProductID]],dProduct[ProductID],dProduct[CrateCost])</f>
        <v>12.495000000000001</v>
      </c>
      <c r="R674">
        <f>_xlfn.XLOOKUP(fSales[[#This Row],[ProductID]],dProduct[ProductID],dProduct[CratePrice])</f>
        <v>29.75</v>
      </c>
      <c r="S674">
        <f>_xlfn.XLOOKUP(fSales[[#This Row],[ProductID]],dProduct[ProductID],dProduct[CrateCost])</f>
        <v>17.254999999999999</v>
      </c>
    </row>
    <row r="675" spans="7:19" x14ac:dyDescent="0.25">
      <c r="G675" s="2">
        <v>45748</v>
      </c>
      <c r="H675">
        <v>96</v>
      </c>
      <c r="I675" t="s">
        <v>19</v>
      </c>
      <c r="J675" t="s">
        <v>37</v>
      </c>
      <c r="K675">
        <f>_xlfn.XLOOKUP(fSales[[#This Row],[ProductID]],dProduct[ProductID],dProduct[CratePrice])*fSales[[#This Row],[Units]]</f>
        <v>3360</v>
      </c>
      <c r="L675">
        <f>fSales[[#This Row],[Total sales]]-_xlfn.XLOOKUP(fSales[[#This Row],[ProductID]],dProduct[ProductID],dProduct[CrateCost])*fSales[[#This Row],[Units]]</f>
        <v>1881.6</v>
      </c>
      <c r="M675">
        <f>(_xlfn.XLOOKUP(fSales[[#This Row],[ProductID]],dProduct[ProductID],dProduct[CratePrice])-_xlfn.XLOOKUP(fSales[[#This Row],[ProductID]],dProduct[ProductID],dProduct[CrateCost]))/_xlfn.XLOOKUP(fSales[[#This Row],[ProductID]],dProduct[ProductID],dProduct[CratePrice])</f>
        <v>0.56000000000000005</v>
      </c>
      <c r="N675" t="str">
        <f>_xlfn.XLOOKUP(fSales[[#This Row],[SalesRepID]],dPSalesRep[SalesRepID],dPSalesRep[SalesRep])</f>
        <v>Chantel Mims</v>
      </c>
      <c r="O675" t="str">
        <f>_xlfn.XLOOKUP(fSales[[#This Row],[SalesRepID]],dPSalesRep[SalesRepID],dPSalesRep[Region])</f>
        <v>NW</v>
      </c>
      <c r="P675" t="str">
        <f>_xlfn.XLOOKUP(fSales[[#This Row],[ProductID]],dProduct[ProductID],dProduct[Product])</f>
        <v>Apple</v>
      </c>
      <c r="Q675">
        <f>_xlfn.XLOOKUP(fSales[[#This Row],[ProductID]],dProduct[ProductID],dProduct[CratePrice])-_xlfn.XLOOKUP(fSales[[#This Row],[ProductID]],dProduct[ProductID],dProduct[CrateCost])</f>
        <v>19.600000000000001</v>
      </c>
      <c r="R675">
        <f>_xlfn.XLOOKUP(fSales[[#This Row],[ProductID]],dProduct[ProductID],dProduct[CratePrice])</f>
        <v>35</v>
      </c>
      <c r="S675">
        <f>_xlfn.XLOOKUP(fSales[[#This Row],[ProductID]],dProduct[ProductID],dProduct[CrateCost])</f>
        <v>15.4</v>
      </c>
    </row>
    <row r="676" spans="7:19" x14ac:dyDescent="0.25">
      <c r="G676" s="2">
        <v>45749</v>
      </c>
      <c r="H676">
        <v>228</v>
      </c>
      <c r="I676" t="s">
        <v>19</v>
      </c>
      <c r="J676" t="s">
        <v>32</v>
      </c>
      <c r="K676">
        <f>_xlfn.XLOOKUP(fSales[[#This Row],[ProductID]],dProduct[ProductID],dProduct[CratePrice])*fSales[[#This Row],[Units]]</f>
        <v>7980</v>
      </c>
      <c r="L676">
        <f>fSales[[#This Row],[Total sales]]-_xlfn.XLOOKUP(fSales[[#This Row],[ProductID]],dProduct[ProductID],dProduct[CrateCost])*fSales[[#This Row],[Units]]</f>
        <v>4468.7999999999993</v>
      </c>
      <c r="M676">
        <f>(_xlfn.XLOOKUP(fSales[[#This Row],[ProductID]],dProduct[ProductID],dProduct[CratePrice])-_xlfn.XLOOKUP(fSales[[#This Row],[ProductID]],dProduct[ProductID],dProduct[CrateCost]))/_xlfn.XLOOKUP(fSales[[#This Row],[ProductID]],dProduct[ProductID],dProduct[CratePrice])</f>
        <v>0.56000000000000005</v>
      </c>
      <c r="N676" t="str">
        <f>_xlfn.XLOOKUP(fSales[[#This Row],[SalesRepID]],dPSalesRep[SalesRepID],dPSalesRep[SalesRep])</f>
        <v>Shihara Fazzaa</v>
      </c>
      <c r="O676" t="str">
        <f>_xlfn.XLOOKUP(fSales[[#This Row],[SalesRepID]],dPSalesRep[SalesRepID],dPSalesRep[Region])</f>
        <v>East</v>
      </c>
      <c r="P676" t="str">
        <f>_xlfn.XLOOKUP(fSales[[#This Row],[ProductID]],dProduct[ProductID],dProduct[Product])</f>
        <v>Apple</v>
      </c>
      <c r="Q676">
        <f>_xlfn.XLOOKUP(fSales[[#This Row],[ProductID]],dProduct[ProductID],dProduct[CratePrice])-_xlfn.XLOOKUP(fSales[[#This Row],[ProductID]],dProduct[ProductID],dProduct[CrateCost])</f>
        <v>19.600000000000001</v>
      </c>
      <c r="R676">
        <f>_xlfn.XLOOKUP(fSales[[#This Row],[ProductID]],dProduct[ProductID],dProduct[CratePrice])</f>
        <v>35</v>
      </c>
      <c r="S676">
        <f>_xlfn.XLOOKUP(fSales[[#This Row],[ProductID]],dProduct[ProductID],dProduct[CrateCost])</f>
        <v>15.4</v>
      </c>
    </row>
    <row r="677" spans="7:19" x14ac:dyDescent="0.25">
      <c r="G677" s="2">
        <v>45749</v>
      </c>
      <c r="H677">
        <v>300</v>
      </c>
      <c r="I677" t="s">
        <v>26</v>
      </c>
      <c r="J677" t="s">
        <v>32</v>
      </c>
      <c r="K677">
        <f>_xlfn.XLOOKUP(fSales[[#This Row],[ProductID]],dProduct[ProductID],dProduct[CratePrice])*fSales[[#This Row],[Units]]</f>
        <v>8925</v>
      </c>
      <c r="L677">
        <f>fSales[[#This Row],[Total sales]]-_xlfn.XLOOKUP(fSales[[#This Row],[ProductID]],dProduct[ProductID],dProduct[CrateCost])*fSales[[#This Row],[Units]]</f>
        <v>3748.5</v>
      </c>
      <c r="M677">
        <f>(_xlfn.XLOOKUP(fSales[[#This Row],[ProductID]],dProduct[ProductID],dProduct[CratePrice])-_xlfn.XLOOKUP(fSales[[#This Row],[ProductID]],dProduct[ProductID],dProduct[CrateCost]))/_xlfn.XLOOKUP(fSales[[#This Row],[ProductID]],dProduct[ProductID],dProduct[CratePrice])</f>
        <v>0.42000000000000004</v>
      </c>
      <c r="N677" t="str">
        <f>_xlfn.XLOOKUP(fSales[[#This Row],[SalesRepID]],dPSalesRep[SalesRepID],dPSalesRep[SalesRep])</f>
        <v>Shihara Fazzaa</v>
      </c>
      <c r="O677" t="str">
        <f>_xlfn.XLOOKUP(fSales[[#This Row],[SalesRepID]],dPSalesRep[SalesRepID],dPSalesRep[Region])</f>
        <v>East</v>
      </c>
      <c r="P677" t="str">
        <f>_xlfn.XLOOKUP(fSales[[#This Row],[ProductID]],dProduct[ProductID],dProduct[Product])</f>
        <v>Orange</v>
      </c>
      <c r="Q677">
        <f>_xlfn.XLOOKUP(fSales[[#This Row],[ProductID]],dProduct[ProductID],dProduct[CratePrice])-_xlfn.XLOOKUP(fSales[[#This Row],[ProductID]],dProduct[ProductID],dProduct[CrateCost])</f>
        <v>12.495000000000001</v>
      </c>
      <c r="R677">
        <f>_xlfn.XLOOKUP(fSales[[#This Row],[ProductID]],dProduct[ProductID],dProduct[CratePrice])</f>
        <v>29.75</v>
      </c>
      <c r="S677">
        <f>_xlfn.XLOOKUP(fSales[[#This Row],[ProductID]],dProduct[ProductID],dProduct[CrateCost])</f>
        <v>17.254999999999999</v>
      </c>
    </row>
    <row r="678" spans="7:19" x14ac:dyDescent="0.25">
      <c r="G678" s="2">
        <v>45750</v>
      </c>
      <c r="H678">
        <v>252</v>
      </c>
      <c r="I678" t="s">
        <v>26</v>
      </c>
      <c r="J678" t="s">
        <v>37</v>
      </c>
      <c r="K678">
        <f>_xlfn.XLOOKUP(fSales[[#This Row],[ProductID]],dProduct[ProductID],dProduct[CratePrice])*fSales[[#This Row],[Units]]</f>
        <v>7497</v>
      </c>
      <c r="L678">
        <f>fSales[[#This Row],[Total sales]]-_xlfn.XLOOKUP(fSales[[#This Row],[ProductID]],dProduct[ProductID],dProduct[CrateCost])*fSales[[#This Row],[Units]]</f>
        <v>3148.7400000000007</v>
      </c>
      <c r="M678">
        <f>(_xlfn.XLOOKUP(fSales[[#This Row],[ProductID]],dProduct[ProductID],dProduct[CratePrice])-_xlfn.XLOOKUP(fSales[[#This Row],[ProductID]],dProduct[ProductID],dProduct[CrateCost]))/_xlfn.XLOOKUP(fSales[[#This Row],[ProductID]],dProduct[ProductID],dProduct[CratePrice])</f>
        <v>0.42000000000000004</v>
      </c>
      <c r="N678" t="str">
        <f>_xlfn.XLOOKUP(fSales[[#This Row],[SalesRepID]],dPSalesRep[SalesRepID],dPSalesRep[SalesRep])</f>
        <v>Chantel Mims</v>
      </c>
      <c r="O678" t="str">
        <f>_xlfn.XLOOKUP(fSales[[#This Row],[SalesRepID]],dPSalesRep[SalesRepID],dPSalesRep[Region])</f>
        <v>NW</v>
      </c>
      <c r="P678" t="str">
        <f>_xlfn.XLOOKUP(fSales[[#This Row],[ProductID]],dProduct[ProductID],dProduct[Product])</f>
        <v>Orange</v>
      </c>
      <c r="Q678">
        <f>_xlfn.XLOOKUP(fSales[[#This Row],[ProductID]],dProduct[ProductID],dProduct[CratePrice])-_xlfn.XLOOKUP(fSales[[#This Row],[ProductID]],dProduct[ProductID],dProduct[CrateCost])</f>
        <v>12.495000000000001</v>
      </c>
      <c r="R678">
        <f>_xlfn.XLOOKUP(fSales[[#This Row],[ProductID]],dProduct[ProductID],dProduct[CratePrice])</f>
        <v>29.75</v>
      </c>
      <c r="S678">
        <f>_xlfn.XLOOKUP(fSales[[#This Row],[ProductID]],dProduct[ProductID],dProduct[CrateCost])</f>
        <v>17.254999999999999</v>
      </c>
    </row>
    <row r="679" spans="7:19" x14ac:dyDescent="0.25">
      <c r="G679" s="2">
        <v>45750</v>
      </c>
      <c r="H679">
        <v>288</v>
      </c>
      <c r="I679" t="s">
        <v>21</v>
      </c>
      <c r="J679" t="s">
        <v>52</v>
      </c>
      <c r="K679">
        <f>_xlfn.XLOOKUP(fSales[[#This Row],[ProductID]],dProduct[ProductID],dProduct[CratePrice])*fSales[[#This Row],[Units]]</f>
        <v>6480</v>
      </c>
      <c r="L679">
        <f>fSales[[#This Row],[Total sales]]-_xlfn.XLOOKUP(fSales[[#This Row],[ProductID]],dProduct[ProductID],dProduct[CrateCost])*fSales[[#This Row],[Units]]</f>
        <v>2851.2</v>
      </c>
      <c r="M679">
        <f>(_xlfn.XLOOKUP(fSales[[#This Row],[ProductID]],dProduct[ProductID],dProduct[CratePrice])-_xlfn.XLOOKUP(fSales[[#This Row],[ProductID]],dProduct[ProductID],dProduct[CrateCost]))/_xlfn.XLOOKUP(fSales[[#This Row],[ProductID]],dProduct[ProductID],dProduct[CratePrice])</f>
        <v>0.43999999999999995</v>
      </c>
      <c r="N679" t="str">
        <f>_xlfn.XLOOKUP(fSales[[#This Row],[SalesRepID]],dPSalesRep[SalesRepID],dPSalesRep[SalesRep])</f>
        <v>Smitty Rad</v>
      </c>
      <c r="O679" t="str">
        <f>_xlfn.XLOOKUP(fSales[[#This Row],[SalesRepID]],dPSalesRep[SalesRepID],dPSalesRep[Region])</f>
        <v>MidWest</v>
      </c>
      <c r="P679" t="str">
        <f>_xlfn.XLOOKUP(fSales[[#This Row],[ProductID]],dProduct[ProductID],dProduct[Product])</f>
        <v>Kiwi</v>
      </c>
      <c r="Q679">
        <f>_xlfn.XLOOKUP(fSales[[#This Row],[ProductID]],dProduct[ProductID],dProduct[CratePrice])-_xlfn.XLOOKUP(fSales[[#This Row],[ProductID]],dProduct[ProductID],dProduct[CrateCost])</f>
        <v>9.8999999999999986</v>
      </c>
      <c r="R679">
        <f>_xlfn.XLOOKUP(fSales[[#This Row],[ProductID]],dProduct[ProductID],dProduct[CratePrice])</f>
        <v>22.5</v>
      </c>
      <c r="S679">
        <f>_xlfn.XLOOKUP(fSales[[#This Row],[ProductID]],dProduct[ProductID],dProduct[CrateCost])</f>
        <v>12.600000000000001</v>
      </c>
    </row>
    <row r="680" spans="7:19" x14ac:dyDescent="0.25">
      <c r="G680" s="2">
        <v>45750</v>
      </c>
      <c r="H680">
        <v>168</v>
      </c>
      <c r="I680" t="s">
        <v>19</v>
      </c>
      <c r="J680" t="s">
        <v>32</v>
      </c>
      <c r="K680">
        <f>_xlfn.XLOOKUP(fSales[[#This Row],[ProductID]],dProduct[ProductID],dProduct[CratePrice])*fSales[[#This Row],[Units]]</f>
        <v>5880</v>
      </c>
      <c r="L680">
        <f>fSales[[#This Row],[Total sales]]-_xlfn.XLOOKUP(fSales[[#This Row],[ProductID]],dProduct[ProductID],dProduct[CrateCost])*fSales[[#This Row],[Units]]</f>
        <v>3292.7999999999997</v>
      </c>
      <c r="M680">
        <f>(_xlfn.XLOOKUP(fSales[[#This Row],[ProductID]],dProduct[ProductID],dProduct[CratePrice])-_xlfn.XLOOKUP(fSales[[#This Row],[ProductID]],dProduct[ProductID],dProduct[CrateCost]))/_xlfn.XLOOKUP(fSales[[#This Row],[ProductID]],dProduct[ProductID],dProduct[CratePrice])</f>
        <v>0.56000000000000005</v>
      </c>
      <c r="N680" t="str">
        <f>_xlfn.XLOOKUP(fSales[[#This Row],[SalesRepID]],dPSalesRep[SalesRepID],dPSalesRep[SalesRep])</f>
        <v>Shihara Fazzaa</v>
      </c>
      <c r="O680" t="str">
        <f>_xlfn.XLOOKUP(fSales[[#This Row],[SalesRepID]],dPSalesRep[SalesRepID],dPSalesRep[Region])</f>
        <v>East</v>
      </c>
      <c r="P680" t="str">
        <f>_xlfn.XLOOKUP(fSales[[#This Row],[ProductID]],dProduct[ProductID],dProduct[Product])</f>
        <v>Apple</v>
      </c>
      <c r="Q680">
        <f>_xlfn.XLOOKUP(fSales[[#This Row],[ProductID]],dProduct[ProductID],dProduct[CratePrice])-_xlfn.XLOOKUP(fSales[[#This Row],[ProductID]],dProduct[ProductID],dProduct[CrateCost])</f>
        <v>19.600000000000001</v>
      </c>
      <c r="R680">
        <f>_xlfn.XLOOKUP(fSales[[#This Row],[ProductID]],dProduct[ProductID],dProduct[CratePrice])</f>
        <v>35</v>
      </c>
      <c r="S680">
        <f>_xlfn.XLOOKUP(fSales[[#This Row],[ProductID]],dProduct[ProductID],dProduct[CrateCost])</f>
        <v>15.4</v>
      </c>
    </row>
    <row r="681" spans="7:19" x14ac:dyDescent="0.25">
      <c r="G681" s="2">
        <v>45750</v>
      </c>
      <c r="H681">
        <v>264</v>
      </c>
      <c r="I681" t="s">
        <v>21</v>
      </c>
      <c r="J681" t="s">
        <v>29</v>
      </c>
      <c r="K681">
        <f>_xlfn.XLOOKUP(fSales[[#This Row],[ProductID]],dProduct[ProductID],dProduct[CratePrice])*fSales[[#This Row],[Units]]</f>
        <v>5940</v>
      </c>
      <c r="L681">
        <f>fSales[[#This Row],[Total sales]]-_xlfn.XLOOKUP(fSales[[#This Row],[ProductID]],dProduct[ProductID],dProduct[CrateCost])*fSales[[#This Row],[Units]]</f>
        <v>2613.5999999999995</v>
      </c>
      <c r="M681">
        <f>(_xlfn.XLOOKUP(fSales[[#This Row],[ProductID]],dProduct[ProductID],dProduct[CratePrice])-_xlfn.XLOOKUP(fSales[[#This Row],[ProductID]],dProduct[ProductID],dProduct[CrateCost]))/_xlfn.XLOOKUP(fSales[[#This Row],[ProductID]],dProduct[ProductID],dProduct[CratePrice])</f>
        <v>0.43999999999999995</v>
      </c>
      <c r="N681" t="str">
        <f>_xlfn.XLOOKUP(fSales[[#This Row],[SalesRepID]],dPSalesRep[SalesRepID],dPSalesRep[SalesRep])</f>
        <v>Sioux Best</v>
      </c>
      <c r="O681" t="str">
        <f>_xlfn.XLOOKUP(fSales[[#This Row],[SalesRepID]],dPSalesRep[SalesRepID],dPSalesRep[Region])</f>
        <v>West</v>
      </c>
      <c r="P681" t="str">
        <f>_xlfn.XLOOKUP(fSales[[#This Row],[ProductID]],dProduct[ProductID],dProduct[Product])</f>
        <v>Kiwi</v>
      </c>
      <c r="Q681">
        <f>_xlfn.XLOOKUP(fSales[[#This Row],[ProductID]],dProduct[ProductID],dProduct[CratePrice])-_xlfn.XLOOKUP(fSales[[#This Row],[ProductID]],dProduct[ProductID],dProduct[CrateCost])</f>
        <v>9.8999999999999986</v>
      </c>
      <c r="R681">
        <f>_xlfn.XLOOKUP(fSales[[#This Row],[ProductID]],dProduct[ProductID],dProduct[CratePrice])</f>
        <v>22.5</v>
      </c>
      <c r="S681">
        <f>_xlfn.XLOOKUP(fSales[[#This Row],[ProductID]],dProduct[ProductID],dProduct[CrateCost])</f>
        <v>12.600000000000001</v>
      </c>
    </row>
    <row r="682" spans="7:19" x14ac:dyDescent="0.25">
      <c r="G682" s="2">
        <v>45752</v>
      </c>
      <c r="H682">
        <v>156</v>
      </c>
      <c r="I682" t="s">
        <v>21</v>
      </c>
      <c r="J682" t="s">
        <v>29</v>
      </c>
      <c r="K682">
        <f>_xlfn.XLOOKUP(fSales[[#This Row],[ProductID]],dProduct[ProductID],dProduct[CratePrice])*fSales[[#This Row],[Units]]</f>
        <v>3510</v>
      </c>
      <c r="L682">
        <f>fSales[[#This Row],[Total sales]]-_xlfn.XLOOKUP(fSales[[#This Row],[ProductID]],dProduct[ProductID],dProduct[CrateCost])*fSales[[#This Row],[Units]]</f>
        <v>1544.3999999999999</v>
      </c>
      <c r="M682">
        <f>(_xlfn.XLOOKUP(fSales[[#This Row],[ProductID]],dProduct[ProductID],dProduct[CratePrice])-_xlfn.XLOOKUP(fSales[[#This Row],[ProductID]],dProduct[ProductID],dProduct[CrateCost]))/_xlfn.XLOOKUP(fSales[[#This Row],[ProductID]],dProduct[ProductID],dProduct[CratePrice])</f>
        <v>0.43999999999999995</v>
      </c>
      <c r="N682" t="str">
        <f>_xlfn.XLOOKUP(fSales[[#This Row],[SalesRepID]],dPSalesRep[SalesRepID],dPSalesRep[SalesRep])</f>
        <v>Sioux Best</v>
      </c>
      <c r="O682" t="str">
        <f>_xlfn.XLOOKUP(fSales[[#This Row],[SalesRepID]],dPSalesRep[SalesRepID],dPSalesRep[Region])</f>
        <v>West</v>
      </c>
      <c r="P682" t="str">
        <f>_xlfn.XLOOKUP(fSales[[#This Row],[ProductID]],dProduct[ProductID],dProduct[Product])</f>
        <v>Kiwi</v>
      </c>
      <c r="Q682">
        <f>_xlfn.XLOOKUP(fSales[[#This Row],[ProductID]],dProduct[ProductID],dProduct[CratePrice])-_xlfn.XLOOKUP(fSales[[#This Row],[ProductID]],dProduct[ProductID],dProduct[CrateCost])</f>
        <v>9.8999999999999986</v>
      </c>
      <c r="R682">
        <f>_xlfn.XLOOKUP(fSales[[#This Row],[ProductID]],dProduct[ProductID],dProduct[CratePrice])</f>
        <v>22.5</v>
      </c>
      <c r="S682">
        <f>_xlfn.XLOOKUP(fSales[[#This Row],[ProductID]],dProduct[ProductID],dProduct[CrateCost])</f>
        <v>12.600000000000001</v>
      </c>
    </row>
    <row r="683" spans="7:19" x14ac:dyDescent="0.25">
      <c r="G683" s="2">
        <v>45754</v>
      </c>
      <c r="H683">
        <v>120</v>
      </c>
      <c r="I683" t="s">
        <v>28</v>
      </c>
      <c r="J683" t="s">
        <v>22</v>
      </c>
      <c r="K683">
        <f>_xlfn.XLOOKUP(fSales[[#This Row],[ProductID]],dProduct[ProductID],dProduct[CratePrice])*fSales[[#This Row],[Units]]</f>
        <v>5244</v>
      </c>
      <c r="L683">
        <f>fSales[[#This Row],[Total sales]]-_xlfn.XLOOKUP(fSales[[#This Row],[ProductID]],dProduct[ProductID],dProduct[CrateCost])*fSales[[#This Row],[Units]]</f>
        <v>2202.48</v>
      </c>
      <c r="M683">
        <f>(_xlfn.XLOOKUP(fSales[[#This Row],[ProductID]],dProduct[ProductID],dProduct[CratePrice])-_xlfn.XLOOKUP(fSales[[#This Row],[ProductID]],dProduct[ProductID],dProduct[CrateCost]))/_xlfn.XLOOKUP(fSales[[#This Row],[ProductID]],dProduct[ProductID],dProduct[CratePrice])</f>
        <v>0.42000000000000004</v>
      </c>
      <c r="N683" t="str">
        <f>_xlfn.XLOOKUP(fSales[[#This Row],[SalesRepID]],dPSalesRep[SalesRepID],dPSalesRep[SalesRep])</f>
        <v>Timmy Kips</v>
      </c>
      <c r="O683" t="str">
        <f>_xlfn.XLOOKUP(fSales[[#This Row],[SalesRepID]],dPSalesRep[SalesRepID],dPSalesRep[Region])</f>
        <v>East</v>
      </c>
      <c r="P683" t="str">
        <f>_xlfn.XLOOKUP(fSales[[#This Row],[ProductID]],dProduct[ProductID],dProduct[Product])</f>
        <v>Cherry</v>
      </c>
      <c r="Q683">
        <f>_xlfn.XLOOKUP(fSales[[#This Row],[ProductID]],dProduct[ProductID],dProduct[CratePrice])-_xlfn.XLOOKUP(fSales[[#This Row],[ProductID]],dProduct[ProductID],dProduct[CrateCost])</f>
        <v>18.354000000000003</v>
      </c>
      <c r="R683">
        <f>_xlfn.XLOOKUP(fSales[[#This Row],[ProductID]],dProduct[ProductID],dProduct[CratePrice])</f>
        <v>43.7</v>
      </c>
      <c r="S683">
        <f>_xlfn.XLOOKUP(fSales[[#This Row],[ProductID]],dProduct[ProductID],dProduct[CrateCost])</f>
        <v>25.346</v>
      </c>
    </row>
    <row r="684" spans="7:19" x14ac:dyDescent="0.25">
      <c r="G684" s="2">
        <v>45757</v>
      </c>
      <c r="H684">
        <v>240</v>
      </c>
      <c r="I684" t="s">
        <v>28</v>
      </c>
      <c r="J684" t="s">
        <v>22</v>
      </c>
      <c r="K684">
        <f>_xlfn.XLOOKUP(fSales[[#This Row],[ProductID]],dProduct[ProductID],dProduct[CratePrice])*fSales[[#This Row],[Units]]</f>
        <v>10488</v>
      </c>
      <c r="L684">
        <f>fSales[[#This Row],[Total sales]]-_xlfn.XLOOKUP(fSales[[#This Row],[ProductID]],dProduct[ProductID],dProduct[CrateCost])*fSales[[#This Row],[Units]]</f>
        <v>4404.96</v>
      </c>
      <c r="M684">
        <f>(_xlfn.XLOOKUP(fSales[[#This Row],[ProductID]],dProduct[ProductID],dProduct[CratePrice])-_xlfn.XLOOKUP(fSales[[#This Row],[ProductID]],dProduct[ProductID],dProduct[CrateCost]))/_xlfn.XLOOKUP(fSales[[#This Row],[ProductID]],dProduct[ProductID],dProduct[CratePrice])</f>
        <v>0.42000000000000004</v>
      </c>
      <c r="N684" t="str">
        <f>_xlfn.XLOOKUP(fSales[[#This Row],[SalesRepID]],dPSalesRep[SalesRepID],dPSalesRep[SalesRep])</f>
        <v>Timmy Kips</v>
      </c>
      <c r="O684" t="str">
        <f>_xlfn.XLOOKUP(fSales[[#This Row],[SalesRepID]],dPSalesRep[SalesRepID],dPSalesRep[Region])</f>
        <v>East</v>
      </c>
      <c r="P684" t="str">
        <f>_xlfn.XLOOKUP(fSales[[#This Row],[ProductID]],dProduct[ProductID],dProduct[Product])</f>
        <v>Cherry</v>
      </c>
      <c r="Q684">
        <f>_xlfn.XLOOKUP(fSales[[#This Row],[ProductID]],dProduct[ProductID],dProduct[CratePrice])-_xlfn.XLOOKUP(fSales[[#This Row],[ProductID]],dProduct[ProductID],dProduct[CrateCost])</f>
        <v>18.354000000000003</v>
      </c>
      <c r="R684">
        <f>_xlfn.XLOOKUP(fSales[[#This Row],[ProductID]],dProduct[ProductID],dProduct[CratePrice])</f>
        <v>43.7</v>
      </c>
      <c r="S684">
        <f>_xlfn.XLOOKUP(fSales[[#This Row],[ProductID]],dProduct[ProductID],dProduct[CrateCost])</f>
        <v>25.346</v>
      </c>
    </row>
    <row r="685" spans="7:19" x14ac:dyDescent="0.25">
      <c r="G685" s="2">
        <v>45757</v>
      </c>
      <c r="H685">
        <v>252</v>
      </c>
      <c r="I685" t="s">
        <v>34</v>
      </c>
      <c r="J685" t="s">
        <v>29</v>
      </c>
      <c r="K685">
        <f>_xlfn.XLOOKUP(fSales[[#This Row],[ProductID]],dProduct[ProductID],dProduct[CratePrice])*fSales[[#This Row],[Units]]</f>
        <v>4410</v>
      </c>
      <c r="L685">
        <f>fSales[[#This Row],[Total sales]]-_xlfn.XLOOKUP(fSales[[#This Row],[ProductID]],dProduct[ProductID],dProduct[CrateCost])*fSales[[#This Row],[Units]]</f>
        <v>1455.2999999999997</v>
      </c>
      <c r="M685">
        <f>(_xlfn.XLOOKUP(fSales[[#This Row],[ProductID]],dProduct[ProductID],dProduct[CratePrice])-_xlfn.XLOOKUP(fSales[[#This Row],[ProductID]],dProduct[ProductID],dProduct[CrateCost]))/_xlfn.XLOOKUP(fSales[[#This Row],[ProductID]],dProduct[ProductID],dProduct[CratePrice])</f>
        <v>0.3299999999999999</v>
      </c>
      <c r="N685" t="str">
        <f>_xlfn.XLOOKUP(fSales[[#This Row],[SalesRepID]],dPSalesRep[SalesRepID],dPSalesRep[SalesRep])</f>
        <v>Sioux Best</v>
      </c>
      <c r="O685" t="str">
        <f>_xlfn.XLOOKUP(fSales[[#This Row],[SalesRepID]],dPSalesRep[SalesRepID],dPSalesRep[Region])</f>
        <v>West</v>
      </c>
      <c r="P685" t="str">
        <f>_xlfn.XLOOKUP(fSales[[#This Row],[ProductID]],dProduct[ProductID],dProduct[Product])</f>
        <v>Banana</v>
      </c>
      <c r="Q685">
        <f>_xlfn.XLOOKUP(fSales[[#This Row],[ProductID]],dProduct[ProductID],dProduct[CratePrice])-_xlfn.XLOOKUP(fSales[[#This Row],[ProductID]],dProduct[ProductID],dProduct[CrateCost])</f>
        <v>5.7749999999999986</v>
      </c>
      <c r="R685">
        <f>_xlfn.XLOOKUP(fSales[[#This Row],[ProductID]],dProduct[ProductID],dProduct[CratePrice])</f>
        <v>17.5</v>
      </c>
      <c r="S685">
        <f>_xlfn.XLOOKUP(fSales[[#This Row],[ProductID]],dProduct[ProductID],dProduct[CrateCost])</f>
        <v>11.725000000000001</v>
      </c>
    </row>
    <row r="686" spans="7:19" x14ac:dyDescent="0.25">
      <c r="G686" s="2">
        <v>45757</v>
      </c>
      <c r="H686">
        <v>84</v>
      </c>
      <c r="I686" t="s">
        <v>34</v>
      </c>
      <c r="J686" t="s">
        <v>29</v>
      </c>
      <c r="K686">
        <f>_xlfn.XLOOKUP(fSales[[#This Row],[ProductID]],dProduct[ProductID],dProduct[CratePrice])*fSales[[#This Row],[Units]]</f>
        <v>1470</v>
      </c>
      <c r="L686">
        <f>fSales[[#This Row],[Total sales]]-_xlfn.XLOOKUP(fSales[[#This Row],[ProductID]],dProduct[ProductID],dProduct[CrateCost])*fSales[[#This Row],[Units]]</f>
        <v>485.09999999999991</v>
      </c>
      <c r="M686">
        <f>(_xlfn.XLOOKUP(fSales[[#This Row],[ProductID]],dProduct[ProductID],dProduct[CratePrice])-_xlfn.XLOOKUP(fSales[[#This Row],[ProductID]],dProduct[ProductID],dProduct[CrateCost]))/_xlfn.XLOOKUP(fSales[[#This Row],[ProductID]],dProduct[ProductID],dProduct[CratePrice])</f>
        <v>0.3299999999999999</v>
      </c>
      <c r="N686" t="str">
        <f>_xlfn.XLOOKUP(fSales[[#This Row],[SalesRepID]],dPSalesRep[SalesRepID],dPSalesRep[SalesRep])</f>
        <v>Sioux Best</v>
      </c>
      <c r="O686" t="str">
        <f>_xlfn.XLOOKUP(fSales[[#This Row],[SalesRepID]],dPSalesRep[SalesRepID],dPSalesRep[Region])</f>
        <v>West</v>
      </c>
      <c r="P686" t="str">
        <f>_xlfn.XLOOKUP(fSales[[#This Row],[ProductID]],dProduct[ProductID],dProduct[Product])</f>
        <v>Banana</v>
      </c>
      <c r="Q686">
        <f>_xlfn.XLOOKUP(fSales[[#This Row],[ProductID]],dProduct[ProductID],dProduct[CratePrice])-_xlfn.XLOOKUP(fSales[[#This Row],[ProductID]],dProduct[ProductID],dProduct[CrateCost])</f>
        <v>5.7749999999999986</v>
      </c>
      <c r="R686">
        <f>_xlfn.XLOOKUP(fSales[[#This Row],[ProductID]],dProduct[ProductID],dProduct[CratePrice])</f>
        <v>17.5</v>
      </c>
      <c r="S686">
        <f>_xlfn.XLOOKUP(fSales[[#This Row],[ProductID]],dProduct[ProductID],dProduct[CrateCost])</f>
        <v>11.725000000000001</v>
      </c>
    </row>
    <row r="687" spans="7:19" x14ac:dyDescent="0.25">
      <c r="G687" s="2">
        <v>45758</v>
      </c>
      <c r="H687">
        <v>192</v>
      </c>
      <c r="I687" t="s">
        <v>28</v>
      </c>
      <c r="J687" t="s">
        <v>37</v>
      </c>
      <c r="K687">
        <f>_xlfn.XLOOKUP(fSales[[#This Row],[ProductID]],dProduct[ProductID],dProduct[CratePrice])*fSales[[#This Row],[Units]]</f>
        <v>8390.4000000000015</v>
      </c>
      <c r="L687">
        <f>fSales[[#This Row],[Total sales]]-_xlfn.XLOOKUP(fSales[[#This Row],[ProductID]],dProduct[ProductID],dProduct[CrateCost])*fSales[[#This Row],[Units]]</f>
        <v>3523.9680000000017</v>
      </c>
      <c r="M687">
        <f>(_xlfn.XLOOKUP(fSales[[#This Row],[ProductID]],dProduct[ProductID],dProduct[CratePrice])-_xlfn.XLOOKUP(fSales[[#This Row],[ProductID]],dProduct[ProductID],dProduct[CrateCost]))/_xlfn.XLOOKUP(fSales[[#This Row],[ProductID]],dProduct[ProductID],dProduct[CratePrice])</f>
        <v>0.42000000000000004</v>
      </c>
      <c r="N687" t="str">
        <f>_xlfn.XLOOKUP(fSales[[#This Row],[SalesRepID]],dPSalesRep[SalesRepID],dPSalesRep[SalesRep])</f>
        <v>Chantel Mims</v>
      </c>
      <c r="O687" t="str">
        <f>_xlfn.XLOOKUP(fSales[[#This Row],[SalesRepID]],dPSalesRep[SalesRepID],dPSalesRep[Region])</f>
        <v>NW</v>
      </c>
      <c r="P687" t="str">
        <f>_xlfn.XLOOKUP(fSales[[#This Row],[ProductID]],dProduct[ProductID],dProduct[Product])</f>
        <v>Cherry</v>
      </c>
      <c r="Q687">
        <f>_xlfn.XLOOKUP(fSales[[#This Row],[ProductID]],dProduct[ProductID],dProduct[CratePrice])-_xlfn.XLOOKUP(fSales[[#This Row],[ProductID]],dProduct[ProductID],dProduct[CrateCost])</f>
        <v>18.354000000000003</v>
      </c>
      <c r="R687">
        <f>_xlfn.XLOOKUP(fSales[[#This Row],[ProductID]],dProduct[ProductID],dProduct[CratePrice])</f>
        <v>43.7</v>
      </c>
      <c r="S687">
        <f>_xlfn.XLOOKUP(fSales[[#This Row],[ProductID]],dProduct[ProductID],dProduct[CrateCost])</f>
        <v>25.346</v>
      </c>
    </row>
    <row r="688" spans="7:19" x14ac:dyDescent="0.25">
      <c r="G688" s="2">
        <v>45758</v>
      </c>
      <c r="H688">
        <v>120</v>
      </c>
      <c r="I688" t="s">
        <v>34</v>
      </c>
      <c r="J688" t="s">
        <v>29</v>
      </c>
      <c r="K688">
        <f>_xlfn.XLOOKUP(fSales[[#This Row],[ProductID]],dProduct[ProductID],dProduct[CratePrice])*fSales[[#This Row],[Units]]</f>
        <v>2100</v>
      </c>
      <c r="L688">
        <f>fSales[[#This Row],[Total sales]]-_xlfn.XLOOKUP(fSales[[#This Row],[ProductID]],dProduct[ProductID],dProduct[CrateCost])*fSales[[#This Row],[Units]]</f>
        <v>692.99999999999977</v>
      </c>
      <c r="M688">
        <f>(_xlfn.XLOOKUP(fSales[[#This Row],[ProductID]],dProduct[ProductID],dProduct[CratePrice])-_xlfn.XLOOKUP(fSales[[#This Row],[ProductID]],dProduct[ProductID],dProduct[CrateCost]))/_xlfn.XLOOKUP(fSales[[#This Row],[ProductID]],dProduct[ProductID],dProduct[CratePrice])</f>
        <v>0.3299999999999999</v>
      </c>
      <c r="N688" t="str">
        <f>_xlfn.XLOOKUP(fSales[[#This Row],[SalesRepID]],dPSalesRep[SalesRepID],dPSalesRep[SalesRep])</f>
        <v>Sioux Best</v>
      </c>
      <c r="O688" t="str">
        <f>_xlfn.XLOOKUP(fSales[[#This Row],[SalesRepID]],dPSalesRep[SalesRepID],dPSalesRep[Region])</f>
        <v>West</v>
      </c>
      <c r="P688" t="str">
        <f>_xlfn.XLOOKUP(fSales[[#This Row],[ProductID]],dProduct[ProductID],dProduct[Product])</f>
        <v>Banana</v>
      </c>
      <c r="Q688">
        <f>_xlfn.XLOOKUP(fSales[[#This Row],[ProductID]],dProduct[ProductID],dProduct[CratePrice])-_xlfn.XLOOKUP(fSales[[#This Row],[ProductID]],dProduct[ProductID],dProduct[CrateCost])</f>
        <v>5.7749999999999986</v>
      </c>
      <c r="R688">
        <f>_xlfn.XLOOKUP(fSales[[#This Row],[ProductID]],dProduct[ProductID],dProduct[CratePrice])</f>
        <v>17.5</v>
      </c>
      <c r="S688">
        <f>_xlfn.XLOOKUP(fSales[[#This Row],[ProductID]],dProduct[ProductID],dProduct[CrateCost])</f>
        <v>11.725000000000001</v>
      </c>
    </row>
    <row r="689" spans="7:19" x14ac:dyDescent="0.25">
      <c r="G689" s="2">
        <v>45758</v>
      </c>
      <c r="H689">
        <v>288</v>
      </c>
      <c r="I689" t="s">
        <v>21</v>
      </c>
      <c r="J689" t="s">
        <v>22</v>
      </c>
      <c r="K689">
        <f>_xlfn.XLOOKUP(fSales[[#This Row],[ProductID]],dProduct[ProductID],dProduct[CratePrice])*fSales[[#This Row],[Units]]</f>
        <v>6480</v>
      </c>
      <c r="L689">
        <f>fSales[[#This Row],[Total sales]]-_xlfn.XLOOKUP(fSales[[#This Row],[ProductID]],dProduct[ProductID],dProduct[CrateCost])*fSales[[#This Row],[Units]]</f>
        <v>2851.2</v>
      </c>
      <c r="M689">
        <f>(_xlfn.XLOOKUP(fSales[[#This Row],[ProductID]],dProduct[ProductID],dProduct[CratePrice])-_xlfn.XLOOKUP(fSales[[#This Row],[ProductID]],dProduct[ProductID],dProduct[CrateCost]))/_xlfn.XLOOKUP(fSales[[#This Row],[ProductID]],dProduct[ProductID],dProduct[CratePrice])</f>
        <v>0.43999999999999995</v>
      </c>
      <c r="N689" t="str">
        <f>_xlfn.XLOOKUP(fSales[[#This Row],[SalesRepID]],dPSalesRep[SalesRepID],dPSalesRep[SalesRep])</f>
        <v>Timmy Kips</v>
      </c>
      <c r="O689" t="str">
        <f>_xlfn.XLOOKUP(fSales[[#This Row],[SalesRepID]],dPSalesRep[SalesRepID],dPSalesRep[Region])</f>
        <v>East</v>
      </c>
      <c r="P689" t="str">
        <f>_xlfn.XLOOKUP(fSales[[#This Row],[ProductID]],dProduct[ProductID],dProduct[Product])</f>
        <v>Kiwi</v>
      </c>
      <c r="Q689">
        <f>_xlfn.XLOOKUP(fSales[[#This Row],[ProductID]],dProduct[ProductID],dProduct[CratePrice])-_xlfn.XLOOKUP(fSales[[#This Row],[ProductID]],dProduct[ProductID],dProduct[CrateCost])</f>
        <v>9.8999999999999986</v>
      </c>
      <c r="R689">
        <f>_xlfn.XLOOKUP(fSales[[#This Row],[ProductID]],dProduct[ProductID],dProduct[CratePrice])</f>
        <v>22.5</v>
      </c>
      <c r="S689">
        <f>_xlfn.XLOOKUP(fSales[[#This Row],[ProductID]],dProduct[ProductID],dProduct[CrateCost])</f>
        <v>12.600000000000001</v>
      </c>
    </row>
    <row r="690" spans="7:19" x14ac:dyDescent="0.25">
      <c r="G690" s="2">
        <v>45758</v>
      </c>
      <c r="H690">
        <v>192</v>
      </c>
      <c r="I690" t="s">
        <v>21</v>
      </c>
      <c r="J690" t="s">
        <v>32</v>
      </c>
      <c r="K690">
        <f>_xlfn.XLOOKUP(fSales[[#This Row],[ProductID]],dProduct[ProductID],dProduct[CratePrice])*fSales[[#This Row],[Units]]</f>
        <v>4320</v>
      </c>
      <c r="L690">
        <f>fSales[[#This Row],[Total sales]]-_xlfn.XLOOKUP(fSales[[#This Row],[ProductID]],dProduct[ProductID],dProduct[CrateCost])*fSales[[#This Row],[Units]]</f>
        <v>1900.7999999999997</v>
      </c>
      <c r="M690">
        <f>(_xlfn.XLOOKUP(fSales[[#This Row],[ProductID]],dProduct[ProductID],dProduct[CratePrice])-_xlfn.XLOOKUP(fSales[[#This Row],[ProductID]],dProduct[ProductID],dProduct[CrateCost]))/_xlfn.XLOOKUP(fSales[[#This Row],[ProductID]],dProduct[ProductID],dProduct[CratePrice])</f>
        <v>0.43999999999999995</v>
      </c>
      <c r="N690" t="str">
        <f>_xlfn.XLOOKUP(fSales[[#This Row],[SalesRepID]],dPSalesRep[SalesRepID],dPSalesRep[SalesRep])</f>
        <v>Shihara Fazzaa</v>
      </c>
      <c r="O690" t="str">
        <f>_xlfn.XLOOKUP(fSales[[#This Row],[SalesRepID]],dPSalesRep[SalesRepID],dPSalesRep[Region])</f>
        <v>East</v>
      </c>
      <c r="P690" t="str">
        <f>_xlfn.XLOOKUP(fSales[[#This Row],[ProductID]],dProduct[ProductID],dProduct[Product])</f>
        <v>Kiwi</v>
      </c>
      <c r="Q690">
        <f>_xlfn.XLOOKUP(fSales[[#This Row],[ProductID]],dProduct[ProductID],dProduct[CratePrice])-_xlfn.XLOOKUP(fSales[[#This Row],[ProductID]],dProduct[ProductID],dProduct[CrateCost])</f>
        <v>9.8999999999999986</v>
      </c>
      <c r="R690">
        <f>_xlfn.XLOOKUP(fSales[[#This Row],[ProductID]],dProduct[ProductID],dProduct[CratePrice])</f>
        <v>22.5</v>
      </c>
      <c r="S690">
        <f>_xlfn.XLOOKUP(fSales[[#This Row],[ProductID]],dProduct[ProductID],dProduct[CrateCost])</f>
        <v>12.600000000000001</v>
      </c>
    </row>
    <row r="691" spans="7:19" x14ac:dyDescent="0.25">
      <c r="G691" s="2">
        <v>45759</v>
      </c>
      <c r="H691">
        <v>180</v>
      </c>
      <c r="I691" t="s">
        <v>19</v>
      </c>
      <c r="J691" t="s">
        <v>32</v>
      </c>
      <c r="K691">
        <f>_xlfn.XLOOKUP(fSales[[#This Row],[ProductID]],dProduct[ProductID],dProduct[CratePrice])*fSales[[#This Row],[Units]]</f>
        <v>6300</v>
      </c>
      <c r="L691">
        <f>fSales[[#This Row],[Total sales]]-_xlfn.XLOOKUP(fSales[[#This Row],[ProductID]],dProduct[ProductID],dProduct[CrateCost])*fSales[[#This Row],[Units]]</f>
        <v>3528</v>
      </c>
      <c r="M691">
        <f>(_xlfn.XLOOKUP(fSales[[#This Row],[ProductID]],dProduct[ProductID],dProduct[CratePrice])-_xlfn.XLOOKUP(fSales[[#This Row],[ProductID]],dProduct[ProductID],dProduct[CrateCost]))/_xlfn.XLOOKUP(fSales[[#This Row],[ProductID]],dProduct[ProductID],dProduct[CratePrice])</f>
        <v>0.56000000000000005</v>
      </c>
      <c r="N691" t="str">
        <f>_xlfn.XLOOKUP(fSales[[#This Row],[SalesRepID]],dPSalesRep[SalesRepID],dPSalesRep[SalesRep])</f>
        <v>Shihara Fazzaa</v>
      </c>
      <c r="O691" t="str">
        <f>_xlfn.XLOOKUP(fSales[[#This Row],[SalesRepID]],dPSalesRep[SalesRepID],dPSalesRep[Region])</f>
        <v>East</v>
      </c>
      <c r="P691" t="str">
        <f>_xlfn.XLOOKUP(fSales[[#This Row],[ProductID]],dProduct[ProductID],dProduct[Product])</f>
        <v>Apple</v>
      </c>
      <c r="Q691">
        <f>_xlfn.XLOOKUP(fSales[[#This Row],[ProductID]],dProduct[ProductID],dProduct[CratePrice])-_xlfn.XLOOKUP(fSales[[#This Row],[ProductID]],dProduct[ProductID],dProduct[CrateCost])</f>
        <v>19.600000000000001</v>
      </c>
      <c r="R691">
        <f>_xlfn.XLOOKUP(fSales[[#This Row],[ProductID]],dProduct[ProductID],dProduct[CratePrice])</f>
        <v>35</v>
      </c>
      <c r="S691">
        <f>_xlfn.XLOOKUP(fSales[[#This Row],[ProductID]],dProduct[ProductID],dProduct[CrateCost])</f>
        <v>15.4</v>
      </c>
    </row>
    <row r="692" spans="7:19" x14ac:dyDescent="0.25">
      <c r="G692" s="2">
        <v>45759</v>
      </c>
      <c r="H692">
        <v>132</v>
      </c>
      <c r="I692" t="s">
        <v>21</v>
      </c>
      <c r="J692" t="s">
        <v>32</v>
      </c>
      <c r="K692">
        <f>_xlfn.XLOOKUP(fSales[[#This Row],[ProductID]],dProduct[ProductID],dProduct[CratePrice])*fSales[[#This Row],[Units]]</f>
        <v>2970</v>
      </c>
      <c r="L692">
        <f>fSales[[#This Row],[Total sales]]-_xlfn.XLOOKUP(fSales[[#This Row],[ProductID]],dProduct[ProductID],dProduct[CrateCost])*fSales[[#This Row],[Units]]</f>
        <v>1306.7999999999997</v>
      </c>
      <c r="M692">
        <f>(_xlfn.XLOOKUP(fSales[[#This Row],[ProductID]],dProduct[ProductID],dProduct[CratePrice])-_xlfn.XLOOKUP(fSales[[#This Row],[ProductID]],dProduct[ProductID],dProduct[CrateCost]))/_xlfn.XLOOKUP(fSales[[#This Row],[ProductID]],dProduct[ProductID],dProduct[CratePrice])</f>
        <v>0.43999999999999995</v>
      </c>
      <c r="N692" t="str">
        <f>_xlfn.XLOOKUP(fSales[[#This Row],[SalesRepID]],dPSalesRep[SalesRepID],dPSalesRep[SalesRep])</f>
        <v>Shihara Fazzaa</v>
      </c>
      <c r="O692" t="str">
        <f>_xlfn.XLOOKUP(fSales[[#This Row],[SalesRepID]],dPSalesRep[SalesRepID],dPSalesRep[Region])</f>
        <v>East</v>
      </c>
      <c r="P692" t="str">
        <f>_xlfn.XLOOKUP(fSales[[#This Row],[ProductID]],dProduct[ProductID],dProduct[Product])</f>
        <v>Kiwi</v>
      </c>
      <c r="Q692">
        <f>_xlfn.XLOOKUP(fSales[[#This Row],[ProductID]],dProduct[ProductID],dProduct[CratePrice])-_xlfn.XLOOKUP(fSales[[#This Row],[ProductID]],dProduct[ProductID],dProduct[CrateCost])</f>
        <v>9.8999999999999986</v>
      </c>
      <c r="R692">
        <f>_xlfn.XLOOKUP(fSales[[#This Row],[ProductID]],dProduct[ProductID],dProduct[CratePrice])</f>
        <v>22.5</v>
      </c>
      <c r="S692">
        <f>_xlfn.XLOOKUP(fSales[[#This Row],[ProductID]],dProduct[ProductID],dProduct[CrateCost])</f>
        <v>12.600000000000001</v>
      </c>
    </row>
    <row r="693" spans="7:19" x14ac:dyDescent="0.25">
      <c r="G693" s="2">
        <v>45760</v>
      </c>
      <c r="H693">
        <v>60</v>
      </c>
      <c r="I693" t="s">
        <v>21</v>
      </c>
      <c r="J693" t="s">
        <v>37</v>
      </c>
      <c r="K693">
        <f>_xlfn.XLOOKUP(fSales[[#This Row],[ProductID]],dProduct[ProductID],dProduct[CratePrice])*fSales[[#This Row],[Units]]</f>
        <v>1350</v>
      </c>
      <c r="L693">
        <f>fSales[[#This Row],[Total sales]]-_xlfn.XLOOKUP(fSales[[#This Row],[ProductID]],dProduct[ProductID],dProduct[CrateCost])*fSales[[#This Row],[Units]]</f>
        <v>593.99999999999989</v>
      </c>
      <c r="M693">
        <f>(_xlfn.XLOOKUP(fSales[[#This Row],[ProductID]],dProduct[ProductID],dProduct[CratePrice])-_xlfn.XLOOKUP(fSales[[#This Row],[ProductID]],dProduct[ProductID],dProduct[CrateCost]))/_xlfn.XLOOKUP(fSales[[#This Row],[ProductID]],dProduct[ProductID],dProduct[CratePrice])</f>
        <v>0.43999999999999995</v>
      </c>
      <c r="N693" t="str">
        <f>_xlfn.XLOOKUP(fSales[[#This Row],[SalesRepID]],dPSalesRep[SalesRepID],dPSalesRep[SalesRep])</f>
        <v>Chantel Mims</v>
      </c>
      <c r="O693" t="str">
        <f>_xlfn.XLOOKUP(fSales[[#This Row],[SalesRepID]],dPSalesRep[SalesRepID],dPSalesRep[Region])</f>
        <v>NW</v>
      </c>
      <c r="P693" t="str">
        <f>_xlfn.XLOOKUP(fSales[[#This Row],[ProductID]],dProduct[ProductID],dProduct[Product])</f>
        <v>Kiwi</v>
      </c>
      <c r="Q693">
        <f>_xlfn.XLOOKUP(fSales[[#This Row],[ProductID]],dProduct[ProductID],dProduct[CratePrice])-_xlfn.XLOOKUP(fSales[[#This Row],[ProductID]],dProduct[ProductID],dProduct[CrateCost])</f>
        <v>9.8999999999999986</v>
      </c>
      <c r="R693">
        <f>_xlfn.XLOOKUP(fSales[[#This Row],[ProductID]],dProduct[ProductID],dProduct[CratePrice])</f>
        <v>22.5</v>
      </c>
      <c r="S693">
        <f>_xlfn.XLOOKUP(fSales[[#This Row],[ProductID]],dProduct[ProductID],dProduct[CrateCost])</f>
        <v>12.600000000000001</v>
      </c>
    </row>
    <row r="694" spans="7:19" x14ac:dyDescent="0.25">
      <c r="G694" s="2">
        <v>45761</v>
      </c>
      <c r="H694">
        <v>132</v>
      </c>
      <c r="I694" t="s">
        <v>19</v>
      </c>
      <c r="J694" t="s">
        <v>32</v>
      </c>
      <c r="K694">
        <f>_xlfn.XLOOKUP(fSales[[#This Row],[ProductID]],dProduct[ProductID],dProduct[CratePrice])*fSales[[#This Row],[Units]]</f>
        <v>4620</v>
      </c>
      <c r="L694">
        <f>fSales[[#This Row],[Total sales]]-_xlfn.XLOOKUP(fSales[[#This Row],[ProductID]],dProduct[ProductID],dProduct[CrateCost])*fSales[[#This Row],[Units]]</f>
        <v>2587.1999999999998</v>
      </c>
      <c r="M694">
        <f>(_xlfn.XLOOKUP(fSales[[#This Row],[ProductID]],dProduct[ProductID],dProduct[CratePrice])-_xlfn.XLOOKUP(fSales[[#This Row],[ProductID]],dProduct[ProductID],dProduct[CrateCost]))/_xlfn.XLOOKUP(fSales[[#This Row],[ProductID]],dProduct[ProductID],dProduct[CratePrice])</f>
        <v>0.56000000000000005</v>
      </c>
      <c r="N694" t="str">
        <f>_xlfn.XLOOKUP(fSales[[#This Row],[SalesRepID]],dPSalesRep[SalesRepID],dPSalesRep[SalesRep])</f>
        <v>Shihara Fazzaa</v>
      </c>
      <c r="O694" t="str">
        <f>_xlfn.XLOOKUP(fSales[[#This Row],[SalesRepID]],dPSalesRep[SalesRepID],dPSalesRep[Region])</f>
        <v>East</v>
      </c>
      <c r="P694" t="str">
        <f>_xlfn.XLOOKUP(fSales[[#This Row],[ProductID]],dProduct[ProductID],dProduct[Product])</f>
        <v>Apple</v>
      </c>
      <c r="Q694">
        <f>_xlfn.XLOOKUP(fSales[[#This Row],[ProductID]],dProduct[ProductID],dProduct[CratePrice])-_xlfn.XLOOKUP(fSales[[#This Row],[ProductID]],dProduct[ProductID],dProduct[CrateCost])</f>
        <v>19.600000000000001</v>
      </c>
      <c r="R694">
        <f>_xlfn.XLOOKUP(fSales[[#This Row],[ProductID]],dProduct[ProductID],dProduct[CratePrice])</f>
        <v>35</v>
      </c>
      <c r="S694">
        <f>_xlfn.XLOOKUP(fSales[[#This Row],[ProductID]],dProduct[ProductID],dProduct[CrateCost])</f>
        <v>15.4</v>
      </c>
    </row>
    <row r="695" spans="7:19" x14ac:dyDescent="0.25">
      <c r="G695" s="2">
        <v>45761</v>
      </c>
      <c r="H695">
        <v>192</v>
      </c>
      <c r="I695" t="s">
        <v>28</v>
      </c>
      <c r="J695" t="s">
        <v>22</v>
      </c>
      <c r="K695">
        <f>_xlfn.XLOOKUP(fSales[[#This Row],[ProductID]],dProduct[ProductID],dProduct[CratePrice])*fSales[[#This Row],[Units]]</f>
        <v>8390.4000000000015</v>
      </c>
      <c r="L695">
        <f>fSales[[#This Row],[Total sales]]-_xlfn.XLOOKUP(fSales[[#This Row],[ProductID]],dProduct[ProductID],dProduct[CrateCost])*fSales[[#This Row],[Units]]</f>
        <v>3523.9680000000017</v>
      </c>
      <c r="M695">
        <f>(_xlfn.XLOOKUP(fSales[[#This Row],[ProductID]],dProduct[ProductID],dProduct[CratePrice])-_xlfn.XLOOKUP(fSales[[#This Row],[ProductID]],dProduct[ProductID],dProduct[CrateCost]))/_xlfn.XLOOKUP(fSales[[#This Row],[ProductID]],dProduct[ProductID],dProduct[CratePrice])</f>
        <v>0.42000000000000004</v>
      </c>
      <c r="N695" t="str">
        <f>_xlfn.XLOOKUP(fSales[[#This Row],[SalesRepID]],dPSalesRep[SalesRepID],dPSalesRep[SalesRep])</f>
        <v>Timmy Kips</v>
      </c>
      <c r="O695" t="str">
        <f>_xlfn.XLOOKUP(fSales[[#This Row],[SalesRepID]],dPSalesRep[SalesRepID],dPSalesRep[Region])</f>
        <v>East</v>
      </c>
      <c r="P695" t="str">
        <f>_xlfn.XLOOKUP(fSales[[#This Row],[ProductID]],dProduct[ProductID],dProduct[Product])</f>
        <v>Cherry</v>
      </c>
      <c r="Q695">
        <f>_xlfn.XLOOKUP(fSales[[#This Row],[ProductID]],dProduct[ProductID],dProduct[CratePrice])-_xlfn.XLOOKUP(fSales[[#This Row],[ProductID]],dProduct[ProductID],dProduct[CrateCost])</f>
        <v>18.354000000000003</v>
      </c>
      <c r="R695">
        <f>_xlfn.XLOOKUP(fSales[[#This Row],[ProductID]],dProduct[ProductID],dProduct[CratePrice])</f>
        <v>43.7</v>
      </c>
      <c r="S695">
        <f>_xlfn.XLOOKUP(fSales[[#This Row],[ProductID]],dProduct[ProductID],dProduct[CrateCost])</f>
        <v>25.346</v>
      </c>
    </row>
    <row r="696" spans="7:19" x14ac:dyDescent="0.25">
      <c r="G696" s="2">
        <v>45763</v>
      </c>
      <c r="H696">
        <v>264</v>
      </c>
      <c r="I696" t="s">
        <v>34</v>
      </c>
      <c r="J696" t="s">
        <v>29</v>
      </c>
      <c r="K696">
        <f>_xlfn.XLOOKUP(fSales[[#This Row],[ProductID]],dProduct[ProductID],dProduct[CratePrice])*fSales[[#This Row],[Units]]</f>
        <v>4620</v>
      </c>
      <c r="L696">
        <f>fSales[[#This Row],[Total sales]]-_xlfn.XLOOKUP(fSales[[#This Row],[ProductID]],dProduct[ProductID],dProduct[CrateCost])*fSales[[#This Row],[Units]]</f>
        <v>1524.5999999999995</v>
      </c>
      <c r="M696">
        <f>(_xlfn.XLOOKUP(fSales[[#This Row],[ProductID]],dProduct[ProductID],dProduct[CratePrice])-_xlfn.XLOOKUP(fSales[[#This Row],[ProductID]],dProduct[ProductID],dProduct[CrateCost]))/_xlfn.XLOOKUP(fSales[[#This Row],[ProductID]],dProduct[ProductID],dProduct[CratePrice])</f>
        <v>0.3299999999999999</v>
      </c>
      <c r="N696" t="str">
        <f>_xlfn.XLOOKUP(fSales[[#This Row],[SalesRepID]],dPSalesRep[SalesRepID],dPSalesRep[SalesRep])</f>
        <v>Sioux Best</v>
      </c>
      <c r="O696" t="str">
        <f>_xlfn.XLOOKUP(fSales[[#This Row],[SalesRepID]],dPSalesRep[SalesRepID],dPSalesRep[Region])</f>
        <v>West</v>
      </c>
      <c r="P696" t="str">
        <f>_xlfn.XLOOKUP(fSales[[#This Row],[ProductID]],dProduct[ProductID],dProduct[Product])</f>
        <v>Banana</v>
      </c>
      <c r="Q696">
        <f>_xlfn.XLOOKUP(fSales[[#This Row],[ProductID]],dProduct[ProductID],dProduct[CratePrice])-_xlfn.XLOOKUP(fSales[[#This Row],[ProductID]],dProduct[ProductID],dProduct[CrateCost])</f>
        <v>5.7749999999999986</v>
      </c>
      <c r="R696">
        <f>_xlfn.XLOOKUP(fSales[[#This Row],[ProductID]],dProduct[ProductID],dProduct[CratePrice])</f>
        <v>17.5</v>
      </c>
      <c r="S696">
        <f>_xlfn.XLOOKUP(fSales[[#This Row],[ProductID]],dProduct[ProductID],dProduct[CrateCost])</f>
        <v>11.725000000000001</v>
      </c>
    </row>
    <row r="697" spans="7:19" x14ac:dyDescent="0.25">
      <c r="G697" s="2">
        <v>45765</v>
      </c>
      <c r="H697">
        <v>216</v>
      </c>
      <c r="I697" t="s">
        <v>26</v>
      </c>
      <c r="J697" t="s">
        <v>29</v>
      </c>
      <c r="K697">
        <f>_xlfn.XLOOKUP(fSales[[#This Row],[ProductID]],dProduct[ProductID],dProduct[CratePrice])*fSales[[#This Row],[Units]]</f>
        <v>6426</v>
      </c>
      <c r="L697">
        <f>fSales[[#This Row],[Total sales]]-_xlfn.XLOOKUP(fSales[[#This Row],[ProductID]],dProduct[ProductID],dProduct[CrateCost])*fSales[[#This Row],[Units]]</f>
        <v>2698.92</v>
      </c>
      <c r="M697">
        <f>(_xlfn.XLOOKUP(fSales[[#This Row],[ProductID]],dProduct[ProductID],dProduct[CratePrice])-_xlfn.XLOOKUP(fSales[[#This Row],[ProductID]],dProduct[ProductID],dProduct[CrateCost]))/_xlfn.XLOOKUP(fSales[[#This Row],[ProductID]],dProduct[ProductID],dProduct[CratePrice])</f>
        <v>0.42000000000000004</v>
      </c>
      <c r="N697" t="str">
        <f>_xlfn.XLOOKUP(fSales[[#This Row],[SalesRepID]],dPSalesRep[SalesRepID],dPSalesRep[SalesRep])</f>
        <v>Sioux Best</v>
      </c>
      <c r="O697" t="str">
        <f>_xlfn.XLOOKUP(fSales[[#This Row],[SalesRepID]],dPSalesRep[SalesRepID],dPSalesRep[Region])</f>
        <v>West</v>
      </c>
      <c r="P697" t="str">
        <f>_xlfn.XLOOKUP(fSales[[#This Row],[ProductID]],dProduct[ProductID],dProduct[Product])</f>
        <v>Orange</v>
      </c>
      <c r="Q697">
        <f>_xlfn.XLOOKUP(fSales[[#This Row],[ProductID]],dProduct[ProductID],dProduct[CratePrice])-_xlfn.XLOOKUP(fSales[[#This Row],[ProductID]],dProduct[ProductID],dProduct[CrateCost])</f>
        <v>12.495000000000001</v>
      </c>
      <c r="R697">
        <f>_xlfn.XLOOKUP(fSales[[#This Row],[ProductID]],dProduct[ProductID],dProduct[CratePrice])</f>
        <v>29.75</v>
      </c>
      <c r="S697">
        <f>_xlfn.XLOOKUP(fSales[[#This Row],[ProductID]],dProduct[ProductID],dProduct[CrateCost])</f>
        <v>17.254999999999999</v>
      </c>
    </row>
    <row r="698" spans="7:19" x14ac:dyDescent="0.25">
      <c r="G698" s="2">
        <v>45767</v>
      </c>
      <c r="H698">
        <v>204</v>
      </c>
      <c r="I698" t="s">
        <v>21</v>
      </c>
      <c r="J698" t="s">
        <v>52</v>
      </c>
      <c r="K698">
        <f>_xlfn.XLOOKUP(fSales[[#This Row],[ProductID]],dProduct[ProductID],dProduct[CratePrice])*fSales[[#This Row],[Units]]</f>
        <v>4590</v>
      </c>
      <c r="L698">
        <f>fSales[[#This Row],[Total sales]]-_xlfn.XLOOKUP(fSales[[#This Row],[ProductID]],dProduct[ProductID],dProduct[CrateCost])*fSales[[#This Row],[Units]]</f>
        <v>2019.6</v>
      </c>
      <c r="M698">
        <f>(_xlfn.XLOOKUP(fSales[[#This Row],[ProductID]],dProduct[ProductID],dProduct[CratePrice])-_xlfn.XLOOKUP(fSales[[#This Row],[ProductID]],dProduct[ProductID],dProduct[CrateCost]))/_xlfn.XLOOKUP(fSales[[#This Row],[ProductID]],dProduct[ProductID],dProduct[CratePrice])</f>
        <v>0.43999999999999995</v>
      </c>
      <c r="N698" t="str">
        <f>_xlfn.XLOOKUP(fSales[[#This Row],[SalesRepID]],dPSalesRep[SalesRepID],dPSalesRep[SalesRep])</f>
        <v>Smitty Rad</v>
      </c>
      <c r="O698" t="str">
        <f>_xlfn.XLOOKUP(fSales[[#This Row],[SalesRepID]],dPSalesRep[SalesRepID],dPSalesRep[Region])</f>
        <v>MidWest</v>
      </c>
      <c r="P698" t="str">
        <f>_xlfn.XLOOKUP(fSales[[#This Row],[ProductID]],dProduct[ProductID],dProduct[Product])</f>
        <v>Kiwi</v>
      </c>
      <c r="Q698">
        <f>_xlfn.XLOOKUP(fSales[[#This Row],[ProductID]],dProduct[ProductID],dProduct[CratePrice])-_xlfn.XLOOKUP(fSales[[#This Row],[ProductID]],dProduct[ProductID],dProduct[CrateCost])</f>
        <v>9.8999999999999986</v>
      </c>
      <c r="R698">
        <f>_xlfn.XLOOKUP(fSales[[#This Row],[ProductID]],dProduct[ProductID],dProduct[CratePrice])</f>
        <v>22.5</v>
      </c>
      <c r="S698">
        <f>_xlfn.XLOOKUP(fSales[[#This Row],[ProductID]],dProduct[ProductID],dProduct[CrateCost])</f>
        <v>12.600000000000001</v>
      </c>
    </row>
    <row r="699" spans="7:19" x14ac:dyDescent="0.25">
      <c r="G699" s="2">
        <v>45768</v>
      </c>
      <c r="H699">
        <v>72</v>
      </c>
      <c r="I699" t="s">
        <v>34</v>
      </c>
      <c r="J699" t="s">
        <v>29</v>
      </c>
      <c r="K699">
        <f>_xlfn.XLOOKUP(fSales[[#This Row],[ProductID]],dProduct[ProductID],dProduct[CratePrice])*fSales[[#This Row],[Units]]</f>
        <v>1260</v>
      </c>
      <c r="L699">
        <f>fSales[[#This Row],[Total sales]]-_xlfn.XLOOKUP(fSales[[#This Row],[ProductID]],dProduct[ProductID],dProduct[CrateCost])*fSales[[#This Row],[Units]]</f>
        <v>415.79999999999995</v>
      </c>
      <c r="M699">
        <f>(_xlfn.XLOOKUP(fSales[[#This Row],[ProductID]],dProduct[ProductID],dProduct[CratePrice])-_xlfn.XLOOKUP(fSales[[#This Row],[ProductID]],dProduct[ProductID],dProduct[CrateCost]))/_xlfn.XLOOKUP(fSales[[#This Row],[ProductID]],dProduct[ProductID],dProduct[CratePrice])</f>
        <v>0.3299999999999999</v>
      </c>
      <c r="N699" t="str">
        <f>_xlfn.XLOOKUP(fSales[[#This Row],[SalesRepID]],dPSalesRep[SalesRepID],dPSalesRep[SalesRep])</f>
        <v>Sioux Best</v>
      </c>
      <c r="O699" t="str">
        <f>_xlfn.XLOOKUP(fSales[[#This Row],[SalesRepID]],dPSalesRep[SalesRepID],dPSalesRep[Region])</f>
        <v>West</v>
      </c>
      <c r="P699" t="str">
        <f>_xlfn.XLOOKUP(fSales[[#This Row],[ProductID]],dProduct[ProductID],dProduct[Product])</f>
        <v>Banana</v>
      </c>
      <c r="Q699">
        <f>_xlfn.XLOOKUP(fSales[[#This Row],[ProductID]],dProduct[ProductID],dProduct[CratePrice])-_xlfn.XLOOKUP(fSales[[#This Row],[ProductID]],dProduct[ProductID],dProduct[CrateCost])</f>
        <v>5.7749999999999986</v>
      </c>
      <c r="R699">
        <f>_xlfn.XLOOKUP(fSales[[#This Row],[ProductID]],dProduct[ProductID],dProduct[CratePrice])</f>
        <v>17.5</v>
      </c>
      <c r="S699">
        <f>_xlfn.XLOOKUP(fSales[[#This Row],[ProductID]],dProduct[ProductID],dProduct[CrateCost])</f>
        <v>11.725000000000001</v>
      </c>
    </row>
    <row r="700" spans="7:19" x14ac:dyDescent="0.25">
      <c r="G700" s="2">
        <v>45768</v>
      </c>
      <c r="H700">
        <v>252</v>
      </c>
      <c r="I700" t="s">
        <v>21</v>
      </c>
      <c r="J700" t="s">
        <v>22</v>
      </c>
      <c r="K700">
        <f>_xlfn.XLOOKUP(fSales[[#This Row],[ProductID]],dProduct[ProductID],dProduct[CratePrice])*fSales[[#This Row],[Units]]</f>
        <v>5670</v>
      </c>
      <c r="L700">
        <f>fSales[[#This Row],[Total sales]]-_xlfn.XLOOKUP(fSales[[#This Row],[ProductID]],dProduct[ProductID],dProduct[CrateCost])*fSales[[#This Row],[Units]]</f>
        <v>2494.7999999999997</v>
      </c>
      <c r="M700">
        <f>(_xlfn.XLOOKUP(fSales[[#This Row],[ProductID]],dProduct[ProductID],dProduct[CratePrice])-_xlfn.XLOOKUP(fSales[[#This Row],[ProductID]],dProduct[ProductID],dProduct[CrateCost]))/_xlfn.XLOOKUP(fSales[[#This Row],[ProductID]],dProduct[ProductID],dProduct[CratePrice])</f>
        <v>0.43999999999999995</v>
      </c>
      <c r="N700" t="str">
        <f>_xlfn.XLOOKUP(fSales[[#This Row],[SalesRepID]],dPSalesRep[SalesRepID],dPSalesRep[SalesRep])</f>
        <v>Timmy Kips</v>
      </c>
      <c r="O700" t="str">
        <f>_xlfn.XLOOKUP(fSales[[#This Row],[SalesRepID]],dPSalesRep[SalesRepID],dPSalesRep[Region])</f>
        <v>East</v>
      </c>
      <c r="P700" t="str">
        <f>_xlfn.XLOOKUP(fSales[[#This Row],[ProductID]],dProduct[ProductID],dProduct[Product])</f>
        <v>Kiwi</v>
      </c>
      <c r="Q700">
        <f>_xlfn.XLOOKUP(fSales[[#This Row],[ProductID]],dProduct[ProductID],dProduct[CratePrice])-_xlfn.XLOOKUP(fSales[[#This Row],[ProductID]],dProduct[ProductID],dProduct[CrateCost])</f>
        <v>9.8999999999999986</v>
      </c>
      <c r="R700">
        <f>_xlfn.XLOOKUP(fSales[[#This Row],[ProductID]],dProduct[ProductID],dProduct[CratePrice])</f>
        <v>22.5</v>
      </c>
      <c r="S700">
        <f>_xlfn.XLOOKUP(fSales[[#This Row],[ProductID]],dProduct[ProductID],dProduct[CrateCost])</f>
        <v>12.600000000000001</v>
      </c>
    </row>
    <row r="701" spans="7:19" x14ac:dyDescent="0.25">
      <c r="G701" s="2">
        <v>45769</v>
      </c>
      <c r="H701">
        <v>240</v>
      </c>
      <c r="I701" t="s">
        <v>21</v>
      </c>
      <c r="J701" t="s">
        <v>52</v>
      </c>
      <c r="K701">
        <f>_xlfn.XLOOKUP(fSales[[#This Row],[ProductID]],dProduct[ProductID],dProduct[CratePrice])*fSales[[#This Row],[Units]]</f>
        <v>5400</v>
      </c>
      <c r="L701">
        <f>fSales[[#This Row],[Total sales]]-_xlfn.XLOOKUP(fSales[[#This Row],[ProductID]],dProduct[ProductID],dProduct[CrateCost])*fSales[[#This Row],[Units]]</f>
        <v>2375.9999999999995</v>
      </c>
      <c r="M701">
        <f>(_xlfn.XLOOKUP(fSales[[#This Row],[ProductID]],dProduct[ProductID],dProduct[CratePrice])-_xlfn.XLOOKUP(fSales[[#This Row],[ProductID]],dProduct[ProductID],dProduct[CrateCost]))/_xlfn.XLOOKUP(fSales[[#This Row],[ProductID]],dProduct[ProductID],dProduct[CratePrice])</f>
        <v>0.43999999999999995</v>
      </c>
      <c r="N701" t="str">
        <f>_xlfn.XLOOKUP(fSales[[#This Row],[SalesRepID]],dPSalesRep[SalesRepID],dPSalesRep[SalesRep])</f>
        <v>Smitty Rad</v>
      </c>
      <c r="O701" t="str">
        <f>_xlfn.XLOOKUP(fSales[[#This Row],[SalesRepID]],dPSalesRep[SalesRepID],dPSalesRep[Region])</f>
        <v>MidWest</v>
      </c>
      <c r="P701" t="str">
        <f>_xlfn.XLOOKUP(fSales[[#This Row],[ProductID]],dProduct[ProductID],dProduct[Product])</f>
        <v>Kiwi</v>
      </c>
      <c r="Q701">
        <f>_xlfn.XLOOKUP(fSales[[#This Row],[ProductID]],dProduct[ProductID],dProduct[CratePrice])-_xlfn.XLOOKUP(fSales[[#This Row],[ProductID]],dProduct[ProductID],dProduct[CrateCost])</f>
        <v>9.8999999999999986</v>
      </c>
      <c r="R701">
        <f>_xlfn.XLOOKUP(fSales[[#This Row],[ProductID]],dProduct[ProductID],dProduct[CratePrice])</f>
        <v>22.5</v>
      </c>
      <c r="S701">
        <f>_xlfn.XLOOKUP(fSales[[#This Row],[ProductID]],dProduct[ProductID],dProduct[CrateCost])</f>
        <v>12.600000000000001</v>
      </c>
    </row>
    <row r="702" spans="7:19" x14ac:dyDescent="0.25">
      <c r="G702" s="2">
        <v>45771</v>
      </c>
      <c r="H702">
        <v>288</v>
      </c>
      <c r="I702" t="s">
        <v>19</v>
      </c>
      <c r="J702" t="s">
        <v>32</v>
      </c>
      <c r="K702">
        <f>_xlfn.XLOOKUP(fSales[[#This Row],[ProductID]],dProduct[ProductID],dProduct[CratePrice])*fSales[[#This Row],[Units]]</f>
        <v>10080</v>
      </c>
      <c r="L702">
        <f>fSales[[#This Row],[Total sales]]-_xlfn.XLOOKUP(fSales[[#This Row],[ProductID]],dProduct[ProductID],dProduct[CrateCost])*fSales[[#This Row],[Units]]</f>
        <v>5644.8</v>
      </c>
      <c r="M702">
        <f>(_xlfn.XLOOKUP(fSales[[#This Row],[ProductID]],dProduct[ProductID],dProduct[CratePrice])-_xlfn.XLOOKUP(fSales[[#This Row],[ProductID]],dProduct[ProductID],dProduct[CrateCost]))/_xlfn.XLOOKUP(fSales[[#This Row],[ProductID]],dProduct[ProductID],dProduct[CratePrice])</f>
        <v>0.56000000000000005</v>
      </c>
      <c r="N702" t="str">
        <f>_xlfn.XLOOKUP(fSales[[#This Row],[SalesRepID]],dPSalesRep[SalesRepID],dPSalesRep[SalesRep])</f>
        <v>Shihara Fazzaa</v>
      </c>
      <c r="O702" t="str">
        <f>_xlfn.XLOOKUP(fSales[[#This Row],[SalesRepID]],dPSalesRep[SalesRepID],dPSalesRep[Region])</f>
        <v>East</v>
      </c>
      <c r="P702" t="str">
        <f>_xlfn.XLOOKUP(fSales[[#This Row],[ProductID]],dProduct[ProductID],dProduct[Product])</f>
        <v>Apple</v>
      </c>
      <c r="Q702">
        <f>_xlfn.XLOOKUP(fSales[[#This Row],[ProductID]],dProduct[ProductID],dProduct[CratePrice])-_xlfn.XLOOKUP(fSales[[#This Row],[ProductID]],dProduct[ProductID],dProduct[CrateCost])</f>
        <v>19.600000000000001</v>
      </c>
      <c r="R702">
        <f>_xlfn.XLOOKUP(fSales[[#This Row],[ProductID]],dProduct[ProductID],dProduct[CratePrice])</f>
        <v>35</v>
      </c>
      <c r="S702">
        <f>_xlfn.XLOOKUP(fSales[[#This Row],[ProductID]],dProduct[ProductID],dProduct[CrateCost])</f>
        <v>15.4</v>
      </c>
    </row>
    <row r="703" spans="7:19" x14ac:dyDescent="0.25">
      <c r="G703" s="2">
        <v>45771</v>
      </c>
      <c r="H703">
        <v>276</v>
      </c>
      <c r="I703" t="s">
        <v>19</v>
      </c>
      <c r="J703" t="s">
        <v>52</v>
      </c>
      <c r="K703">
        <f>_xlfn.XLOOKUP(fSales[[#This Row],[ProductID]],dProduct[ProductID],dProduct[CratePrice])*fSales[[#This Row],[Units]]</f>
        <v>9660</v>
      </c>
      <c r="L703">
        <f>fSales[[#This Row],[Total sales]]-_xlfn.XLOOKUP(fSales[[#This Row],[ProductID]],dProduct[ProductID],dProduct[CrateCost])*fSales[[#This Row],[Units]]</f>
        <v>5409.5999999999995</v>
      </c>
      <c r="M703">
        <f>(_xlfn.XLOOKUP(fSales[[#This Row],[ProductID]],dProduct[ProductID],dProduct[CratePrice])-_xlfn.XLOOKUP(fSales[[#This Row],[ProductID]],dProduct[ProductID],dProduct[CrateCost]))/_xlfn.XLOOKUP(fSales[[#This Row],[ProductID]],dProduct[ProductID],dProduct[CratePrice])</f>
        <v>0.56000000000000005</v>
      </c>
      <c r="N703" t="str">
        <f>_xlfn.XLOOKUP(fSales[[#This Row],[SalesRepID]],dPSalesRep[SalesRepID],dPSalesRep[SalesRep])</f>
        <v>Smitty Rad</v>
      </c>
      <c r="O703" t="str">
        <f>_xlfn.XLOOKUP(fSales[[#This Row],[SalesRepID]],dPSalesRep[SalesRepID],dPSalesRep[Region])</f>
        <v>MidWest</v>
      </c>
      <c r="P703" t="str">
        <f>_xlfn.XLOOKUP(fSales[[#This Row],[ProductID]],dProduct[ProductID],dProduct[Product])</f>
        <v>Apple</v>
      </c>
      <c r="Q703">
        <f>_xlfn.XLOOKUP(fSales[[#This Row],[ProductID]],dProduct[ProductID],dProduct[CratePrice])-_xlfn.XLOOKUP(fSales[[#This Row],[ProductID]],dProduct[ProductID],dProduct[CrateCost])</f>
        <v>19.600000000000001</v>
      </c>
      <c r="R703">
        <f>_xlfn.XLOOKUP(fSales[[#This Row],[ProductID]],dProduct[ProductID],dProduct[CratePrice])</f>
        <v>35</v>
      </c>
      <c r="S703">
        <f>_xlfn.XLOOKUP(fSales[[#This Row],[ProductID]],dProduct[ProductID],dProduct[CrateCost])</f>
        <v>15.4</v>
      </c>
    </row>
    <row r="704" spans="7:19" x14ac:dyDescent="0.25">
      <c r="G704" s="2">
        <v>45772</v>
      </c>
      <c r="H704">
        <v>264</v>
      </c>
      <c r="I704" t="s">
        <v>26</v>
      </c>
      <c r="J704" t="s">
        <v>52</v>
      </c>
      <c r="K704">
        <f>_xlfn.XLOOKUP(fSales[[#This Row],[ProductID]],dProduct[ProductID],dProduct[CratePrice])*fSales[[#This Row],[Units]]</f>
        <v>7854</v>
      </c>
      <c r="L704">
        <f>fSales[[#This Row],[Total sales]]-_xlfn.XLOOKUP(fSales[[#This Row],[ProductID]],dProduct[ProductID],dProduct[CrateCost])*fSales[[#This Row],[Units]]</f>
        <v>3298.6800000000003</v>
      </c>
      <c r="M704">
        <f>(_xlfn.XLOOKUP(fSales[[#This Row],[ProductID]],dProduct[ProductID],dProduct[CratePrice])-_xlfn.XLOOKUP(fSales[[#This Row],[ProductID]],dProduct[ProductID],dProduct[CrateCost]))/_xlfn.XLOOKUP(fSales[[#This Row],[ProductID]],dProduct[ProductID],dProduct[CratePrice])</f>
        <v>0.42000000000000004</v>
      </c>
      <c r="N704" t="str">
        <f>_xlfn.XLOOKUP(fSales[[#This Row],[SalesRepID]],dPSalesRep[SalesRepID],dPSalesRep[SalesRep])</f>
        <v>Smitty Rad</v>
      </c>
      <c r="O704" t="str">
        <f>_xlfn.XLOOKUP(fSales[[#This Row],[SalesRepID]],dPSalesRep[SalesRepID],dPSalesRep[Region])</f>
        <v>MidWest</v>
      </c>
      <c r="P704" t="str">
        <f>_xlfn.XLOOKUP(fSales[[#This Row],[ProductID]],dProduct[ProductID],dProduct[Product])</f>
        <v>Orange</v>
      </c>
      <c r="Q704">
        <f>_xlfn.XLOOKUP(fSales[[#This Row],[ProductID]],dProduct[ProductID],dProduct[CratePrice])-_xlfn.XLOOKUP(fSales[[#This Row],[ProductID]],dProduct[ProductID],dProduct[CrateCost])</f>
        <v>12.495000000000001</v>
      </c>
      <c r="R704">
        <f>_xlfn.XLOOKUP(fSales[[#This Row],[ProductID]],dProduct[ProductID],dProduct[CratePrice])</f>
        <v>29.75</v>
      </c>
      <c r="S704">
        <f>_xlfn.XLOOKUP(fSales[[#This Row],[ProductID]],dProduct[ProductID],dProduct[CrateCost])</f>
        <v>17.254999999999999</v>
      </c>
    </row>
    <row r="705" spans="7:19" x14ac:dyDescent="0.25">
      <c r="G705" s="2">
        <v>45773</v>
      </c>
      <c r="H705">
        <v>108</v>
      </c>
      <c r="I705" t="s">
        <v>28</v>
      </c>
      <c r="J705" t="s">
        <v>29</v>
      </c>
      <c r="K705">
        <f>_xlfn.XLOOKUP(fSales[[#This Row],[ProductID]],dProduct[ProductID],dProduct[CratePrice])*fSales[[#This Row],[Units]]</f>
        <v>4719.6000000000004</v>
      </c>
      <c r="L705">
        <f>fSales[[#This Row],[Total sales]]-_xlfn.XLOOKUP(fSales[[#This Row],[ProductID]],dProduct[ProductID],dProduct[CrateCost])*fSales[[#This Row],[Units]]</f>
        <v>1982.2320000000004</v>
      </c>
      <c r="M705">
        <f>(_xlfn.XLOOKUP(fSales[[#This Row],[ProductID]],dProduct[ProductID],dProduct[CratePrice])-_xlfn.XLOOKUP(fSales[[#This Row],[ProductID]],dProduct[ProductID],dProduct[CrateCost]))/_xlfn.XLOOKUP(fSales[[#This Row],[ProductID]],dProduct[ProductID],dProduct[CratePrice])</f>
        <v>0.42000000000000004</v>
      </c>
      <c r="N705" t="str">
        <f>_xlfn.XLOOKUP(fSales[[#This Row],[SalesRepID]],dPSalesRep[SalesRepID],dPSalesRep[SalesRep])</f>
        <v>Sioux Best</v>
      </c>
      <c r="O705" t="str">
        <f>_xlfn.XLOOKUP(fSales[[#This Row],[SalesRepID]],dPSalesRep[SalesRepID],dPSalesRep[Region])</f>
        <v>West</v>
      </c>
      <c r="P705" t="str">
        <f>_xlfn.XLOOKUP(fSales[[#This Row],[ProductID]],dProduct[ProductID],dProduct[Product])</f>
        <v>Cherry</v>
      </c>
      <c r="Q705">
        <f>_xlfn.XLOOKUP(fSales[[#This Row],[ProductID]],dProduct[ProductID],dProduct[CratePrice])-_xlfn.XLOOKUP(fSales[[#This Row],[ProductID]],dProduct[ProductID],dProduct[CrateCost])</f>
        <v>18.354000000000003</v>
      </c>
      <c r="R705">
        <f>_xlfn.XLOOKUP(fSales[[#This Row],[ProductID]],dProduct[ProductID],dProduct[CratePrice])</f>
        <v>43.7</v>
      </c>
      <c r="S705">
        <f>_xlfn.XLOOKUP(fSales[[#This Row],[ProductID]],dProduct[ProductID],dProduct[CrateCost])</f>
        <v>25.346</v>
      </c>
    </row>
    <row r="706" spans="7:19" x14ac:dyDescent="0.25">
      <c r="G706" s="2">
        <v>45773</v>
      </c>
      <c r="H706">
        <v>216</v>
      </c>
      <c r="I706" t="s">
        <v>28</v>
      </c>
      <c r="J706" t="s">
        <v>37</v>
      </c>
      <c r="K706">
        <f>_xlfn.XLOOKUP(fSales[[#This Row],[ProductID]],dProduct[ProductID],dProduct[CratePrice])*fSales[[#This Row],[Units]]</f>
        <v>9439.2000000000007</v>
      </c>
      <c r="L706">
        <f>fSales[[#This Row],[Total sales]]-_xlfn.XLOOKUP(fSales[[#This Row],[ProductID]],dProduct[ProductID],dProduct[CrateCost])*fSales[[#This Row],[Units]]</f>
        <v>3964.4640000000009</v>
      </c>
      <c r="M706">
        <f>(_xlfn.XLOOKUP(fSales[[#This Row],[ProductID]],dProduct[ProductID],dProduct[CratePrice])-_xlfn.XLOOKUP(fSales[[#This Row],[ProductID]],dProduct[ProductID],dProduct[CrateCost]))/_xlfn.XLOOKUP(fSales[[#This Row],[ProductID]],dProduct[ProductID],dProduct[CratePrice])</f>
        <v>0.42000000000000004</v>
      </c>
      <c r="N706" t="str">
        <f>_xlfn.XLOOKUP(fSales[[#This Row],[SalesRepID]],dPSalesRep[SalesRepID],dPSalesRep[SalesRep])</f>
        <v>Chantel Mims</v>
      </c>
      <c r="O706" t="str">
        <f>_xlfn.XLOOKUP(fSales[[#This Row],[SalesRepID]],dPSalesRep[SalesRepID],dPSalesRep[Region])</f>
        <v>NW</v>
      </c>
      <c r="P706" t="str">
        <f>_xlfn.XLOOKUP(fSales[[#This Row],[ProductID]],dProduct[ProductID],dProduct[Product])</f>
        <v>Cherry</v>
      </c>
      <c r="Q706">
        <f>_xlfn.XLOOKUP(fSales[[#This Row],[ProductID]],dProduct[ProductID],dProduct[CratePrice])-_xlfn.XLOOKUP(fSales[[#This Row],[ProductID]],dProduct[ProductID],dProduct[CrateCost])</f>
        <v>18.354000000000003</v>
      </c>
      <c r="R706">
        <f>_xlfn.XLOOKUP(fSales[[#This Row],[ProductID]],dProduct[ProductID],dProduct[CratePrice])</f>
        <v>43.7</v>
      </c>
      <c r="S706">
        <f>_xlfn.XLOOKUP(fSales[[#This Row],[ProductID]],dProduct[ProductID],dProduct[CrateCost])</f>
        <v>25.346</v>
      </c>
    </row>
    <row r="707" spans="7:19" x14ac:dyDescent="0.25">
      <c r="G707" s="2">
        <v>45773</v>
      </c>
      <c r="H707">
        <v>60</v>
      </c>
      <c r="I707" t="s">
        <v>21</v>
      </c>
      <c r="J707" t="s">
        <v>37</v>
      </c>
      <c r="K707">
        <f>_xlfn.XLOOKUP(fSales[[#This Row],[ProductID]],dProduct[ProductID],dProduct[CratePrice])*fSales[[#This Row],[Units]]</f>
        <v>1350</v>
      </c>
      <c r="L707">
        <f>fSales[[#This Row],[Total sales]]-_xlfn.XLOOKUP(fSales[[#This Row],[ProductID]],dProduct[ProductID],dProduct[CrateCost])*fSales[[#This Row],[Units]]</f>
        <v>593.99999999999989</v>
      </c>
      <c r="M707">
        <f>(_xlfn.XLOOKUP(fSales[[#This Row],[ProductID]],dProduct[ProductID],dProduct[CratePrice])-_xlfn.XLOOKUP(fSales[[#This Row],[ProductID]],dProduct[ProductID],dProduct[CrateCost]))/_xlfn.XLOOKUP(fSales[[#This Row],[ProductID]],dProduct[ProductID],dProduct[CratePrice])</f>
        <v>0.43999999999999995</v>
      </c>
      <c r="N707" t="str">
        <f>_xlfn.XLOOKUP(fSales[[#This Row],[SalesRepID]],dPSalesRep[SalesRepID],dPSalesRep[SalesRep])</f>
        <v>Chantel Mims</v>
      </c>
      <c r="O707" t="str">
        <f>_xlfn.XLOOKUP(fSales[[#This Row],[SalesRepID]],dPSalesRep[SalesRepID],dPSalesRep[Region])</f>
        <v>NW</v>
      </c>
      <c r="P707" t="str">
        <f>_xlfn.XLOOKUP(fSales[[#This Row],[ProductID]],dProduct[ProductID],dProduct[Product])</f>
        <v>Kiwi</v>
      </c>
      <c r="Q707">
        <f>_xlfn.XLOOKUP(fSales[[#This Row],[ProductID]],dProduct[ProductID],dProduct[CratePrice])-_xlfn.XLOOKUP(fSales[[#This Row],[ProductID]],dProduct[ProductID],dProduct[CrateCost])</f>
        <v>9.8999999999999986</v>
      </c>
      <c r="R707">
        <f>_xlfn.XLOOKUP(fSales[[#This Row],[ProductID]],dProduct[ProductID],dProduct[CratePrice])</f>
        <v>22.5</v>
      </c>
      <c r="S707">
        <f>_xlfn.XLOOKUP(fSales[[#This Row],[ProductID]],dProduct[ProductID],dProduct[CrateCost])</f>
        <v>12.600000000000001</v>
      </c>
    </row>
    <row r="708" spans="7:19" x14ac:dyDescent="0.25">
      <c r="G708" s="2">
        <v>45774</v>
      </c>
      <c r="H708">
        <v>72</v>
      </c>
      <c r="I708" t="s">
        <v>19</v>
      </c>
      <c r="J708" t="s">
        <v>37</v>
      </c>
      <c r="K708">
        <f>_xlfn.XLOOKUP(fSales[[#This Row],[ProductID]],dProduct[ProductID],dProduct[CratePrice])*fSales[[#This Row],[Units]]</f>
        <v>2520</v>
      </c>
      <c r="L708">
        <f>fSales[[#This Row],[Total sales]]-_xlfn.XLOOKUP(fSales[[#This Row],[ProductID]],dProduct[ProductID],dProduct[CrateCost])*fSales[[#This Row],[Units]]</f>
        <v>1411.2</v>
      </c>
      <c r="M708">
        <f>(_xlfn.XLOOKUP(fSales[[#This Row],[ProductID]],dProduct[ProductID],dProduct[CratePrice])-_xlfn.XLOOKUP(fSales[[#This Row],[ProductID]],dProduct[ProductID],dProduct[CrateCost]))/_xlfn.XLOOKUP(fSales[[#This Row],[ProductID]],dProduct[ProductID],dProduct[CratePrice])</f>
        <v>0.56000000000000005</v>
      </c>
      <c r="N708" t="str">
        <f>_xlfn.XLOOKUP(fSales[[#This Row],[SalesRepID]],dPSalesRep[SalesRepID],dPSalesRep[SalesRep])</f>
        <v>Chantel Mims</v>
      </c>
      <c r="O708" t="str">
        <f>_xlfn.XLOOKUP(fSales[[#This Row],[SalesRepID]],dPSalesRep[SalesRepID],dPSalesRep[Region])</f>
        <v>NW</v>
      </c>
      <c r="P708" t="str">
        <f>_xlfn.XLOOKUP(fSales[[#This Row],[ProductID]],dProduct[ProductID],dProduct[Product])</f>
        <v>Apple</v>
      </c>
      <c r="Q708">
        <f>_xlfn.XLOOKUP(fSales[[#This Row],[ProductID]],dProduct[ProductID],dProduct[CratePrice])-_xlfn.XLOOKUP(fSales[[#This Row],[ProductID]],dProduct[ProductID],dProduct[CrateCost])</f>
        <v>19.600000000000001</v>
      </c>
      <c r="R708">
        <f>_xlfn.XLOOKUP(fSales[[#This Row],[ProductID]],dProduct[ProductID],dProduct[CratePrice])</f>
        <v>35</v>
      </c>
      <c r="S708">
        <f>_xlfn.XLOOKUP(fSales[[#This Row],[ProductID]],dProduct[ProductID],dProduct[CrateCost])</f>
        <v>15.4</v>
      </c>
    </row>
    <row r="709" spans="7:19" x14ac:dyDescent="0.25">
      <c r="G709" s="2">
        <v>45774</v>
      </c>
      <c r="H709">
        <v>108</v>
      </c>
      <c r="I709" t="s">
        <v>26</v>
      </c>
      <c r="J709" t="s">
        <v>37</v>
      </c>
      <c r="K709">
        <f>_xlfn.XLOOKUP(fSales[[#This Row],[ProductID]],dProduct[ProductID],dProduct[CratePrice])*fSales[[#This Row],[Units]]</f>
        <v>3213</v>
      </c>
      <c r="L709">
        <f>fSales[[#This Row],[Total sales]]-_xlfn.XLOOKUP(fSales[[#This Row],[ProductID]],dProduct[ProductID],dProduct[CrateCost])*fSales[[#This Row],[Units]]</f>
        <v>1349.46</v>
      </c>
      <c r="M709">
        <f>(_xlfn.XLOOKUP(fSales[[#This Row],[ProductID]],dProduct[ProductID],dProduct[CratePrice])-_xlfn.XLOOKUP(fSales[[#This Row],[ProductID]],dProduct[ProductID],dProduct[CrateCost]))/_xlfn.XLOOKUP(fSales[[#This Row],[ProductID]],dProduct[ProductID],dProduct[CratePrice])</f>
        <v>0.42000000000000004</v>
      </c>
      <c r="N709" t="str">
        <f>_xlfn.XLOOKUP(fSales[[#This Row],[SalesRepID]],dPSalesRep[SalesRepID],dPSalesRep[SalesRep])</f>
        <v>Chantel Mims</v>
      </c>
      <c r="O709" t="str">
        <f>_xlfn.XLOOKUP(fSales[[#This Row],[SalesRepID]],dPSalesRep[SalesRepID],dPSalesRep[Region])</f>
        <v>NW</v>
      </c>
      <c r="P709" t="str">
        <f>_xlfn.XLOOKUP(fSales[[#This Row],[ProductID]],dProduct[ProductID],dProduct[Product])</f>
        <v>Orange</v>
      </c>
      <c r="Q709">
        <f>_xlfn.XLOOKUP(fSales[[#This Row],[ProductID]],dProduct[ProductID],dProduct[CratePrice])-_xlfn.XLOOKUP(fSales[[#This Row],[ProductID]],dProduct[ProductID],dProduct[CrateCost])</f>
        <v>12.495000000000001</v>
      </c>
      <c r="R709">
        <f>_xlfn.XLOOKUP(fSales[[#This Row],[ProductID]],dProduct[ProductID],dProduct[CratePrice])</f>
        <v>29.75</v>
      </c>
      <c r="S709">
        <f>_xlfn.XLOOKUP(fSales[[#This Row],[ProductID]],dProduct[ProductID],dProduct[CrateCost])</f>
        <v>17.254999999999999</v>
      </c>
    </row>
    <row r="710" spans="7:19" x14ac:dyDescent="0.25">
      <c r="G710" s="2">
        <v>45776</v>
      </c>
      <c r="H710">
        <v>252</v>
      </c>
      <c r="I710" t="s">
        <v>26</v>
      </c>
      <c r="J710" t="s">
        <v>22</v>
      </c>
      <c r="K710">
        <f>_xlfn.XLOOKUP(fSales[[#This Row],[ProductID]],dProduct[ProductID],dProduct[CratePrice])*fSales[[#This Row],[Units]]</f>
        <v>7497</v>
      </c>
      <c r="L710">
        <f>fSales[[#This Row],[Total sales]]-_xlfn.XLOOKUP(fSales[[#This Row],[ProductID]],dProduct[ProductID],dProduct[CrateCost])*fSales[[#This Row],[Units]]</f>
        <v>3148.7400000000007</v>
      </c>
      <c r="M710">
        <f>(_xlfn.XLOOKUP(fSales[[#This Row],[ProductID]],dProduct[ProductID],dProduct[CratePrice])-_xlfn.XLOOKUP(fSales[[#This Row],[ProductID]],dProduct[ProductID],dProduct[CrateCost]))/_xlfn.XLOOKUP(fSales[[#This Row],[ProductID]],dProduct[ProductID],dProduct[CratePrice])</f>
        <v>0.42000000000000004</v>
      </c>
      <c r="N710" t="str">
        <f>_xlfn.XLOOKUP(fSales[[#This Row],[SalesRepID]],dPSalesRep[SalesRepID],dPSalesRep[SalesRep])</f>
        <v>Timmy Kips</v>
      </c>
      <c r="O710" t="str">
        <f>_xlfn.XLOOKUP(fSales[[#This Row],[SalesRepID]],dPSalesRep[SalesRepID],dPSalesRep[Region])</f>
        <v>East</v>
      </c>
      <c r="P710" t="str">
        <f>_xlfn.XLOOKUP(fSales[[#This Row],[ProductID]],dProduct[ProductID],dProduct[Product])</f>
        <v>Orange</v>
      </c>
      <c r="Q710">
        <f>_xlfn.XLOOKUP(fSales[[#This Row],[ProductID]],dProduct[ProductID],dProduct[CratePrice])-_xlfn.XLOOKUP(fSales[[#This Row],[ProductID]],dProduct[ProductID],dProduct[CrateCost])</f>
        <v>12.495000000000001</v>
      </c>
      <c r="R710">
        <f>_xlfn.XLOOKUP(fSales[[#This Row],[ProductID]],dProduct[ProductID],dProduct[CratePrice])</f>
        <v>29.75</v>
      </c>
      <c r="S710">
        <f>_xlfn.XLOOKUP(fSales[[#This Row],[ProductID]],dProduct[ProductID],dProduct[CrateCost])</f>
        <v>17.254999999999999</v>
      </c>
    </row>
    <row r="711" spans="7:19" x14ac:dyDescent="0.25">
      <c r="G711" s="2">
        <v>45777</v>
      </c>
      <c r="H711">
        <v>96</v>
      </c>
      <c r="I711" t="s">
        <v>26</v>
      </c>
      <c r="J711" t="s">
        <v>37</v>
      </c>
      <c r="K711">
        <f>_xlfn.XLOOKUP(fSales[[#This Row],[ProductID]],dProduct[ProductID],dProduct[CratePrice])*fSales[[#This Row],[Units]]</f>
        <v>2856</v>
      </c>
      <c r="L711">
        <f>fSales[[#This Row],[Total sales]]-_xlfn.XLOOKUP(fSales[[#This Row],[ProductID]],dProduct[ProductID],dProduct[CrateCost])*fSales[[#This Row],[Units]]</f>
        <v>1199.52</v>
      </c>
      <c r="M711">
        <f>(_xlfn.XLOOKUP(fSales[[#This Row],[ProductID]],dProduct[ProductID],dProduct[CratePrice])-_xlfn.XLOOKUP(fSales[[#This Row],[ProductID]],dProduct[ProductID],dProduct[CrateCost]))/_xlfn.XLOOKUP(fSales[[#This Row],[ProductID]],dProduct[ProductID],dProduct[CratePrice])</f>
        <v>0.42000000000000004</v>
      </c>
      <c r="N711" t="str">
        <f>_xlfn.XLOOKUP(fSales[[#This Row],[SalesRepID]],dPSalesRep[SalesRepID],dPSalesRep[SalesRep])</f>
        <v>Chantel Mims</v>
      </c>
      <c r="O711" t="str">
        <f>_xlfn.XLOOKUP(fSales[[#This Row],[SalesRepID]],dPSalesRep[SalesRepID],dPSalesRep[Region])</f>
        <v>NW</v>
      </c>
      <c r="P711" t="str">
        <f>_xlfn.XLOOKUP(fSales[[#This Row],[ProductID]],dProduct[ProductID],dProduct[Product])</f>
        <v>Orange</v>
      </c>
      <c r="Q711">
        <f>_xlfn.XLOOKUP(fSales[[#This Row],[ProductID]],dProduct[ProductID],dProduct[CratePrice])-_xlfn.XLOOKUP(fSales[[#This Row],[ProductID]],dProduct[ProductID],dProduct[CrateCost])</f>
        <v>12.495000000000001</v>
      </c>
      <c r="R711">
        <f>_xlfn.XLOOKUP(fSales[[#This Row],[ProductID]],dProduct[ProductID],dProduct[CratePrice])</f>
        <v>29.75</v>
      </c>
      <c r="S711">
        <f>_xlfn.XLOOKUP(fSales[[#This Row],[ProductID]],dProduct[ProductID],dProduct[CrateCost])</f>
        <v>17.254999999999999</v>
      </c>
    </row>
    <row r="712" spans="7:19" x14ac:dyDescent="0.25">
      <c r="G712" s="2">
        <v>45780</v>
      </c>
      <c r="H712">
        <v>168</v>
      </c>
      <c r="I712" t="s">
        <v>28</v>
      </c>
      <c r="J712" t="s">
        <v>37</v>
      </c>
      <c r="K712">
        <f>_xlfn.XLOOKUP(fSales[[#This Row],[ProductID]],dProduct[ProductID],dProduct[CratePrice])*fSales[[#This Row],[Units]]</f>
        <v>7341.6</v>
      </c>
      <c r="L712">
        <f>fSales[[#This Row],[Total sales]]-_xlfn.XLOOKUP(fSales[[#This Row],[ProductID]],dProduct[ProductID],dProduct[CrateCost])*fSales[[#This Row],[Units]]</f>
        <v>3083.4720000000007</v>
      </c>
      <c r="M712">
        <f>(_xlfn.XLOOKUP(fSales[[#This Row],[ProductID]],dProduct[ProductID],dProduct[CratePrice])-_xlfn.XLOOKUP(fSales[[#This Row],[ProductID]],dProduct[ProductID],dProduct[CrateCost]))/_xlfn.XLOOKUP(fSales[[#This Row],[ProductID]],dProduct[ProductID],dProduct[CratePrice])</f>
        <v>0.42000000000000004</v>
      </c>
      <c r="N712" t="str">
        <f>_xlfn.XLOOKUP(fSales[[#This Row],[SalesRepID]],dPSalesRep[SalesRepID],dPSalesRep[SalesRep])</f>
        <v>Chantel Mims</v>
      </c>
      <c r="O712" t="str">
        <f>_xlfn.XLOOKUP(fSales[[#This Row],[SalesRepID]],dPSalesRep[SalesRepID],dPSalesRep[Region])</f>
        <v>NW</v>
      </c>
      <c r="P712" t="str">
        <f>_xlfn.XLOOKUP(fSales[[#This Row],[ProductID]],dProduct[ProductID],dProduct[Product])</f>
        <v>Cherry</v>
      </c>
      <c r="Q712">
        <f>_xlfn.XLOOKUP(fSales[[#This Row],[ProductID]],dProduct[ProductID],dProduct[CratePrice])-_xlfn.XLOOKUP(fSales[[#This Row],[ProductID]],dProduct[ProductID],dProduct[CrateCost])</f>
        <v>18.354000000000003</v>
      </c>
      <c r="R712">
        <f>_xlfn.XLOOKUP(fSales[[#This Row],[ProductID]],dProduct[ProductID],dProduct[CratePrice])</f>
        <v>43.7</v>
      </c>
      <c r="S712">
        <f>_xlfn.XLOOKUP(fSales[[#This Row],[ProductID]],dProduct[ProductID],dProduct[CrateCost])</f>
        <v>25.346</v>
      </c>
    </row>
    <row r="713" spans="7:19" x14ac:dyDescent="0.25">
      <c r="G713" s="2">
        <v>45781</v>
      </c>
      <c r="H713">
        <v>216</v>
      </c>
      <c r="I713" t="s">
        <v>21</v>
      </c>
      <c r="J713" t="s">
        <v>32</v>
      </c>
      <c r="K713">
        <f>_xlfn.XLOOKUP(fSales[[#This Row],[ProductID]],dProduct[ProductID],dProduct[CratePrice])*fSales[[#This Row],[Units]]</f>
        <v>4860</v>
      </c>
      <c r="L713">
        <f>fSales[[#This Row],[Total sales]]-_xlfn.XLOOKUP(fSales[[#This Row],[ProductID]],dProduct[ProductID],dProduct[CrateCost])*fSales[[#This Row],[Units]]</f>
        <v>2138.3999999999996</v>
      </c>
      <c r="M713">
        <f>(_xlfn.XLOOKUP(fSales[[#This Row],[ProductID]],dProduct[ProductID],dProduct[CratePrice])-_xlfn.XLOOKUP(fSales[[#This Row],[ProductID]],dProduct[ProductID],dProduct[CrateCost]))/_xlfn.XLOOKUP(fSales[[#This Row],[ProductID]],dProduct[ProductID],dProduct[CratePrice])</f>
        <v>0.43999999999999995</v>
      </c>
      <c r="N713" t="str">
        <f>_xlfn.XLOOKUP(fSales[[#This Row],[SalesRepID]],dPSalesRep[SalesRepID],dPSalesRep[SalesRep])</f>
        <v>Shihara Fazzaa</v>
      </c>
      <c r="O713" t="str">
        <f>_xlfn.XLOOKUP(fSales[[#This Row],[SalesRepID]],dPSalesRep[SalesRepID],dPSalesRep[Region])</f>
        <v>East</v>
      </c>
      <c r="P713" t="str">
        <f>_xlfn.XLOOKUP(fSales[[#This Row],[ProductID]],dProduct[ProductID],dProduct[Product])</f>
        <v>Kiwi</v>
      </c>
      <c r="Q713">
        <f>_xlfn.XLOOKUP(fSales[[#This Row],[ProductID]],dProduct[ProductID],dProduct[CratePrice])-_xlfn.XLOOKUP(fSales[[#This Row],[ProductID]],dProduct[ProductID],dProduct[CrateCost])</f>
        <v>9.8999999999999986</v>
      </c>
      <c r="R713">
        <f>_xlfn.XLOOKUP(fSales[[#This Row],[ProductID]],dProduct[ProductID],dProduct[CratePrice])</f>
        <v>22.5</v>
      </c>
      <c r="S713">
        <f>_xlfn.XLOOKUP(fSales[[#This Row],[ProductID]],dProduct[ProductID],dProduct[CrateCost])</f>
        <v>12.600000000000001</v>
      </c>
    </row>
    <row r="714" spans="7:19" x14ac:dyDescent="0.25">
      <c r="G714" s="2">
        <v>45781</v>
      </c>
      <c r="H714">
        <v>36</v>
      </c>
      <c r="I714" t="s">
        <v>21</v>
      </c>
      <c r="J714" t="s">
        <v>29</v>
      </c>
      <c r="K714">
        <f>_xlfn.XLOOKUP(fSales[[#This Row],[ProductID]],dProduct[ProductID],dProduct[CratePrice])*fSales[[#This Row],[Units]]</f>
        <v>810</v>
      </c>
      <c r="L714">
        <f>fSales[[#This Row],[Total sales]]-_xlfn.XLOOKUP(fSales[[#This Row],[ProductID]],dProduct[ProductID],dProduct[CrateCost])*fSales[[#This Row],[Units]]</f>
        <v>356.4</v>
      </c>
      <c r="M714">
        <f>(_xlfn.XLOOKUP(fSales[[#This Row],[ProductID]],dProduct[ProductID],dProduct[CratePrice])-_xlfn.XLOOKUP(fSales[[#This Row],[ProductID]],dProduct[ProductID],dProduct[CrateCost]))/_xlfn.XLOOKUP(fSales[[#This Row],[ProductID]],dProduct[ProductID],dProduct[CratePrice])</f>
        <v>0.43999999999999995</v>
      </c>
      <c r="N714" t="str">
        <f>_xlfn.XLOOKUP(fSales[[#This Row],[SalesRepID]],dPSalesRep[SalesRepID],dPSalesRep[SalesRep])</f>
        <v>Sioux Best</v>
      </c>
      <c r="O714" t="str">
        <f>_xlfn.XLOOKUP(fSales[[#This Row],[SalesRepID]],dPSalesRep[SalesRepID],dPSalesRep[Region])</f>
        <v>West</v>
      </c>
      <c r="P714" t="str">
        <f>_xlfn.XLOOKUP(fSales[[#This Row],[ProductID]],dProduct[ProductID],dProduct[Product])</f>
        <v>Kiwi</v>
      </c>
      <c r="Q714">
        <f>_xlfn.XLOOKUP(fSales[[#This Row],[ProductID]],dProduct[ProductID],dProduct[CratePrice])-_xlfn.XLOOKUP(fSales[[#This Row],[ProductID]],dProduct[ProductID],dProduct[CrateCost])</f>
        <v>9.8999999999999986</v>
      </c>
      <c r="R714">
        <f>_xlfn.XLOOKUP(fSales[[#This Row],[ProductID]],dProduct[ProductID],dProduct[CratePrice])</f>
        <v>22.5</v>
      </c>
      <c r="S714">
        <f>_xlfn.XLOOKUP(fSales[[#This Row],[ProductID]],dProduct[ProductID],dProduct[CrateCost])</f>
        <v>12.600000000000001</v>
      </c>
    </row>
    <row r="715" spans="7:19" x14ac:dyDescent="0.25">
      <c r="G715" s="2">
        <v>45781</v>
      </c>
      <c r="H715">
        <v>180</v>
      </c>
      <c r="I715" t="s">
        <v>34</v>
      </c>
      <c r="J715" t="s">
        <v>52</v>
      </c>
      <c r="K715">
        <f>_xlfn.XLOOKUP(fSales[[#This Row],[ProductID]],dProduct[ProductID],dProduct[CratePrice])*fSales[[#This Row],[Units]]</f>
        <v>3150</v>
      </c>
      <c r="L715">
        <f>fSales[[#This Row],[Total sales]]-_xlfn.XLOOKUP(fSales[[#This Row],[ProductID]],dProduct[ProductID],dProduct[CrateCost])*fSales[[#This Row],[Units]]</f>
        <v>1039.4999999999995</v>
      </c>
      <c r="M715">
        <f>(_xlfn.XLOOKUP(fSales[[#This Row],[ProductID]],dProduct[ProductID],dProduct[CratePrice])-_xlfn.XLOOKUP(fSales[[#This Row],[ProductID]],dProduct[ProductID],dProduct[CrateCost]))/_xlfn.XLOOKUP(fSales[[#This Row],[ProductID]],dProduct[ProductID],dProduct[CratePrice])</f>
        <v>0.3299999999999999</v>
      </c>
      <c r="N715" t="str">
        <f>_xlfn.XLOOKUP(fSales[[#This Row],[SalesRepID]],dPSalesRep[SalesRepID],dPSalesRep[SalesRep])</f>
        <v>Smitty Rad</v>
      </c>
      <c r="O715" t="str">
        <f>_xlfn.XLOOKUP(fSales[[#This Row],[SalesRepID]],dPSalesRep[SalesRepID],dPSalesRep[Region])</f>
        <v>MidWest</v>
      </c>
      <c r="P715" t="str">
        <f>_xlfn.XLOOKUP(fSales[[#This Row],[ProductID]],dProduct[ProductID],dProduct[Product])</f>
        <v>Banana</v>
      </c>
      <c r="Q715">
        <f>_xlfn.XLOOKUP(fSales[[#This Row],[ProductID]],dProduct[ProductID],dProduct[CratePrice])-_xlfn.XLOOKUP(fSales[[#This Row],[ProductID]],dProduct[ProductID],dProduct[CrateCost])</f>
        <v>5.7749999999999986</v>
      </c>
      <c r="R715">
        <f>_xlfn.XLOOKUP(fSales[[#This Row],[ProductID]],dProduct[ProductID],dProduct[CratePrice])</f>
        <v>17.5</v>
      </c>
      <c r="S715">
        <f>_xlfn.XLOOKUP(fSales[[#This Row],[ProductID]],dProduct[ProductID],dProduct[CrateCost])</f>
        <v>11.725000000000001</v>
      </c>
    </row>
    <row r="716" spans="7:19" x14ac:dyDescent="0.25">
      <c r="G716" s="2">
        <v>45781</v>
      </c>
      <c r="H716">
        <v>72</v>
      </c>
      <c r="I716" t="s">
        <v>26</v>
      </c>
      <c r="J716" t="s">
        <v>37</v>
      </c>
      <c r="K716">
        <f>_xlfn.XLOOKUP(fSales[[#This Row],[ProductID]],dProduct[ProductID],dProduct[CratePrice])*fSales[[#This Row],[Units]]</f>
        <v>2142</v>
      </c>
      <c r="L716">
        <f>fSales[[#This Row],[Total sales]]-_xlfn.XLOOKUP(fSales[[#This Row],[ProductID]],dProduct[ProductID],dProduct[CrateCost])*fSales[[#This Row],[Units]]</f>
        <v>899.6400000000001</v>
      </c>
      <c r="M716">
        <f>(_xlfn.XLOOKUP(fSales[[#This Row],[ProductID]],dProduct[ProductID],dProduct[CratePrice])-_xlfn.XLOOKUP(fSales[[#This Row],[ProductID]],dProduct[ProductID],dProduct[CrateCost]))/_xlfn.XLOOKUP(fSales[[#This Row],[ProductID]],dProduct[ProductID],dProduct[CratePrice])</f>
        <v>0.42000000000000004</v>
      </c>
      <c r="N716" t="str">
        <f>_xlfn.XLOOKUP(fSales[[#This Row],[SalesRepID]],dPSalesRep[SalesRepID],dPSalesRep[SalesRep])</f>
        <v>Chantel Mims</v>
      </c>
      <c r="O716" t="str">
        <f>_xlfn.XLOOKUP(fSales[[#This Row],[SalesRepID]],dPSalesRep[SalesRepID],dPSalesRep[Region])</f>
        <v>NW</v>
      </c>
      <c r="P716" t="str">
        <f>_xlfn.XLOOKUP(fSales[[#This Row],[ProductID]],dProduct[ProductID],dProduct[Product])</f>
        <v>Orange</v>
      </c>
      <c r="Q716">
        <f>_xlfn.XLOOKUP(fSales[[#This Row],[ProductID]],dProduct[ProductID],dProduct[CratePrice])-_xlfn.XLOOKUP(fSales[[#This Row],[ProductID]],dProduct[ProductID],dProduct[CrateCost])</f>
        <v>12.495000000000001</v>
      </c>
      <c r="R716">
        <f>_xlfn.XLOOKUP(fSales[[#This Row],[ProductID]],dProduct[ProductID],dProduct[CratePrice])</f>
        <v>29.75</v>
      </c>
      <c r="S716">
        <f>_xlfn.XLOOKUP(fSales[[#This Row],[ProductID]],dProduct[ProductID],dProduct[CrateCost])</f>
        <v>17.254999999999999</v>
      </c>
    </row>
    <row r="717" spans="7:19" x14ac:dyDescent="0.25">
      <c r="G717" s="2">
        <v>45783</v>
      </c>
      <c r="H717">
        <v>252</v>
      </c>
      <c r="I717" t="s">
        <v>26</v>
      </c>
      <c r="J717" t="s">
        <v>32</v>
      </c>
      <c r="K717">
        <f>_xlfn.XLOOKUP(fSales[[#This Row],[ProductID]],dProduct[ProductID],dProduct[CratePrice])*fSales[[#This Row],[Units]]</f>
        <v>7497</v>
      </c>
      <c r="L717">
        <f>fSales[[#This Row],[Total sales]]-_xlfn.XLOOKUP(fSales[[#This Row],[ProductID]],dProduct[ProductID],dProduct[CrateCost])*fSales[[#This Row],[Units]]</f>
        <v>3148.7400000000007</v>
      </c>
      <c r="M717">
        <f>(_xlfn.XLOOKUP(fSales[[#This Row],[ProductID]],dProduct[ProductID],dProduct[CratePrice])-_xlfn.XLOOKUP(fSales[[#This Row],[ProductID]],dProduct[ProductID],dProduct[CrateCost]))/_xlfn.XLOOKUP(fSales[[#This Row],[ProductID]],dProduct[ProductID],dProduct[CratePrice])</f>
        <v>0.42000000000000004</v>
      </c>
      <c r="N717" t="str">
        <f>_xlfn.XLOOKUP(fSales[[#This Row],[SalesRepID]],dPSalesRep[SalesRepID],dPSalesRep[SalesRep])</f>
        <v>Shihara Fazzaa</v>
      </c>
      <c r="O717" t="str">
        <f>_xlfn.XLOOKUP(fSales[[#This Row],[SalesRepID]],dPSalesRep[SalesRepID],dPSalesRep[Region])</f>
        <v>East</v>
      </c>
      <c r="P717" t="str">
        <f>_xlfn.XLOOKUP(fSales[[#This Row],[ProductID]],dProduct[ProductID],dProduct[Product])</f>
        <v>Orange</v>
      </c>
      <c r="Q717">
        <f>_xlfn.XLOOKUP(fSales[[#This Row],[ProductID]],dProduct[ProductID],dProduct[CratePrice])-_xlfn.XLOOKUP(fSales[[#This Row],[ProductID]],dProduct[ProductID],dProduct[CrateCost])</f>
        <v>12.495000000000001</v>
      </c>
      <c r="R717">
        <f>_xlfn.XLOOKUP(fSales[[#This Row],[ProductID]],dProduct[ProductID],dProduct[CratePrice])</f>
        <v>29.75</v>
      </c>
      <c r="S717">
        <f>_xlfn.XLOOKUP(fSales[[#This Row],[ProductID]],dProduct[ProductID],dProduct[CrateCost])</f>
        <v>17.254999999999999</v>
      </c>
    </row>
    <row r="718" spans="7:19" x14ac:dyDescent="0.25">
      <c r="G718" s="2">
        <v>45783</v>
      </c>
      <c r="H718">
        <v>300</v>
      </c>
      <c r="I718" t="s">
        <v>19</v>
      </c>
      <c r="J718" t="s">
        <v>52</v>
      </c>
      <c r="K718">
        <f>_xlfn.XLOOKUP(fSales[[#This Row],[ProductID]],dProduct[ProductID],dProduct[CratePrice])*fSales[[#This Row],[Units]]</f>
        <v>10500</v>
      </c>
      <c r="L718">
        <f>fSales[[#This Row],[Total sales]]-_xlfn.XLOOKUP(fSales[[#This Row],[ProductID]],dProduct[ProductID],dProduct[CrateCost])*fSales[[#This Row],[Units]]</f>
        <v>5880</v>
      </c>
      <c r="M718">
        <f>(_xlfn.XLOOKUP(fSales[[#This Row],[ProductID]],dProduct[ProductID],dProduct[CratePrice])-_xlfn.XLOOKUP(fSales[[#This Row],[ProductID]],dProduct[ProductID],dProduct[CrateCost]))/_xlfn.XLOOKUP(fSales[[#This Row],[ProductID]],dProduct[ProductID],dProduct[CratePrice])</f>
        <v>0.56000000000000005</v>
      </c>
      <c r="N718" t="str">
        <f>_xlfn.XLOOKUP(fSales[[#This Row],[SalesRepID]],dPSalesRep[SalesRepID],dPSalesRep[SalesRep])</f>
        <v>Smitty Rad</v>
      </c>
      <c r="O718" t="str">
        <f>_xlfn.XLOOKUP(fSales[[#This Row],[SalesRepID]],dPSalesRep[SalesRepID],dPSalesRep[Region])</f>
        <v>MidWest</v>
      </c>
      <c r="P718" t="str">
        <f>_xlfn.XLOOKUP(fSales[[#This Row],[ProductID]],dProduct[ProductID],dProduct[Product])</f>
        <v>Apple</v>
      </c>
      <c r="Q718">
        <f>_xlfn.XLOOKUP(fSales[[#This Row],[ProductID]],dProduct[ProductID],dProduct[CratePrice])-_xlfn.XLOOKUP(fSales[[#This Row],[ProductID]],dProduct[ProductID],dProduct[CrateCost])</f>
        <v>19.600000000000001</v>
      </c>
      <c r="R718">
        <f>_xlfn.XLOOKUP(fSales[[#This Row],[ProductID]],dProduct[ProductID],dProduct[CratePrice])</f>
        <v>35</v>
      </c>
      <c r="S718">
        <f>_xlfn.XLOOKUP(fSales[[#This Row],[ProductID]],dProduct[ProductID],dProduct[CrateCost])</f>
        <v>15.4</v>
      </c>
    </row>
    <row r="719" spans="7:19" x14ac:dyDescent="0.25">
      <c r="G719" s="2">
        <v>45783</v>
      </c>
      <c r="H719">
        <v>24</v>
      </c>
      <c r="I719" t="s">
        <v>19</v>
      </c>
      <c r="J719" t="s">
        <v>37</v>
      </c>
      <c r="K719">
        <f>_xlfn.XLOOKUP(fSales[[#This Row],[ProductID]],dProduct[ProductID],dProduct[CratePrice])*fSales[[#This Row],[Units]]</f>
        <v>840</v>
      </c>
      <c r="L719">
        <f>fSales[[#This Row],[Total sales]]-_xlfn.XLOOKUP(fSales[[#This Row],[ProductID]],dProduct[ProductID],dProduct[CrateCost])*fSales[[#This Row],[Units]]</f>
        <v>470.4</v>
      </c>
      <c r="M719">
        <f>(_xlfn.XLOOKUP(fSales[[#This Row],[ProductID]],dProduct[ProductID],dProduct[CratePrice])-_xlfn.XLOOKUP(fSales[[#This Row],[ProductID]],dProduct[ProductID],dProduct[CrateCost]))/_xlfn.XLOOKUP(fSales[[#This Row],[ProductID]],dProduct[ProductID],dProduct[CratePrice])</f>
        <v>0.56000000000000005</v>
      </c>
      <c r="N719" t="str">
        <f>_xlfn.XLOOKUP(fSales[[#This Row],[SalesRepID]],dPSalesRep[SalesRepID],dPSalesRep[SalesRep])</f>
        <v>Chantel Mims</v>
      </c>
      <c r="O719" t="str">
        <f>_xlfn.XLOOKUP(fSales[[#This Row],[SalesRepID]],dPSalesRep[SalesRepID],dPSalesRep[Region])</f>
        <v>NW</v>
      </c>
      <c r="P719" t="str">
        <f>_xlfn.XLOOKUP(fSales[[#This Row],[ProductID]],dProduct[ProductID],dProduct[Product])</f>
        <v>Apple</v>
      </c>
      <c r="Q719">
        <f>_xlfn.XLOOKUP(fSales[[#This Row],[ProductID]],dProduct[ProductID],dProduct[CratePrice])-_xlfn.XLOOKUP(fSales[[#This Row],[ProductID]],dProduct[ProductID],dProduct[CrateCost])</f>
        <v>19.600000000000001</v>
      </c>
      <c r="R719">
        <f>_xlfn.XLOOKUP(fSales[[#This Row],[ProductID]],dProduct[ProductID],dProduct[CratePrice])</f>
        <v>35</v>
      </c>
      <c r="S719">
        <f>_xlfn.XLOOKUP(fSales[[#This Row],[ProductID]],dProduct[ProductID],dProduct[CrateCost])</f>
        <v>15.4</v>
      </c>
    </row>
    <row r="720" spans="7:19" x14ac:dyDescent="0.25">
      <c r="G720" s="2">
        <v>45784</v>
      </c>
      <c r="H720">
        <v>204</v>
      </c>
      <c r="I720" t="s">
        <v>26</v>
      </c>
      <c r="J720" t="s">
        <v>37</v>
      </c>
      <c r="K720">
        <f>_xlfn.XLOOKUP(fSales[[#This Row],[ProductID]],dProduct[ProductID],dProduct[CratePrice])*fSales[[#This Row],[Units]]</f>
        <v>6069</v>
      </c>
      <c r="L720">
        <f>fSales[[#This Row],[Total sales]]-_xlfn.XLOOKUP(fSales[[#This Row],[ProductID]],dProduct[ProductID],dProduct[CrateCost])*fSales[[#This Row],[Units]]</f>
        <v>2548.98</v>
      </c>
      <c r="M720">
        <f>(_xlfn.XLOOKUP(fSales[[#This Row],[ProductID]],dProduct[ProductID],dProduct[CratePrice])-_xlfn.XLOOKUP(fSales[[#This Row],[ProductID]],dProduct[ProductID],dProduct[CrateCost]))/_xlfn.XLOOKUP(fSales[[#This Row],[ProductID]],dProduct[ProductID],dProduct[CratePrice])</f>
        <v>0.42000000000000004</v>
      </c>
      <c r="N720" t="str">
        <f>_xlfn.XLOOKUP(fSales[[#This Row],[SalesRepID]],dPSalesRep[SalesRepID],dPSalesRep[SalesRep])</f>
        <v>Chantel Mims</v>
      </c>
      <c r="O720" t="str">
        <f>_xlfn.XLOOKUP(fSales[[#This Row],[SalesRepID]],dPSalesRep[SalesRepID],dPSalesRep[Region])</f>
        <v>NW</v>
      </c>
      <c r="P720" t="str">
        <f>_xlfn.XLOOKUP(fSales[[#This Row],[ProductID]],dProduct[ProductID],dProduct[Product])</f>
        <v>Orange</v>
      </c>
      <c r="Q720">
        <f>_xlfn.XLOOKUP(fSales[[#This Row],[ProductID]],dProduct[ProductID],dProduct[CratePrice])-_xlfn.XLOOKUP(fSales[[#This Row],[ProductID]],dProduct[ProductID],dProduct[CrateCost])</f>
        <v>12.495000000000001</v>
      </c>
      <c r="R720">
        <f>_xlfn.XLOOKUP(fSales[[#This Row],[ProductID]],dProduct[ProductID],dProduct[CratePrice])</f>
        <v>29.75</v>
      </c>
      <c r="S720">
        <f>_xlfn.XLOOKUP(fSales[[#This Row],[ProductID]],dProduct[ProductID],dProduct[CrateCost])</f>
        <v>17.254999999999999</v>
      </c>
    </row>
    <row r="721" spans="7:19" x14ac:dyDescent="0.25">
      <c r="G721" s="2">
        <v>45784</v>
      </c>
      <c r="H721">
        <v>168</v>
      </c>
      <c r="I721" t="s">
        <v>28</v>
      </c>
      <c r="J721" t="s">
        <v>37</v>
      </c>
      <c r="K721">
        <f>_xlfn.XLOOKUP(fSales[[#This Row],[ProductID]],dProduct[ProductID],dProduct[CratePrice])*fSales[[#This Row],[Units]]</f>
        <v>7341.6</v>
      </c>
      <c r="L721">
        <f>fSales[[#This Row],[Total sales]]-_xlfn.XLOOKUP(fSales[[#This Row],[ProductID]],dProduct[ProductID],dProduct[CrateCost])*fSales[[#This Row],[Units]]</f>
        <v>3083.4720000000007</v>
      </c>
      <c r="M721">
        <f>(_xlfn.XLOOKUP(fSales[[#This Row],[ProductID]],dProduct[ProductID],dProduct[CratePrice])-_xlfn.XLOOKUP(fSales[[#This Row],[ProductID]],dProduct[ProductID],dProduct[CrateCost]))/_xlfn.XLOOKUP(fSales[[#This Row],[ProductID]],dProduct[ProductID],dProduct[CratePrice])</f>
        <v>0.42000000000000004</v>
      </c>
      <c r="N721" t="str">
        <f>_xlfn.XLOOKUP(fSales[[#This Row],[SalesRepID]],dPSalesRep[SalesRepID],dPSalesRep[SalesRep])</f>
        <v>Chantel Mims</v>
      </c>
      <c r="O721" t="str">
        <f>_xlfn.XLOOKUP(fSales[[#This Row],[SalesRepID]],dPSalesRep[SalesRepID],dPSalesRep[Region])</f>
        <v>NW</v>
      </c>
      <c r="P721" t="str">
        <f>_xlfn.XLOOKUP(fSales[[#This Row],[ProductID]],dProduct[ProductID],dProduct[Product])</f>
        <v>Cherry</v>
      </c>
      <c r="Q721">
        <f>_xlfn.XLOOKUP(fSales[[#This Row],[ProductID]],dProduct[ProductID],dProduct[CratePrice])-_xlfn.XLOOKUP(fSales[[#This Row],[ProductID]],dProduct[ProductID],dProduct[CrateCost])</f>
        <v>18.354000000000003</v>
      </c>
      <c r="R721">
        <f>_xlfn.XLOOKUP(fSales[[#This Row],[ProductID]],dProduct[ProductID],dProduct[CratePrice])</f>
        <v>43.7</v>
      </c>
      <c r="S721">
        <f>_xlfn.XLOOKUP(fSales[[#This Row],[ProductID]],dProduct[ProductID],dProduct[CrateCost])</f>
        <v>25.346</v>
      </c>
    </row>
    <row r="722" spans="7:19" x14ac:dyDescent="0.25">
      <c r="G722" s="2">
        <v>45784</v>
      </c>
      <c r="H722">
        <v>48</v>
      </c>
      <c r="I722" t="s">
        <v>28</v>
      </c>
      <c r="J722" t="s">
        <v>32</v>
      </c>
      <c r="K722">
        <f>_xlfn.XLOOKUP(fSales[[#This Row],[ProductID]],dProduct[ProductID],dProduct[CratePrice])*fSales[[#This Row],[Units]]</f>
        <v>2097.6000000000004</v>
      </c>
      <c r="L722">
        <f>fSales[[#This Row],[Total sales]]-_xlfn.XLOOKUP(fSales[[#This Row],[ProductID]],dProduct[ProductID],dProduct[CrateCost])*fSales[[#This Row],[Units]]</f>
        <v>880.99200000000042</v>
      </c>
      <c r="M722">
        <f>(_xlfn.XLOOKUP(fSales[[#This Row],[ProductID]],dProduct[ProductID],dProduct[CratePrice])-_xlfn.XLOOKUP(fSales[[#This Row],[ProductID]],dProduct[ProductID],dProduct[CrateCost]))/_xlfn.XLOOKUP(fSales[[#This Row],[ProductID]],dProduct[ProductID],dProduct[CratePrice])</f>
        <v>0.42000000000000004</v>
      </c>
      <c r="N722" t="str">
        <f>_xlfn.XLOOKUP(fSales[[#This Row],[SalesRepID]],dPSalesRep[SalesRepID],dPSalesRep[SalesRep])</f>
        <v>Shihara Fazzaa</v>
      </c>
      <c r="O722" t="str">
        <f>_xlfn.XLOOKUP(fSales[[#This Row],[SalesRepID]],dPSalesRep[SalesRepID],dPSalesRep[Region])</f>
        <v>East</v>
      </c>
      <c r="P722" t="str">
        <f>_xlfn.XLOOKUP(fSales[[#This Row],[ProductID]],dProduct[ProductID],dProduct[Product])</f>
        <v>Cherry</v>
      </c>
      <c r="Q722">
        <f>_xlfn.XLOOKUP(fSales[[#This Row],[ProductID]],dProduct[ProductID],dProduct[CratePrice])-_xlfn.XLOOKUP(fSales[[#This Row],[ProductID]],dProduct[ProductID],dProduct[CrateCost])</f>
        <v>18.354000000000003</v>
      </c>
      <c r="R722">
        <f>_xlfn.XLOOKUP(fSales[[#This Row],[ProductID]],dProduct[ProductID],dProduct[CratePrice])</f>
        <v>43.7</v>
      </c>
      <c r="S722">
        <f>_xlfn.XLOOKUP(fSales[[#This Row],[ProductID]],dProduct[ProductID],dProduct[CrateCost])</f>
        <v>25.346</v>
      </c>
    </row>
    <row r="723" spans="7:19" x14ac:dyDescent="0.25">
      <c r="G723" s="2">
        <v>45784</v>
      </c>
      <c r="H723">
        <v>120</v>
      </c>
      <c r="I723" t="s">
        <v>34</v>
      </c>
      <c r="J723" t="s">
        <v>37</v>
      </c>
      <c r="K723">
        <f>_xlfn.XLOOKUP(fSales[[#This Row],[ProductID]],dProduct[ProductID],dProduct[CratePrice])*fSales[[#This Row],[Units]]</f>
        <v>2100</v>
      </c>
      <c r="L723">
        <f>fSales[[#This Row],[Total sales]]-_xlfn.XLOOKUP(fSales[[#This Row],[ProductID]],dProduct[ProductID],dProduct[CrateCost])*fSales[[#This Row],[Units]]</f>
        <v>692.99999999999977</v>
      </c>
      <c r="M723">
        <f>(_xlfn.XLOOKUP(fSales[[#This Row],[ProductID]],dProduct[ProductID],dProduct[CratePrice])-_xlfn.XLOOKUP(fSales[[#This Row],[ProductID]],dProduct[ProductID],dProduct[CrateCost]))/_xlfn.XLOOKUP(fSales[[#This Row],[ProductID]],dProduct[ProductID],dProduct[CratePrice])</f>
        <v>0.3299999999999999</v>
      </c>
      <c r="N723" t="str">
        <f>_xlfn.XLOOKUP(fSales[[#This Row],[SalesRepID]],dPSalesRep[SalesRepID],dPSalesRep[SalesRep])</f>
        <v>Chantel Mims</v>
      </c>
      <c r="O723" t="str">
        <f>_xlfn.XLOOKUP(fSales[[#This Row],[SalesRepID]],dPSalesRep[SalesRepID],dPSalesRep[Region])</f>
        <v>NW</v>
      </c>
      <c r="P723" t="str">
        <f>_xlfn.XLOOKUP(fSales[[#This Row],[ProductID]],dProduct[ProductID],dProduct[Product])</f>
        <v>Banana</v>
      </c>
      <c r="Q723">
        <f>_xlfn.XLOOKUP(fSales[[#This Row],[ProductID]],dProduct[ProductID],dProduct[CratePrice])-_xlfn.XLOOKUP(fSales[[#This Row],[ProductID]],dProduct[ProductID],dProduct[CrateCost])</f>
        <v>5.7749999999999986</v>
      </c>
      <c r="R723">
        <f>_xlfn.XLOOKUP(fSales[[#This Row],[ProductID]],dProduct[ProductID],dProduct[CratePrice])</f>
        <v>17.5</v>
      </c>
      <c r="S723">
        <f>_xlfn.XLOOKUP(fSales[[#This Row],[ProductID]],dProduct[ProductID],dProduct[CrateCost])</f>
        <v>11.725000000000001</v>
      </c>
    </row>
    <row r="724" spans="7:19" x14ac:dyDescent="0.25">
      <c r="G724" s="2">
        <v>45785</v>
      </c>
      <c r="H724">
        <v>72</v>
      </c>
      <c r="I724" t="s">
        <v>19</v>
      </c>
      <c r="J724" t="s">
        <v>32</v>
      </c>
      <c r="K724">
        <f>_xlfn.XLOOKUP(fSales[[#This Row],[ProductID]],dProduct[ProductID],dProduct[CratePrice])*fSales[[#This Row],[Units]]</f>
        <v>2520</v>
      </c>
      <c r="L724">
        <f>fSales[[#This Row],[Total sales]]-_xlfn.XLOOKUP(fSales[[#This Row],[ProductID]],dProduct[ProductID],dProduct[CrateCost])*fSales[[#This Row],[Units]]</f>
        <v>1411.2</v>
      </c>
      <c r="M724">
        <f>(_xlfn.XLOOKUP(fSales[[#This Row],[ProductID]],dProduct[ProductID],dProduct[CratePrice])-_xlfn.XLOOKUP(fSales[[#This Row],[ProductID]],dProduct[ProductID],dProduct[CrateCost]))/_xlfn.XLOOKUP(fSales[[#This Row],[ProductID]],dProduct[ProductID],dProduct[CratePrice])</f>
        <v>0.56000000000000005</v>
      </c>
      <c r="N724" t="str">
        <f>_xlfn.XLOOKUP(fSales[[#This Row],[SalesRepID]],dPSalesRep[SalesRepID],dPSalesRep[SalesRep])</f>
        <v>Shihara Fazzaa</v>
      </c>
      <c r="O724" t="str">
        <f>_xlfn.XLOOKUP(fSales[[#This Row],[SalesRepID]],dPSalesRep[SalesRepID],dPSalesRep[Region])</f>
        <v>East</v>
      </c>
      <c r="P724" t="str">
        <f>_xlfn.XLOOKUP(fSales[[#This Row],[ProductID]],dProduct[ProductID],dProduct[Product])</f>
        <v>Apple</v>
      </c>
      <c r="Q724">
        <f>_xlfn.XLOOKUP(fSales[[#This Row],[ProductID]],dProduct[ProductID],dProduct[CratePrice])-_xlfn.XLOOKUP(fSales[[#This Row],[ProductID]],dProduct[ProductID],dProduct[CrateCost])</f>
        <v>19.600000000000001</v>
      </c>
      <c r="R724">
        <f>_xlfn.XLOOKUP(fSales[[#This Row],[ProductID]],dProduct[ProductID],dProduct[CratePrice])</f>
        <v>35</v>
      </c>
      <c r="S724">
        <f>_xlfn.XLOOKUP(fSales[[#This Row],[ProductID]],dProduct[ProductID],dProduct[CrateCost])</f>
        <v>15.4</v>
      </c>
    </row>
    <row r="725" spans="7:19" x14ac:dyDescent="0.25">
      <c r="G725" s="2">
        <v>45785</v>
      </c>
      <c r="H725">
        <v>72</v>
      </c>
      <c r="I725" t="s">
        <v>34</v>
      </c>
      <c r="J725" t="s">
        <v>52</v>
      </c>
      <c r="K725">
        <f>_xlfn.XLOOKUP(fSales[[#This Row],[ProductID]],dProduct[ProductID],dProduct[CratePrice])*fSales[[#This Row],[Units]]</f>
        <v>1260</v>
      </c>
      <c r="L725">
        <f>fSales[[#This Row],[Total sales]]-_xlfn.XLOOKUP(fSales[[#This Row],[ProductID]],dProduct[ProductID],dProduct[CrateCost])*fSales[[#This Row],[Units]]</f>
        <v>415.79999999999995</v>
      </c>
      <c r="M725">
        <f>(_xlfn.XLOOKUP(fSales[[#This Row],[ProductID]],dProduct[ProductID],dProduct[CratePrice])-_xlfn.XLOOKUP(fSales[[#This Row],[ProductID]],dProduct[ProductID],dProduct[CrateCost]))/_xlfn.XLOOKUP(fSales[[#This Row],[ProductID]],dProduct[ProductID],dProduct[CratePrice])</f>
        <v>0.3299999999999999</v>
      </c>
      <c r="N725" t="str">
        <f>_xlfn.XLOOKUP(fSales[[#This Row],[SalesRepID]],dPSalesRep[SalesRepID],dPSalesRep[SalesRep])</f>
        <v>Smitty Rad</v>
      </c>
      <c r="O725" t="str">
        <f>_xlfn.XLOOKUP(fSales[[#This Row],[SalesRepID]],dPSalesRep[SalesRepID],dPSalesRep[Region])</f>
        <v>MidWest</v>
      </c>
      <c r="P725" t="str">
        <f>_xlfn.XLOOKUP(fSales[[#This Row],[ProductID]],dProduct[ProductID],dProduct[Product])</f>
        <v>Banana</v>
      </c>
      <c r="Q725">
        <f>_xlfn.XLOOKUP(fSales[[#This Row],[ProductID]],dProduct[ProductID],dProduct[CratePrice])-_xlfn.XLOOKUP(fSales[[#This Row],[ProductID]],dProduct[ProductID],dProduct[CrateCost])</f>
        <v>5.7749999999999986</v>
      </c>
      <c r="R725">
        <f>_xlfn.XLOOKUP(fSales[[#This Row],[ProductID]],dProduct[ProductID],dProduct[CratePrice])</f>
        <v>17.5</v>
      </c>
      <c r="S725">
        <f>_xlfn.XLOOKUP(fSales[[#This Row],[ProductID]],dProduct[ProductID],dProduct[CrateCost])</f>
        <v>11.725000000000001</v>
      </c>
    </row>
    <row r="726" spans="7:19" x14ac:dyDescent="0.25">
      <c r="G726" s="2">
        <v>45785</v>
      </c>
      <c r="H726">
        <v>120</v>
      </c>
      <c r="I726" t="s">
        <v>21</v>
      </c>
      <c r="J726" t="s">
        <v>37</v>
      </c>
      <c r="K726">
        <f>_xlfn.XLOOKUP(fSales[[#This Row],[ProductID]],dProduct[ProductID],dProduct[CratePrice])*fSales[[#This Row],[Units]]</f>
        <v>2700</v>
      </c>
      <c r="L726">
        <f>fSales[[#This Row],[Total sales]]-_xlfn.XLOOKUP(fSales[[#This Row],[ProductID]],dProduct[ProductID],dProduct[CrateCost])*fSales[[#This Row],[Units]]</f>
        <v>1187.9999999999998</v>
      </c>
      <c r="M726">
        <f>(_xlfn.XLOOKUP(fSales[[#This Row],[ProductID]],dProduct[ProductID],dProduct[CratePrice])-_xlfn.XLOOKUP(fSales[[#This Row],[ProductID]],dProduct[ProductID],dProduct[CrateCost]))/_xlfn.XLOOKUP(fSales[[#This Row],[ProductID]],dProduct[ProductID],dProduct[CratePrice])</f>
        <v>0.43999999999999995</v>
      </c>
      <c r="N726" t="str">
        <f>_xlfn.XLOOKUP(fSales[[#This Row],[SalesRepID]],dPSalesRep[SalesRepID],dPSalesRep[SalesRep])</f>
        <v>Chantel Mims</v>
      </c>
      <c r="O726" t="str">
        <f>_xlfn.XLOOKUP(fSales[[#This Row],[SalesRepID]],dPSalesRep[SalesRepID],dPSalesRep[Region])</f>
        <v>NW</v>
      </c>
      <c r="P726" t="str">
        <f>_xlfn.XLOOKUP(fSales[[#This Row],[ProductID]],dProduct[ProductID],dProduct[Product])</f>
        <v>Kiwi</v>
      </c>
      <c r="Q726">
        <f>_xlfn.XLOOKUP(fSales[[#This Row],[ProductID]],dProduct[ProductID],dProduct[CratePrice])-_xlfn.XLOOKUP(fSales[[#This Row],[ProductID]],dProduct[ProductID],dProduct[CrateCost])</f>
        <v>9.8999999999999986</v>
      </c>
      <c r="R726">
        <f>_xlfn.XLOOKUP(fSales[[#This Row],[ProductID]],dProduct[ProductID],dProduct[CratePrice])</f>
        <v>22.5</v>
      </c>
      <c r="S726">
        <f>_xlfn.XLOOKUP(fSales[[#This Row],[ProductID]],dProduct[ProductID],dProduct[CrateCost])</f>
        <v>12.600000000000001</v>
      </c>
    </row>
    <row r="727" spans="7:19" x14ac:dyDescent="0.25">
      <c r="G727" s="2">
        <v>45785</v>
      </c>
      <c r="H727">
        <v>300</v>
      </c>
      <c r="I727" t="s">
        <v>26</v>
      </c>
      <c r="J727" t="s">
        <v>52</v>
      </c>
      <c r="K727">
        <f>_xlfn.XLOOKUP(fSales[[#This Row],[ProductID]],dProduct[ProductID],dProduct[CratePrice])*fSales[[#This Row],[Units]]</f>
        <v>8925</v>
      </c>
      <c r="L727">
        <f>fSales[[#This Row],[Total sales]]-_xlfn.XLOOKUP(fSales[[#This Row],[ProductID]],dProduct[ProductID],dProduct[CrateCost])*fSales[[#This Row],[Units]]</f>
        <v>3748.5</v>
      </c>
      <c r="M727">
        <f>(_xlfn.XLOOKUP(fSales[[#This Row],[ProductID]],dProduct[ProductID],dProduct[CratePrice])-_xlfn.XLOOKUP(fSales[[#This Row],[ProductID]],dProduct[ProductID],dProduct[CrateCost]))/_xlfn.XLOOKUP(fSales[[#This Row],[ProductID]],dProduct[ProductID],dProduct[CratePrice])</f>
        <v>0.42000000000000004</v>
      </c>
      <c r="N727" t="str">
        <f>_xlfn.XLOOKUP(fSales[[#This Row],[SalesRepID]],dPSalesRep[SalesRepID],dPSalesRep[SalesRep])</f>
        <v>Smitty Rad</v>
      </c>
      <c r="O727" t="str">
        <f>_xlfn.XLOOKUP(fSales[[#This Row],[SalesRepID]],dPSalesRep[SalesRepID],dPSalesRep[Region])</f>
        <v>MidWest</v>
      </c>
      <c r="P727" t="str">
        <f>_xlfn.XLOOKUP(fSales[[#This Row],[ProductID]],dProduct[ProductID],dProduct[Product])</f>
        <v>Orange</v>
      </c>
      <c r="Q727">
        <f>_xlfn.XLOOKUP(fSales[[#This Row],[ProductID]],dProduct[ProductID],dProduct[CratePrice])-_xlfn.XLOOKUP(fSales[[#This Row],[ProductID]],dProduct[ProductID],dProduct[CrateCost])</f>
        <v>12.495000000000001</v>
      </c>
      <c r="R727">
        <f>_xlfn.XLOOKUP(fSales[[#This Row],[ProductID]],dProduct[ProductID],dProduct[CratePrice])</f>
        <v>29.75</v>
      </c>
      <c r="S727">
        <f>_xlfn.XLOOKUP(fSales[[#This Row],[ProductID]],dProduct[ProductID],dProduct[CrateCost])</f>
        <v>17.254999999999999</v>
      </c>
    </row>
    <row r="728" spans="7:19" x14ac:dyDescent="0.25">
      <c r="G728" s="2">
        <v>45788</v>
      </c>
      <c r="H728">
        <v>108</v>
      </c>
      <c r="I728" t="s">
        <v>21</v>
      </c>
      <c r="J728" t="s">
        <v>37</v>
      </c>
      <c r="K728">
        <f>_xlfn.XLOOKUP(fSales[[#This Row],[ProductID]],dProduct[ProductID],dProduct[CratePrice])*fSales[[#This Row],[Units]]</f>
        <v>2430</v>
      </c>
      <c r="L728">
        <f>fSales[[#This Row],[Total sales]]-_xlfn.XLOOKUP(fSales[[#This Row],[ProductID]],dProduct[ProductID],dProduct[CrateCost])*fSales[[#This Row],[Units]]</f>
        <v>1069.1999999999998</v>
      </c>
      <c r="M728">
        <f>(_xlfn.XLOOKUP(fSales[[#This Row],[ProductID]],dProduct[ProductID],dProduct[CratePrice])-_xlfn.XLOOKUP(fSales[[#This Row],[ProductID]],dProduct[ProductID],dProduct[CrateCost]))/_xlfn.XLOOKUP(fSales[[#This Row],[ProductID]],dProduct[ProductID],dProduct[CratePrice])</f>
        <v>0.43999999999999995</v>
      </c>
      <c r="N728" t="str">
        <f>_xlfn.XLOOKUP(fSales[[#This Row],[SalesRepID]],dPSalesRep[SalesRepID],dPSalesRep[SalesRep])</f>
        <v>Chantel Mims</v>
      </c>
      <c r="O728" t="str">
        <f>_xlfn.XLOOKUP(fSales[[#This Row],[SalesRepID]],dPSalesRep[SalesRepID],dPSalesRep[Region])</f>
        <v>NW</v>
      </c>
      <c r="P728" t="str">
        <f>_xlfn.XLOOKUP(fSales[[#This Row],[ProductID]],dProduct[ProductID],dProduct[Product])</f>
        <v>Kiwi</v>
      </c>
      <c r="Q728">
        <f>_xlfn.XLOOKUP(fSales[[#This Row],[ProductID]],dProduct[ProductID],dProduct[CratePrice])-_xlfn.XLOOKUP(fSales[[#This Row],[ProductID]],dProduct[ProductID],dProduct[CrateCost])</f>
        <v>9.8999999999999986</v>
      </c>
      <c r="R728">
        <f>_xlfn.XLOOKUP(fSales[[#This Row],[ProductID]],dProduct[ProductID],dProduct[CratePrice])</f>
        <v>22.5</v>
      </c>
      <c r="S728">
        <f>_xlfn.XLOOKUP(fSales[[#This Row],[ProductID]],dProduct[ProductID],dProduct[CrateCost])</f>
        <v>12.600000000000001</v>
      </c>
    </row>
    <row r="729" spans="7:19" x14ac:dyDescent="0.25">
      <c r="G729" s="2">
        <v>45791</v>
      </c>
      <c r="H729">
        <v>24</v>
      </c>
      <c r="I729" t="s">
        <v>21</v>
      </c>
      <c r="J729" t="s">
        <v>22</v>
      </c>
      <c r="K729">
        <f>_xlfn.XLOOKUP(fSales[[#This Row],[ProductID]],dProduct[ProductID],dProduct[CratePrice])*fSales[[#This Row],[Units]]</f>
        <v>540</v>
      </c>
      <c r="L729">
        <f>fSales[[#This Row],[Total sales]]-_xlfn.XLOOKUP(fSales[[#This Row],[ProductID]],dProduct[ProductID],dProduct[CrateCost])*fSales[[#This Row],[Units]]</f>
        <v>237.59999999999997</v>
      </c>
      <c r="M729">
        <f>(_xlfn.XLOOKUP(fSales[[#This Row],[ProductID]],dProduct[ProductID],dProduct[CratePrice])-_xlfn.XLOOKUP(fSales[[#This Row],[ProductID]],dProduct[ProductID],dProduct[CrateCost]))/_xlfn.XLOOKUP(fSales[[#This Row],[ProductID]],dProduct[ProductID],dProduct[CratePrice])</f>
        <v>0.43999999999999995</v>
      </c>
      <c r="N729" t="str">
        <f>_xlfn.XLOOKUP(fSales[[#This Row],[SalesRepID]],dPSalesRep[SalesRepID],dPSalesRep[SalesRep])</f>
        <v>Timmy Kips</v>
      </c>
      <c r="O729" t="str">
        <f>_xlfn.XLOOKUP(fSales[[#This Row],[SalesRepID]],dPSalesRep[SalesRepID],dPSalesRep[Region])</f>
        <v>East</v>
      </c>
      <c r="P729" t="str">
        <f>_xlfn.XLOOKUP(fSales[[#This Row],[ProductID]],dProduct[ProductID],dProduct[Product])</f>
        <v>Kiwi</v>
      </c>
      <c r="Q729">
        <f>_xlfn.XLOOKUP(fSales[[#This Row],[ProductID]],dProduct[ProductID],dProduct[CratePrice])-_xlfn.XLOOKUP(fSales[[#This Row],[ProductID]],dProduct[ProductID],dProduct[CrateCost])</f>
        <v>9.8999999999999986</v>
      </c>
      <c r="R729">
        <f>_xlfn.XLOOKUP(fSales[[#This Row],[ProductID]],dProduct[ProductID],dProduct[CratePrice])</f>
        <v>22.5</v>
      </c>
      <c r="S729">
        <f>_xlfn.XLOOKUP(fSales[[#This Row],[ProductID]],dProduct[ProductID],dProduct[CrateCost])</f>
        <v>12.600000000000001</v>
      </c>
    </row>
    <row r="730" spans="7:19" x14ac:dyDescent="0.25">
      <c r="G730" s="2">
        <v>45792</v>
      </c>
      <c r="H730">
        <v>276</v>
      </c>
      <c r="I730" t="s">
        <v>19</v>
      </c>
      <c r="J730" t="s">
        <v>32</v>
      </c>
      <c r="K730">
        <f>_xlfn.XLOOKUP(fSales[[#This Row],[ProductID]],dProduct[ProductID],dProduct[CratePrice])*fSales[[#This Row],[Units]]</f>
        <v>9660</v>
      </c>
      <c r="L730">
        <f>fSales[[#This Row],[Total sales]]-_xlfn.XLOOKUP(fSales[[#This Row],[ProductID]],dProduct[ProductID],dProduct[CrateCost])*fSales[[#This Row],[Units]]</f>
        <v>5409.5999999999995</v>
      </c>
      <c r="M730">
        <f>(_xlfn.XLOOKUP(fSales[[#This Row],[ProductID]],dProduct[ProductID],dProduct[CratePrice])-_xlfn.XLOOKUP(fSales[[#This Row],[ProductID]],dProduct[ProductID],dProduct[CrateCost]))/_xlfn.XLOOKUP(fSales[[#This Row],[ProductID]],dProduct[ProductID],dProduct[CratePrice])</f>
        <v>0.56000000000000005</v>
      </c>
      <c r="N730" t="str">
        <f>_xlfn.XLOOKUP(fSales[[#This Row],[SalesRepID]],dPSalesRep[SalesRepID],dPSalesRep[SalesRep])</f>
        <v>Shihara Fazzaa</v>
      </c>
      <c r="O730" t="str">
        <f>_xlfn.XLOOKUP(fSales[[#This Row],[SalesRepID]],dPSalesRep[SalesRepID],dPSalesRep[Region])</f>
        <v>East</v>
      </c>
      <c r="P730" t="str">
        <f>_xlfn.XLOOKUP(fSales[[#This Row],[ProductID]],dProduct[ProductID],dProduct[Product])</f>
        <v>Apple</v>
      </c>
      <c r="Q730">
        <f>_xlfn.XLOOKUP(fSales[[#This Row],[ProductID]],dProduct[ProductID],dProduct[CratePrice])-_xlfn.XLOOKUP(fSales[[#This Row],[ProductID]],dProduct[ProductID],dProduct[CrateCost])</f>
        <v>19.600000000000001</v>
      </c>
      <c r="R730">
        <f>_xlfn.XLOOKUP(fSales[[#This Row],[ProductID]],dProduct[ProductID],dProduct[CratePrice])</f>
        <v>35</v>
      </c>
      <c r="S730">
        <f>_xlfn.XLOOKUP(fSales[[#This Row],[ProductID]],dProduct[ProductID],dProduct[CrateCost])</f>
        <v>15.4</v>
      </c>
    </row>
    <row r="731" spans="7:19" x14ac:dyDescent="0.25">
      <c r="G731" s="2">
        <v>45793</v>
      </c>
      <c r="H731">
        <v>36</v>
      </c>
      <c r="I731" t="s">
        <v>28</v>
      </c>
      <c r="J731" t="s">
        <v>29</v>
      </c>
      <c r="K731">
        <f>_xlfn.XLOOKUP(fSales[[#This Row],[ProductID]],dProduct[ProductID],dProduct[CratePrice])*fSales[[#This Row],[Units]]</f>
        <v>1573.2</v>
      </c>
      <c r="L731">
        <f>fSales[[#This Row],[Total sales]]-_xlfn.XLOOKUP(fSales[[#This Row],[ProductID]],dProduct[ProductID],dProduct[CrateCost])*fSales[[#This Row],[Units]]</f>
        <v>660.74400000000003</v>
      </c>
      <c r="M731">
        <f>(_xlfn.XLOOKUP(fSales[[#This Row],[ProductID]],dProduct[ProductID],dProduct[CratePrice])-_xlfn.XLOOKUP(fSales[[#This Row],[ProductID]],dProduct[ProductID],dProduct[CrateCost]))/_xlfn.XLOOKUP(fSales[[#This Row],[ProductID]],dProduct[ProductID],dProduct[CratePrice])</f>
        <v>0.42000000000000004</v>
      </c>
      <c r="N731" t="str">
        <f>_xlfn.XLOOKUP(fSales[[#This Row],[SalesRepID]],dPSalesRep[SalesRepID],dPSalesRep[SalesRep])</f>
        <v>Sioux Best</v>
      </c>
      <c r="O731" t="str">
        <f>_xlfn.XLOOKUP(fSales[[#This Row],[SalesRepID]],dPSalesRep[SalesRepID],dPSalesRep[Region])</f>
        <v>West</v>
      </c>
      <c r="P731" t="str">
        <f>_xlfn.XLOOKUP(fSales[[#This Row],[ProductID]],dProduct[ProductID],dProduct[Product])</f>
        <v>Cherry</v>
      </c>
      <c r="Q731">
        <f>_xlfn.XLOOKUP(fSales[[#This Row],[ProductID]],dProduct[ProductID],dProduct[CratePrice])-_xlfn.XLOOKUP(fSales[[#This Row],[ProductID]],dProduct[ProductID],dProduct[CrateCost])</f>
        <v>18.354000000000003</v>
      </c>
      <c r="R731">
        <f>_xlfn.XLOOKUP(fSales[[#This Row],[ProductID]],dProduct[ProductID],dProduct[CratePrice])</f>
        <v>43.7</v>
      </c>
      <c r="S731">
        <f>_xlfn.XLOOKUP(fSales[[#This Row],[ProductID]],dProduct[ProductID],dProduct[CrateCost])</f>
        <v>25.346</v>
      </c>
    </row>
    <row r="732" spans="7:19" x14ac:dyDescent="0.25">
      <c r="G732" s="2">
        <v>45793</v>
      </c>
      <c r="H732">
        <v>228</v>
      </c>
      <c r="I732" t="s">
        <v>34</v>
      </c>
      <c r="J732" t="s">
        <v>32</v>
      </c>
      <c r="K732">
        <f>_xlfn.XLOOKUP(fSales[[#This Row],[ProductID]],dProduct[ProductID],dProduct[CratePrice])*fSales[[#This Row],[Units]]</f>
        <v>3990</v>
      </c>
      <c r="L732">
        <f>fSales[[#This Row],[Total sales]]-_xlfn.XLOOKUP(fSales[[#This Row],[ProductID]],dProduct[ProductID],dProduct[CrateCost])*fSales[[#This Row],[Units]]</f>
        <v>1316.6999999999998</v>
      </c>
      <c r="M732">
        <f>(_xlfn.XLOOKUP(fSales[[#This Row],[ProductID]],dProduct[ProductID],dProduct[CratePrice])-_xlfn.XLOOKUP(fSales[[#This Row],[ProductID]],dProduct[ProductID],dProduct[CrateCost]))/_xlfn.XLOOKUP(fSales[[#This Row],[ProductID]],dProduct[ProductID],dProduct[CratePrice])</f>
        <v>0.3299999999999999</v>
      </c>
      <c r="N732" t="str">
        <f>_xlfn.XLOOKUP(fSales[[#This Row],[SalesRepID]],dPSalesRep[SalesRepID],dPSalesRep[SalesRep])</f>
        <v>Shihara Fazzaa</v>
      </c>
      <c r="O732" t="str">
        <f>_xlfn.XLOOKUP(fSales[[#This Row],[SalesRepID]],dPSalesRep[SalesRepID],dPSalesRep[Region])</f>
        <v>East</v>
      </c>
      <c r="P732" t="str">
        <f>_xlfn.XLOOKUP(fSales[[#This Row],[ProductID]],dProduct[ProductID],dProduct[Product])</f>
        <v>Banana</v>
      </c>
      <c r="Q732">
        <f>_xlfn.XLOOKUP(fSales[[#This Row],[ProductID]],dProduct[ProductID],dProduct[CratePrice])-_xlfn.XLOOKUP(fSales[[#This Row],[ProductID]],dProduct[ProductID],dProduct[CrateCost])</f>
        <v>5.7749999999999986</v>
      </c>
      <c r="R732">
        <f>_xlfn.XLOOKUP(fSales[[#This Row],[ProductID]],dProduct[ProductID],dProduct[CratePrice])</f>
        <v>17.5</v>
      </c>
      <c r="S732">
        <f>_xlfn.XLOOKUP(fSales[[#This Row],[ProductID]],dProduct[ProductID],dProduct[CrateCost])</f>
        <v>11.725000000000001</v>
      </c>
    </row>
    <row r="733" spans="7:19" x14ac:dyDescent="0.25">
      <c r="G733" s="2">
        <v>45794</v>
      </c>
      <c r="H733">
        <v>228</v>
      </c>
      <c r="I733" t="s">
        <v>19</v>
      </c>
      <c r="J733" t="s">
        <v>52</v>
      </c>
      <c r="K733">
        <f>_xlfn.XLOOKUP(fSales[[#This Row],[ProductID]],dProduct[ProductID],dProduct[CratePrice])*fSales[[#This Row],[Units]]</f>
        <v>7980</v>
      </c>
      <c r="L733">
        <f>fSales[[#This Row],[Total sales]]-_xlfn.XLOOKUP(fSales[[#This Row],[ProductID]],dProduct[ProductID],dProduct[CrateCost])*fSales[[#This Row],[Units]]</f>
        <v>4468.7999999999993</v>
      </c>
      <c r="M733">
        <f>(_xlfn.XLOOKUP(fSales[[#This Row],[ProductID]],dProduct[ProductID],dProduct[CratePrice])-_xlfn.XLOOKUP(fSales[[#This Row],[ProductID]],dProduct[ProductID],dProduct[CrateCost]))/_xlfn.XLOOKUP(fSales[[#This Row],[ProductID]],dProduct[ProductID],dProduct[CratePrice])</f>
        <v>0.56000000000000005</v>
      </c>
      <c r="N733" t="str">
        <f>_xlfn.XLOOKUP(fSales[[#This Row],[SalesRepID]],dPSalesRep[SalesRepID],dPSalesRep[SalesRep])</f>
        <v>Smitty Rad</v>
      </c>
      <c r="O733" t="str">
        <f>_xlfn.XLOOKUP(fSales[[#This Row],[SalesRepID]],dPSalesRep[SalesRepID],dPSalesRep[Region])</f>
        <v>MidWest</v>
      </c>
      <c r="P733" t="str">
        <f>_xlfn.XLOOKUP(fSales[[#This Row],[ProductID]],dProduct[ProductID],dProduct[Product])</f>
        <v>Apple</v>
      </c>
      <c r="Q733">
        <f>_xlfn.XLOOKUP(fSales[[#This Row],[ProductID]],dProduct[ProductID],dProduct[CratePrice])-_xlfn.XLOOKUP(fSales[[#This Row],[ProductID]],dProduct[ProductID],dProduct[CrateCost])</f>
        <v>19.600000000000001</v>
      </c>
      <c r="R733">
        <f>_xlfn.XLOOKUP(fSales[[#This Row],[ProductID]],dProduct[ProductID],dProduct[CratePrice])</f>
        <v>35</v>
      </c>
      <c r="S733">
        <f>_xlfn.XLOOKUP(fSales[[#This Row],[ProductID]],dProduct[ProductID],dProduct[CrateCost])</f>
        <v>15.4</v>
      </c>
    </row>
    <row r="734" spans="7:19" x14ac:dyDescent="0.25">
      <c r="G734" s="2">
        <v>45794</v>
      </c>
      <c r="H734">
        <v>276</v>
      </c>
      <c r="I734" t="s">
        <v>34</v>
      </c>
      <c r="J734" t="s">
        <v>29</v>
      </c>
      <c r="K734">
        <f>_xlfn.XLOOKUP(fSales[[#This Row],[ProductID]],dProduct[ProductID],dProduct[CratePrice])*fSales[[#This Row],[Units]]</f>
        <v>4830</v>
      </c>
      <c r="L734">
        <f>fSales[[#This Row],[Total sales]]-_xlfn.XLOOKUP(fSales[[#This Row],[ProductID]],dProduct[ProductID],dProduct[CrateCost])*fSales[[#This Row],[Units]]</f>
        <v>1593.8999999999996</v>
      </c>
      <c r="M734">
        <f>(_xlfn.XLOOKUP(fSales[[#This Row],[ProductID]],dProduct[ProductID],dProduct[CratePrice])-_xlfn.XLOOKUP(fSales[[#This Row],[ProductID]],dProduct[ProductID],dProduct[CrateCost]))/_xlfn.XLOOKUP(fSales[[#This Row],[ProductID]],dProduct[ProductID],dProduct[CratePrice])</f>
        <v>0.3299999999999999</v>
      </c>
      <c r="N734" t="str">
        <f>_xlfn.XLOOKUP(fSales[[#This Row],[SalesRepID]],dPSalesRep[SalesRepID],dPSalesRep[SalesRep])</f>
        <v>Sioux Best</v>
      </c>
      <c r="O734" t="str">
        <f>_xlfn.XLOOKUP(fSales[[#This Row],[SalesRepID]],dPSalesRep[SalesRepID],dPSalesRep[Region])</f>
        <v>West</v>
      </c>
      <c r="P734" t="str">
        <f>_xlfn.XLOOKUP(fSales[[#This Row],[ProductID]],dProduct[ProductID],dProduct[Product])</f>
        <v>Banana</v>
      </c>
      <c r="Q734">
        <f>_xlfn.XLOOKUP(fSales[[#This Row],[ProductID]],dProduct[ProductID],dProduct[CratePrice])-_xlfn.XLOOKUP(fSales[[#This Row],[ProductID]],dProduct[ProductID],dProduct[CrateCost])</f>
        <v>5.7749999999999986</v>
      </c>
      <c r="R734">
        <f>_xlfn.XLOOKUP(fSales[[#This Row],[ProductID]],dProduct[ProductID],dProduct[CratePrice])</f>
        <v>17.5</v>
      </c>
      <c r="S734">
        <f>_xlfn.XLOOKUP(fSales[[#This Row],[ProductID]],dProduct[ProductID],dProduct[CrateCost])</f>
        <v>11.725000000000001</v>
      </c>
    </row>
    <row r="735" spans="7:19" x14ac:dyDescent="0.25">
      <c r="G735" s="2">
        <v>45795</v>
      </c>
      <c r="H735">
        <v>168</v>
      </c>
      <c r="I735" t="s">
        <v>19</v>
      </c>
      <c r="J735" t="s">
        <v>22</v>
      </c>
      <c r="K735">
        <f>_xlfn.XLOOKUP(fSales[[#This Row],[ProductID]],dProduct[ProductID],dProduct[CratePrice])*fSales[[#This Row],[Units]]</f>
        <v>5880</v>
      </c>
      <c r="L735">
        <f>fSales[[#This Row],[Total sales]]-_xlfn.XLOOKUP(fSales[[#This Row],[ProductID]],dProduct[ProductID],dProduct[CrateCost])*fSales[[#This Row],[Units]]</f>
        <v>3292.7999999999997</v>
      </c>
      <c r="M735">
        <f>(_xlfn.XLOOKUP(fSales[[#This Row],[ProductID]],dProduct[ProductID],dProduct[CratePrice])-_xlfn.XLOOKUP(fSales[[#This Row],[ProductID]],dProduct[ProductID],dProduct[CrateCost]))/_xlfn.XLOOKUP(fSales[[#This Row],[ProductID]],dProduct[ProductID],dProduct[CratePrice])</f>
        <v>0.56000000000000005</v>
      </c>
      <c r="N735" t="str">
        <f>_xlfn.XLOOKUP(fSales[[#This Row],[SalesRepID]],dPSalesRep[SalesRepID],dPSalesRep[SalesRep])</f>
        <v>Timmy Kips</v>
      </c>
      <c r="O735" t="str">
        <f>_xlfn.XLOOKUP(fSales[[#This Row],[SalesRepID]],dPSalesRep[SalesRepID],dPSalesRep[Region])</f>
        <v>East</v>
      </c>
      <c r="P735" t="str">
        <f>_xlfn.XLOOKUP(fSales[[#This Row],[ProductID]],dProduct[ProductID],dProduct[Product])</f>
        <v>Apple</v>
      </c>
      <c r="Q735">
        <f>_xlfn.XLOOKUP(fSales[[#This Row],[ProductID]],dProduct[ProductID],dProduct[CratePrice])-_xlfn.XLOOKUP(fSales[[#This Row],[ProductID]],dProduct[ProductID],dProduct[CrateCost])</f>
        <v>19.600000000000001</v>
      </c>
      <c r="R735">
        <f>_xlfn.XLOOKUP(fSales[[#This Row],[ProductID]],dProduct[ProductID],dProduct[CratePrice])</f>
        <v>35</v>
      </c>
      <c r="S735">
        <f>_xlfn.XLOOKUP(fSales[[#This Row],[ProductID]],dProduct[ProductID],dProduct[CrateCost])</f>
        <v>15.4</v>
      </c>
    </row>
    <row r="736" spans="7:19" x14ac:dyDescent="0.25">
      <c r="G736" s="2">
        <v>45796</v>
      </c>
      <c r="H736">
        <v>228</v>
      </c>
      <c r="I736" t="s">
        <v>19</v>
      </c>
      <c r="J736" t="s">
        <v>32</v>
      </c>
      <c r="K736">
        <f>_xlfn.XLOOKUP(fSales[[#This Row],[ProductID]],dProduct[ProductID],dProduct[CratePrice])*fSales[[#This Row],[Units]]</f>
        <v>7980</v>
      </c>
      <c r="L736">
        <f>fSales[[#This Row],[Total sales]]-_xlfn.XLOOKUP(fSales[[#This Row],[ProductID]],dProduct[ProductID],dProduct[CrateCost])*fSales[[#This Row],[Units]]</f>
        <v>4468.7999999999993</v>
      </c>
      <c r="M736">
        <f>(_xlfn.XLOOKUP(fSales[[#This Row],[ProductID]],dProduct[ProductID],dProduct[CratePrice])-_xlfn.XLOOKUP(fSales[[#This Row],[ProductID]],dProduct[ProductID],dProduct[CrateCost]))/_xlfn.XLOOKUP(fSales[[#This Row],[ProductID]],dProduct[ProductID],dProduct[CratePrice])</f>
        <v>0.56000000000000005</v>
      </c>
      <c r="N736" t="str">
        <f>_xlfn.XLOOKUP(fSales[[#This Row],[SalesRepID]],dPSalesRep[SalesRepID],dPSalesRep[SalesRep])</f>
        <v>Shihara Fazzaa</v>
      </c>
      <c r="O736" t="str">
        <f>_xlfn.XLOOKUP(fSales[[#This Row],[SalesRepID]],dPSalesRep[SalesRepID],dPSalesRep[Region])</f>
        <v>East</v>
      </c>
      <c r="P736" t="str">
        <f>_xlfn.XLOOKUP(fSales[[#This Row],[ProductID]],dProduct[ProductID],dProduct[Product])</f>
        <v>Apple</v>
      </c>
      <c r="Q736">
        <f>_xlfn.XLOOKUP(fSales[[#This Row],[ProductID]],dProduct[ProductID],dProduct[CratePrice])-_xlfn.XLOOKUP(fSales[[#This Row],[ProductID]],dProduct[ProductID],dProduct[CrateCost])</f>
        <v>19.600000000000001</v>
      </c>
      <c r="R736">
        <f>_xlfn.XLOOKUP(fSales[[#This Row],[ProductID]],dProduct[ProductID],dProduct[CratePrice])</f>
        <v>35</v>
      </c>
      <c r="S736">
        <f>_xlfn.XLOOKUP(fSales[[#This Row],[ProductID]],dProduct[ProductID],dProduct[CrateCost])</f>
        <v>15.4</v>
      </c>
    </row>
    <row r="737" spans="7:19" x14ac:dyDescent="0.25">
      <c r="G737" s="2">
        <v>45796</v>
      </c>
      <c r="H737">
        <v>144</v>
      </c>
      <c r="I737" t="s">
        <v>34</v>
      </c>
      <c r="J737" t="s">
        <v>29</v>
      </c>
      <c r="K737">
        <f>_xlfn.XLOOKUP(fSales[[#This Row],[ProductID]],dProduct[ProductID],dProduct[CratePrice])*fSales[[#This Row],[Units]]</f>
        <v>2520</v>
      </c>
      <c r="L737">
        <f>fSales[[#This Row],[Total sales]]-_xlfn.XLOOKUP(fSales[[#This Row],[ProductID]],dProduct[ProductID],dProduct[CrateCost])*fSales[[#This Row],[Units]]</f>
        <v>831.59999999999991</v>
      </c>
      <c r="M737">
        <f>(_xlfn.XLOOKUP(fSales[[#This Row],[ProductID]],dProduct[ProductID],dProduct[CratePrice])-_xlfn.XLOOKUP(fSales[[#This Row],[ProductID]],dProduct[ProductID],dProduct[CrateCost]))/_xlfn.XLOOKUP(fSales[[#This Row],[ProductID]],dProduct[ProductID],dProduct[CratePrice])</f>
        <v>0.3299999999999999</v>
      </c>
      <c r="N737" t="str">
        <f>_xlfn.XLOOKUP(fSales[[#This Row],[SalesRepID]],dPSalesRep[SalesRepID],dPSalesRep[SalesRep])</f>
        <v>Sioux Best</v>
      </c>
      <c r="O737" t="str">
        <f>_xlfn.XLOOKUP(fSales[[#This Row],[SalesRepID]],dPSalesRep[SalesRepID],dPSalesRep[Region])</f>
        <v>West</v>
      </c>
      <c r="P737" t="str">
        <f>_xlfn.XLOOKUP(fSales[[#This Row],[ProductID]],dProduct[ProductID],dProduct[Product])</f>
        <v>Banana</v>
      </c>
      <c r="Q737">
        <f>_xlfn.XLOOKUP(fSales[[#This Row],[ProductID]],dProduct[ProductID],dProduct[CratePrice])-_xlfn.XLOOKUP(fSales[[#This Row],[ProductID]],dProduct[ProductID],dProduct[CrateCost])</f>
        <v>5.7749999999999986</v>
      </c>
      <c r="R737">
        <f>_xlfn.XLOOKUP(fSales[[#This Row],[ProductID]],dProduct[ProductID],dProduct[CratePrice])</f>
        <v>17.5</v>
      </c>
      <c r="S737">
        <f>_xlfn.XLOOKUP(fSales[[#This Row],[ProductID]],dProduct[ProductID],dProduct[CrateCost])</f>
        <v>11.725000000000001</v>
      </c>
    </row>
    <row r="738" spans="7:19" x14ac:dyDescent="0.25">
      <c r="G738" s="2">
        <v>45796</v>
      </c>
      <c r="H738">
        <v>24</v>
      </c>
      <c r="I738" t="s">
        <v>21</v>
      </c>
      <c r="J738" t="s">
        <v>32</v>
      </c>
      <c r="K738">
        <f>_xlfn.XLOOKUP(fSales[[#This Row],[ProductID]],dProduct[ProductID],dProduct[CratePrice])*fSales[[#This Row],[Units]]</f>
        <v>540</v>
      </c>
      <c r="L738">
        <f>fSales[[#This Row],[Total sales]]-_xlfn.XLOOKUP(fSales[[#This Row],[ProductID]],dProduct[ProductID],dProduct[CrateCost])*fSales[[#This Row],[Units]]</f>
        <v>237.59999999999997</v>
      </c>
      <c r="M738">
        <f>(_xlfn.XLOOKUP(fSales[[#This Row],[ProductID]],dProduct[ProductID],dProduct[CratePrice])-_xlfn.XLOOKUP(fSales[[#This Row],[ProductID]],dProduct[ProductID],dProduct[CrateCost]))/_xlfn.XLOOKUP(fSales[[#This Row],[ProductID]],dProduct[ProductID],dProduct[CratePrice])</f>
        <v>0.43999999999999995</v>
      </c>
      <c r="N738" t="str">
        <f>_xlfn.XLOOKUP(fSales[[#This Row],[SalesRepID]],dPSalesRep[SalesRepID],dPSalesRep[SalesRep])</f>
        <v>Shihara Fazzaa</v>
      </c>
      <c r="O738" t="str">
        <f>_xlfn.XLOOKUP(fSales[[#This Row],[SalesRepID]],dPSalesRep[SalesRepID],dPSalesRep[Region])</f>
        <v>East</v>
      </c>
      <c r="P738" t="str">
        <f>_xlfn.XLOOKUP(fSales[[#This Row],[ProductID]],dProduct[ProductID],dProduct[Product])</f>
        <v>Kiwi</v>
      </c>
      <c r="Q738">
        <f>_xlfn.XLOOKUP(fSales[[#This Row],[ProductID]],dProduct[ProductID],dProduct[CratePrice])-_xlfn.XLOOKUP(fSales[[#This Row],[ProductID]],dProduct[ProductID],dProduct[CrateCost])</f>
        <v>9.8999999999999986</v>
      </c>
      <c r="R738">
        <f>_xlfn.XLOOKUP(fSales[[#This Row],[ProductID]],dProduct[ProductID],dProduct[CratePrice])</f>
        <v>22.5</v>
      </c>
      <c r="S738">
        <f>_xlfn.XLOOKUP(fSales[[#This Row],[ProductID]],dProduct[ProductID],dProduct[CrateCost])</f>
        <v>12.600000000000001</v>
      </c>
    </row>
    <row r="739" spans="7:19" x14ac:dyDescent="0.25">
      <c r="G739" s="2">
        <v>45797</v>
      </c>
      <c r="H739">
        <v>288</v>
      </c>
      <c r="I739" t="s">
        <v>34</v>
      </c>
      <c r="J739" t="s">
        <v>37</v>
      </c>
      <c r="K739">
        <f>_xlfn.XLOOKUP(fSales[[#This Row],[ProductID]],dProduct[ProductID],dProduct[CratePrice])*fSales[[#This Row],[Units]]</f>
        <v>5040</v>
      </c>
      <c r="L739">
        <f>fSales[[#This Row],[Total sales]]-_xlfn.XLOOKUP(fSales[[#This Row],[ProductID]],dProduct[ProductID],dProduct[CrateCost])*fSales[[#This Row],[Units]]</f>
        <v>1663.1999999999998</v>
      </c>
      <c r="M739">
        <f>(_xlfn.XLOOKUP(fSales[[#This Row],[ProductID]],dProduct[ProductID],dProduct[CratePrice])-_xlfn.XLOOKUP(fSales[[#This Row],[ProductID]],dProduct[ProductID],dProduct[CrateCost]))/_xlfn.XLOOKUP(fSales[[#This Row],[ProductID]],dProduct[ProductID],dProduct[CratePrice])</f>
        <v>0.3299999999999999</v>
      </c>
      <c r="N739" t="str">
        <f>_xlfn.XLOOKUP(fSales[[#This Row],[SalesRepID]],dPSalesRep[SalesRepID],dPSalesRep[SalesRep])</f>
        <v>Chantel Mims</v>
      </c>
      <c r="O739" t="str">
        <f>_xlfn.XLOOKUP(fSales[[#This Row],[SalesRepID]],dPSalesRep[SalesRepID],dPSalesRep[Region])</f>
        <v>NW</v>
      </c>
      <c r="P739" t="str">
        <f>_xlfn.XLOOKUP(fSales[[#This Row],[ProductID]],dProduct[ProductID],dProduct[Product])</f>
        <v>Banana</v>
      </c>
      <c r="Q739">
        <f>_xlfn.XLOOKUP(fSales[[#This Row],[ProductID]],dProduct[ProductID],dProduct[CratePrice])-_xlfn.XLOOKUP(fSales[[#This Row],[ProductID]],dProduct[ProductID],dProduct[CrateCost])</f>
        <v>5.7749999999999986</v>
      </c>
      <c r="R739">
        <f>_xlfn.XLOOKUP(fSales[[#This Row],[ProductID]],dProduct[ProductID],dProduct[CratePrice])</f>
        <v>17.5</v>
      </c>
      <c r="S739">
        <f>_xlfn.XLOOKUP(fSales[[#This Row],[ProductID]],dProduct[ProductID],dProduct[CrateCost])</f>
        <v>11.725000000000001</v>
      </c>
    </row>
    <row r="740" spans="7:19" x14ac:dyDescent="0.25">
      <c r="G740" s="2">
        <v>45800</v>
      </c>
      <c r="H740">
        <v>228</v>
      </c>
      <c r="I740" t="s">
        <v>26</v>
      </c>
      <c r="J740" t="s">
        <v>32</v>
      </c>
      <c r="K740">
        <f>_xlfn.XLOOKUP(fSales[[#This Row],[ProductID]],dProduct[ProductID],dProduct[CratePrice])*fSales[[#This Row],[Units]]</f>
        <v>6783</v>
      </c>
      <c r="L740">
        <f>fSales[[#This Row],[Total sales]]-_xlfn.XLOOKUP(fSales[[#This Row],[ProductID]],dProduct[ProductID],dProduct[CrateCost])*fSales[[#This Row],[Units]]</f>
        <v>2848.86</v>
      </c>
      <c r="M740">
        <f>(_xlfn.XLOOKUP(fSales[[#This Row],[ProductID]],dProduct[ProductID],dProduct[CratePrice])-_xlfn.XLOOKUP(fSales[[#This Row],[ProductID]],dProduct[ProductID],dProduct[CrateCost]))/_xlfn.XLOOKUP(fSales[[#This Row],[ProductID]],dProduct[ProductID],dProduct[CratePrice])</f>
        <v>0.42000000000000004</v>
      </c>
      <c r="N740" t="str">
        <f>_xlfn.XLOOKUP(fSales[[#This Row],[SalesRepID]],dPSalesRep[SalesRepID],dPSalesRep[SalesRep])</f>
        <v>Shihara Fazzaa</v>
      </c>
      <c r="O740" t="str">
        <f>_xlfn.XLOOKUP(fSales[[#This Row],[SalesRepID]],dPSalesRep[SalesRepID],dPSalesRep[Region])</f>
        <v>East</v>
      </c>
      <c r="P740" t="str">
        <f>_xlfn.XLOOKUP(fSales[[#This Row],[ProductID]],dProduct[ProductID],dProduct[Product])</f>
        <v>Orange</v>
      </c>
      <c r="Q740">
        <f>_xlfn.XLOOKUP(fSales[[#This Row],[ProductID]],dProduct[ProductID],dProduct[CratePrice])-_xlfn.XLOOKUP(fSales[[#This Row],[ProductID]],dProduct[ProductID],dProduct[CrateCost])</f>
        <v>12.495000000000001</v>
      </c>
      <c r="R740">
        <f>_xlfn.XLOOKUP(fSales[[#This Row],[ProductID]],dProduct[ProductID],dProduct[CratePrice])</f>
        <v>29.75</v>
      </c>
      <c r="S740">
        <f>_xlfn.XLOOKUP(fSales[[#This Row],[ProductID]],dProduct[ProductID],dProduct[CrateCost])</f>
        <v>17.254999999999999</v>
      </c>
    </row>
    <row r="741" spans="7:19" x14ac:dyDescent="0.25">
      <c r="G741" s="2">
        <v>45800</v>
      </c>
      <c r="H741">
        <v>300</v>
      </c>
      <c r="I741" t="s">
        <v>26</v>
      </c>
      <c r="J741" t="s">
        <v>29</v>
      </c>
      <c r="K741">
        <f>_xlfn.XLOOKUP(fSales[[#This Row],[ProductID]],dProduct[ProductID],dProduct[CratePrice])*fSales[[#This Row],[Units]]</f>
        <v>8925</v>
      </c>
      <c r="L741">
        <f>fSales[[#This Row],[Total sales]]-_xlfn.XLOOKUP(fSales[[#This Row],[ProductID]],dProduct[ProductID],dProduct[CrateCost])*fSales[[#This Row],[Units]]</f>
        <v>3748.5</v>
      </c>
      <c r="M741">
        <f>(_xlfn.XLOOKUP(fSales[[#This Row],[ProductID]],dProduct[ProductID],dProduct[CratePrice])-_xlfn.XLOOKUP(fSales[[#This Row],[ProductID]],dProduct[ProductID],dProduct[CrateCost]))/_xlfn.XLOOKUP(fSales[[#This Row],[ProductID]],dProduct[ProductID],dProduct[CratePrice])</f>
        <v>0.42000000000000004</v>
      </c>
      <c r="N741" t="str">
        <f>_xlfn.XLOOKUP(fSales[[#This Row],[SalesRepID]],dPSalesRep[SalesRepID],dPSalesRep[SalesRep])</f>
        <v>Sioux Best</v>
      </c>
      <c r="O741" t="str">
        <f>_xlfn.XLOOKUP(fSales[[#This Row],[SalesRepID]],dPSalesRep[SalesRepID],dPSalesRep[Region])</f>
        <v>West</v>
      </c>
      <c r="P741" t="str">
        <f>_xlfn.XLOOKUP(fSales[[#This Row],[ProductID]],dProduct[ProductID],dProduct[Product])</f>
        <v>Orange</v>
      </c>
      <c r="Q741">
        <f>_xlfn.XLOOKUP(fSales[[#This Row],[ProductID]],dProduct[ProductID],dProduct[CratePrice])-_xlfn.XLOOKUP(fSales[[#This Row],[ProductID]],dProduct[ProductID],dProduct[CrateCost])</f>
        <v>12.495000000000001</v>
      </c>
      <c r="R741">
        <f>_xlfn.XLOOKUP(fSales[[#This Row],[ProductID]],dProduct[ProductID],dProduct[CratePrice])</f>
        <v>29.75</v>
      </c>
      <c r="S741">
        <f>_xlfn.XLOOKUP(fSales[[#This Row],[ProductID]],dProduct[ProductID],dProduct[CrateCost])</f>
        <v>17.254999999999999</v>
      </c>
    </row>
    <row r="742" spans="7:19" x14ac:dyDescent="0.25">
      <c r="G742" s="2">
        <v>45801</v>
      </c>
      <c r="H742">
        <v>24</v>
      </c>
      <c r="I742" t="s">
        <v>28</v>
      </c>
      <c r="J742" t="s">
        <v>29</v>
      </c>
      <c r="K742">
        <f>_xlfn.XLOOKUP(fSales[[#This Row],[ProductID]],dProduct[ProductID],dProduct[CratePrice])*fSales[[#This Row],[Units]]</f>
        <v>1048.8000000000002</v>
      </c>
      <c r="L742">
        <f>fSales[[#This Row],[Total sales]]-_xlfn.XLOOKUP(fSales[[#This Row],[ProductID]],dProduct[ProductID],dProduct[CrateCost])*fSales[[#This Row],[Units]]</f>
        <v>440.49600000000021</v>
      </c>
      <c r="M742">
        <f>(_xlfn.XLOOKUP(fSales[[#This Row],[ProductID]],dProduct[ProductID],dProduct[CratePrice])-_xlfn.XLOOKUP(fSales[[#This Row],[ProductID]],dProduct[ProductID],dProduct[CrateCost]))/_xlfn.XLOOKUP(fSales[[#This Row],[ProductID]],dProduct[ProductID],dProduct[CratePrice])</f>
        <v>0.42000000000000004</v>
      </c>
      <c r="N742" t="str">
        <f>_xlfn.XLOOKUP(fSales[[#This Row],[SalesRepID]],dPSalesRep[SalesRepID],dPSalesRep[SalesRep])</f>
        <v>Sioux Best</v>
      </c>
      <c r="O742" t="str">
        <f>_xlfn.XLOOKUP(fSales[[#This Row],[SalesRepID]],dPSalesRep[SalesRepID],dPSalesRep[Region])</f>
        <v>West</v>
      </c>
      <c r="P742" t="str">
        <f>_xlfn.XLOOKUP(fSales[[#This Row],[ProductID]],dProduct[ProductID],dProduct[Product])</f>
        <v>Cherry</v>
      </c>
      <c r="Q742">
        <f>_xlfn.XLOOKUP(fSales[[#This Row],[ProductID]],dProduct[ProductID],dProduct[CratePrice])-_xlfn.XLOOKUP(fSales[[#This Row],[ProductID]],dProduct[ProductID],dProduct[CrateCost])</f>
        <v>18.354000000000003</v>
      </c>
      <c r="R742">
        <f>_xlfn.XLOOKUP(fSales[[#This Row],[ProductID]],dProduct[ProductID],dProduct[CratePrice])</f>
        <v>43.7</v>
      </c>
      <c r="S742">
        <f>_xlfn.XLOOKUP(fSales[[#This Row],[ProductID]],dProduct[ProductID],dProduct[CrateCost])</f>
        <v>25.346</v>
      </c>
    </row>
    <row r="743" spans="7:19" x14ac:dyDescent="0.25">
      <c r="G743" s="2">
        <v>45801</v>
      </c>
      <c r="H743">
        <v>60</v>
      </c>
      <c r="I743" t="s">
        <v>21</v>
      </c>
      <c r="J743" t="s">
        <v>22</v>
      </c>
      <c r="K743">
        <f>_xlfn.XLOOKUP(fSales[[#This Row],[ProductID]],dProduct[ProductID],dProduct[CratePrice])*fSales[[#This Row],[Units]]</f>
        <v>1350</v>
      </c>
      <c r="L743">
        <f>fSales[[#This Row],[Total sales]]-_xlfn.XLOOKUP(fSales[[#This Row],[ProductID]],dProduct[ProductID],dProduct[CrateCost])*fSales[[#This Row],[Units]]</f>
        <v>593.99999999999989</v>
      </c>
      <c r="M743">
        <f>(_xlfn.XLOOKUP(fSales[[#This Row],[ProductID]],dProduct[ProductID],dProduct[CratePrice])-_xlfn.XLOOKUP(fSales[[#This Row],[ProductID]],dProduct[ProductID],dProduct[CrateCost]))/_xlfn.XLOOKUP(fSales[[#This Row],[ProductID]],dProduct[ProductID],dProduct[CratePrice])</f>
        <v>0.43999999999999995</v>
      </c>
      <c r="N743" t="str">
        <f>_xlfn.XLOOKUP(fSales[[#This Row],[SalesRepID]],dPSalesRep[SalesRepID],dPSalesRep[SalesRep])</f>
        <v>Timmy Kips</v>
      </c>
      <c r="O743" t="str">
        <f>_xlfn.XLOOKUP(fSales[[#This Row],[SalesRepID]],dPSalesRep[SalesRepID],dPSalesRep[Region])</f>
        <v>East</v>
      </c>
      <c r="P743" t="str">
        <f>_xlfn.XLOOKUP(fSales[[#This Row],[ProductID]],dProduct[ProductID],dProduct[Product])</f>
        <v>Kiwi</v>
      </c>
      <c r="Q743">
        <f>_xlfn.XLOOKUP(fSales[[#This Row],[ProductID]],dProduct[ProductID],dProduct[CratePrice])-_xlfn.XLOOKUP(fSales[[#This Row],[ProductID]],dProduct[ProductID],dProduct[CrateCost])</f>
        <v>9.8999999999999986</v>
      </c>
      <c r="R743">
        <f>_xlfn.XLOOKUP(fSales[[#This Row],[ProductID]],dProduct[ProductID],dProduct[CratePrice])</f>
        <v>22.5</v>
      </c>
      <c r="S743">
        <f>_xlfn.XLOOKUP(fSales[[#This Row],[ProductID]],dProduct[ProductID],dProduct[CrateCost])</f>
        <v>12.600000000000001</v>
      </c>
    </row>
    <row r="744" spans="7:19" x14ac:dyDescent="0.25">
      <c r="G744" s="2">
        <v>45802</v>
      </c>
      <c r="H744">
        <v>276</v>
      </c>
      <c r="I744" t="s">
        <v>26</v>
      </c>
      <c r="J744" t="s">
        <v>22</v>
      </c>
      <c r="K744">
        <f>_xlfn.XLOOKUP(fSales[[#This Row],[ProductID]],dProduct[ProductID],dProduct[CratePrice])*fSales[[#This Row],[Units]]</f>
        <v>8211</v>
      </c>
      <c r="L744">
        <f>fSales[[#This Row],[Total sales]]-_xlfn.XLOOKUP(fSales[[#This Row],[ProductID]],dProduct[ProductID],dProduct[CrateCost])*fSales[[#This Row],[Units]]</f>
        <v>3448.62</v>
      </c>
      <c r="M744">
        <f>(_xlfn.XLOOKUP(fSales[[#This Row],[ProductID]],dProduct[ProductID],dProduct[CratePrice])-_xlfn.XLOOKUP(fSales[[#This Row],[ProductID]],dProduct[ProductID],dProduct[CrateCost]))/_xlfn.XLOOKUP(fSales[[#This Row],[ProductID]],dProduct[ProductID],dProduct[CratePrice])</f>
        <v>0.42000000000000004</v>
      </c>
      <c r="N744" t="str">
        <f>_xlfn.XLOOKUP(fSales[[#This Row],[SalesRepID]],dPSalesRep[SalesRepID],dPSalesRep[SalesRep])</f>
        <v>Timmy Kips</v>
      </c>
      <c r="O744" t="str">
        <f>_xlfn.XLOOKUP(fSales[[#This Row],[SalesRepID]],dPSalesRep[SalesRepID],dPSalesRep[Region])</f>
        <v>East</v>
      </c>
      <c r="P744" t="str">
        <f>_xlfn.XLOOKUP(fSales[[#This Row],[ProductID]],dProduct[ProductID],dProduct[Product])</f>
        <v>Orange</v>
      </c>
      <c r="Q744">
        <f>_xlfn.XLOOKUP(fSales[[#This Row],[ProductID]],dProduct[ProductID],dProduct[CratePrice])-_xlfn.XLOOKUP(fSales[[#This Row],[ProductID]],dProduct[ProductID],dProduct[CrateCost])</f>
        <v>12.495000000000001</v>
      </c>
      <c r="R744">
        <f>_xlfn.XLOOKUP(fSales[[#This Row],[ProductID]],dProduct[ProductID],dProduct[CratePrice])</f>
        <v>29.75</v>
      </c>
      <c r="S744">
        <f>_xlfn.XLOOKUP(fSales[[#This Row],[ProductID]],dProduct[ProductID],dProduct[CrateCost])</f>
        <v>17.254999999999999</v>
      </c>
    </row>
    <row r="745" spans="7:19" x14ac:dyDescent="0.25">
      <c r="G745" s="2">
        <v>45802</v>
      </c>
      <c r="H745">
        <v>168</v>
      </c>
      <c r="I745" t="s">
        <v>26</v>
      </c>
      <c r="J745" t="s">
        <v>52</v>
      </c>
      <c r="K745">
        <f>_xlfn.XLOOKUP(fSales[[#This Row],[ProductID]],dProduct[ProductID],dProduct[CratePrice])*fSales[[#This Row],[Units]]</f>
        <v>4998</v>
      </c>
      <c r="L745">
        <f>fSales[[#This Row],[Total sales]]-_xlfn.XLOOKUP(fSales[[#This Row],[ProductID]],dProduct[ProductID],dProduct[CrateCost])*fSales[[#This Row],[Units]]</f>
        <v>2099.1600000000003</v>
      </c>
      <c r="M745">
        <f>(_xlfn.XLOOKUP(fSales[[#This Row],[ProductID]],dProduct[ProductID],dProduct[CratePrice])-_xlfn.XLOOKUP(fSales[[#This Row],[ProductID]],dProduct[ProductID],dProduct[CrateCost]))/_xlfn.XLOOKUP(fSales[[#This Row],[ProductID]],dProduct[ProductID],dProduct[CratePrice])</f>
        <v>0.42000000000000004</v>
      </c>
      <c r="N745" t="str">
        <f>_xlfn.XLOOKUP(fSales[[#This Row],[SalesRepID]],dPSalesRep[SalesRepID],dPSalesRep[SalesRep])</f>
        <v>Smitty Rad</v>
      </c>
      <c r="O745" t="str">
        <f>_xlfn.XLOOKUP(fSales[[#This Row],[SalesRepID]],dPSalesRep[SalesRepID],dPSalesRep[Region])</f>
        <v>MidWest</v>
      </c>
      <c r="P745" t="str">
        <f>_xlfn.XLOOKUP(fSales[[#This Row],[ProductID]],dProduct[ProductID],dProduct[Product])</f>
        <v>Orange</v>
      </c>
      <c r="Q745">
        <f>_xlfn.XLOOKUP(fSales[[#This Row],[ProductID]],dProduct[ProductID],dProduct[CratePrice])-_xlfn.XLOOKUP(fSales[[#This Row],[ProductID]],dProduct[ProductID],dProduct[CrateCost])</f>
        <v>12.495000000000001</v>
      </c>
      <c r="R745">
        <f>_xlfn.XLOOKUP(fSales[[#This Row],[ProductID]],dProduct[ProductID],dProduct[CratePrice])</f>
        <v>29.75</v>
      </c>
      <c r="S745">
        <f>_xlfn.XLOOKUP(fSales[[#This Row],[ProductID]],dProduct[ProductID],dProduct[CrateCost])</f>
        <v>17.254999999999999</v>
      </c>
    </row>
    <row r="746" spans="7:19" x14ac:dyDescent="0.25">
      <c r="G746" s="2">
        <v>45803</v>
      </c>
      <c r="H746">
        <v>96</v>
      </c>
      <c r="I746" t="s">
        <v>34</v>
      </c>
      <c r="J746" t="s">
        <v>29</v>
      </c>
      <c r="K746">
        <f>_xlfn.XLOOKUP(fSales[[#This Row],[ProductID]],dProduct[ProductID],dProduct[CratePrice])*fSales[[#This Row],[Units]]</f>
        <v>1680</v>
      </c>
      <c r="L746">
        <f>fSales[[#This Row],[Total sales]]-_xlfn.XLOOKUP(fSales[[#This Row],[ProductID]],dProduct[ProductID],dProduct[CrateCost])*fSales[[#This Row],[Units]]</f>
        <v>554.39999999999986</v>
      </c>
      <c r="M746">
        <f>(_xlfn.XLOOKUP(fSales[[#This Row],[ProductID]],dProduct[ProductID],dProduct[CratePrice])-_xlfn.XLOOKUP(fSales[[#This Row],[ProductID]],dProduct[ProductID],dProduct[CrateCost]))/_xlfn.XLOOKUP(fSales[[#This Row],[ProductID]],dProduct[ProductID],dProduct[CratePrice])</f>
        <v>0.3299999999999999</v>
      </c>
      <c r="N746" t="str">
        <f>_xlfn.XLOOKUP(fSales[[#This Row],[SalesRepID]],dPSalesRep[SalesRepID],dPSalesRep[SalesRep])</f>
        <v>Sioux Best</v>
      </c>
      <c r="O746" t="str">
        <f>_xlfn.XLOOKUP(fSales[[#This Row],[SalesRepID]],dPSalesRep[SalesRepID],dPSalesRep[Region])</f>
        <v>West</v>
      </c>
      <c r="P746" t="str">
        <f>_xlfn.XLOOKUP(fSales[[#This Row],[ProductID]],dProduct[ProductID],dProduct[Product])</f>
        <v>Banana</v>
      </c>
      <c r="Q746">
        <f>_xlfn.XLOOKUP(fSales[[#This Row],[ProductID]],dProduct[ProductID],dProduct[CratePrice])-_xlfn.XLOOKUP(fSales[[#This Row],[ProductID]],dProduct[ProductID],dProduct[CrateCost])</f>
        <v>5.7749999999999986</v>
      </c>
      <c r="R746">
        <f>_xlfn.XLOOKUP(fSales[[#This Row],[ProductID]],dProduct[ProductID],dProduct[CratePrice])</f>
        <v>17.5</v>
      </c>
      <c r="S746">
        <f>_xlfn.XLOOKUP(fSales[[#This Row],[ProductID]],dProduct[ProductID],dProduct[CrateCost])</f>
        <v>11.725000000000001</v>
      </c>
    </row>
    <row r="747" spans="7:19" x14ac:dyDescent="0.25">
      <c r="G747" s="2">
        <v>45803</v>
      </c>
      <c r="H747">
        <v>228</v>
      </c>
      <c r="I747" t="s">
        <v>19</v>
      </c>
      <c r="J747" t="s">
        <v>32</v>
      </c>
      <c r="K747">
        <f>_xlfn.XLOOKUP(fSales[[#This Row],[ProductID]],dProduct[ProductID],dProduct[CratePrice])*fSales[[#This Row],[Units]]</f>
        <v>7980</v>
      </c>
      <c r="L747">
        <f>fSales[[#This Row],[Total sales]]-_xlfn.XLOOKUP(fSales[[#This Row],[ProductID]],dProduct[ProductID],dProduct[CrateCost])*fSales[[#This Row],[Units]]</f>
        <v>4468.7999999999993</v>
      </c>
      <c r="M747">
        <f>(_xlfn.XLOOKUP(fSales[[#This Row],[ProductID]],dProduct[ProductID],dProduct[CratePrice])-_xlfn.XLOOKUP(fSales[[#This Row],[ProductID]],dProduct[ProductID],dProduct[CrateCost]))/_xlfn.XLOOKUP(fSales[[#This Row],[ProductID]],dProduct[ProductID],dProduct[CratePrice])</f>
        <v>0.56000000000000005</v>
      </c>
      <c r="N747" t="str">
        <f>_xlfn.XLOOKUP(fSales[[#This Row],[SalesRepID]],dPSalesRep[SalesRepID],dPSalesRep[SalesRep])</f>
        <v>Shihara Fazzaa</v>
      </c>
      <c r="O747" t="str">
        <f>_xlfn.XLOOKUP(fSales[[#This Row],[SalesRepID]],dPSalesRep[SalesRepID],dPSalesRep[Region])</f>
        <v>East</v>
      </c>
      <c r="P747" t="str">
        <f>_xlfn.XLOOKUP(fSales[[#This Row],[ProductID]],dProduct[ProductID],dProduct[Product])</f>
        <v>Apple</v>
      </c>
      <c r="Q747">
        <f>_xlfn.XLOOKUP(fSales[[#This Row],[ProductID]],dProduct[ProductID],dProduct[CratePrice])-_xlfn.XLOOKUP(fSales[[#This Row],[ProductID]],dProduct[ProductID],dProduct[CrateCost])</f>
        <v>19.600000000000001</v>
      </c>
      <c r="R747">
        <f>_xlfn.XLOOKUP(fSales[[#This Row],[ProductID]],dProduct[ProductID],dProduct[CratePrice])</f>
        <v>35</v>
      </c>
      <c r="S747">
        <f>_xlfn.XLOOKUP(fSales[[#This Row],[ProductID]],dProduct[ProductID],dProduct[CrateCost])</f>
        <v>15.4</v>
      </c>
    </row>
    <row r="748" spans="7:19" x14ac:dyDescent="0.25">
      <c r="G748" s="2">
        <v>45804</v>
      </c>
      <c r="H748">
        <v>132</v>
      </c>
      <c r="I748" t="s">
        <v>28</v>
      </c>
      <c r="J748" t="s">
        <v>32</v>
      </c>
      <c r="K748">
        <f>_xlfn.XLOOKUP(fSales[[#This Row],[ProductID]],dProduct[ProductID],dProduct[CratePrice])*fSales[[#This Row],[Units]]</f>
        <v>5768.4000000000005</v>
      </c>
      <c r="L748">
        <f>fSales[[#This Row],[Total sales]]-_xlfn.XLOOKUP(fSales[[#This Row],[ProductID]],dProduct[ProductID],dProduct[CrateCost])*fSales[[#This Row],[Units]]</f>
        <v>2422.7280000000005</v>
      </c>
      <c r="M748">
        <f>(_xlfn.XLOOKUP(fSales[[#This Row],[ProductID]],dProduct[ProductID],dProduct[CratePrice])-_xlfn.XLOOKUP(fSales[[#This Row],[ProductID]],dProduct[ProductID],dProduct[CrateCost]))/_xlfn.XLOOKUP(fSales[[#This Row],[ProductID]],dProduct[ProductID],dProduct[CratePrice])</f>
        <v>0.42000000000000004</v>
      </c>
      <c r="N748" t="str">
        <f>_xlfn.XLOOKUP(fSales[[#This Row],[SalesRepID]],dPSalesRep[SalesRepID],dPSalesRep[SalesRep])</f>
        <v>Shihara Fazzaa</v>
      </c>
      <c r="O748" t="str">
        <f>_xlfn.XLOOKUP(fSales[[#This Row],[SalesRepID]],dPSalesRep[SalesRepID],dPSalesRep[Region])</f>
        <v>East</v>
      </c>
      <c r="P748" t="str">
        <f>_xlfn.XLOOKUP(fSales[[#This Row],[ProductID]],dProduct[ProductID],dProduct[Product])</f>
        <v>Cherry</v>
      </c>
      <c r="Q748">
        <f>_xlfn.XLOOKUP(fSales[[#This Row],[ProductID]],dProduct[ProductID],dProduct[CratePrice])-_xlfn.XLOOKUP(fSales[[#This Row],[ProductID]],dProduct[ProductID],dProduct[CrateCost])</f>
        <v>18.354000000000003</v>
      </c>
      <c r="R748">
        <f>_xlfn.XLOOKUP(fSales[[#This Row],[ProductID]],dProduct[ProductID],dProduct[CratePrice])</f>
        <v>43.7</v>
      </c>
      <c r="S748">
        <f>_xlfn.XLOOKUP(fSales[[#This Row],[ProductID]],dProduct[ProductID],dProduct[CrateCost])</f>
        <v>25.346</v>
      </c>
    </row>
    <row r="749" spans="7:19" x14ac:dyDescent="0.25">
      <c r="G749" s="2">
        <v>45804</v>
      </c>
      <c r="H749">
        <v>288</v>
      </c>
      <c r="I749" t="s">
        <v>21</v>
      </c>
      <c r="J749" t="s">
        <v>29</v>
      </c>
      <c r="K749">
        <f>_xlfn.XLOOKUP(fSales[[#This Row],[ProductID]],dProduct[ProductID],dProduct[CratePrice])*fSales[[#This Row],[Units]]</f>
        <v>6480</v>
      </c>
      <c r="L749">
        <f>fSales[[#This Row],[Total sales]]-_xlfn.XLOOKUP(fSales[[#This Row],[ProductID]],dProduct[ProductID],dProduct[CrateCost])*fSales[[#This Row],[Units]]</f>
        <v>2851.2</v>
      </c>
      <c r="M749">
        <f>(_xlfn.XLOOKUP(fSales[[#This Row],[ProductID]],dProduct[ProductID],dProduct[CratePrice])-_xlfn.XLOOKUP(fSales[[#This Row],[ProductID]],dProduct[ProductID],dProduct[CrateCost]))/_xlfn.XLOOKUP(fSales[[#This Row],[ProductID]],dProduct[ProductID],dProduct[CratePrice])</f>
        <v>0.43999999999999995</v>
      </c>
      <c r="N749" t="str">
        <f>_xlfn.XLOOKUP(fSales[[#This Row],[SalesRepID]],dPSalesRep[SalesRepID],dPSalesRep[SalesRep])</f>
        <v>Sioux Best</v>
      </c>
      <c r="O749" t="str">
        <f>_xlfn.XLOOKUP(fSales[[#This Row],[SalesRepID]],dPSalesRep[SalesRepID],dPSalesRep[Region])</f>
        <v>West</v>
      </c>
      <c r="P749" t="str">
        <f>_xlfn.XLOOKUP(fSales[[#This Row],[ProductID]],dProduct[ProductID],dProduct[Product])</f>
        <v>Kiwi</v>
      </c>
      <c r="Q749">
        <f>_xlfn.XLOOKUP(fSales[[#This Row],[ProductID]],dProduct[ProductID],dProduct[CratePrice])-_xlfn.XLOOKUP(fSales[[#This Row],[ProductID]],dProduct[ProductID],dProduct[CrateCost])</f>
        <v>9.8999999999999986</v>
      </c>
      <c r="R749">
        <f>_xlfn.XLOOKUP(fSales[[#This Row],[ProductID]],dProduct[ProductID],dProduct[CratePrice])</f>
        <v>22.5</v>
      </c>
      <c r="S749">
        <f>_xlfn.XLOOKUP(fSales[[#This Row],[ProductID]],dProduct[ProductID],dProduct[CrateCost])</f>
        <v>12.600000000000001</v>
      </c>
    </row>
    <row r="750" spans="7:19" x14ac:dyDescent="0.25">
      <c r="G750" s="2">
        <v>45806</v>
      </c>
      <c r="H750">
        <v>48</v>
      </c>
      <c r="I750" t="s">
        <v>26</v>
      </c>
      <c r="J750" t="s">
        <v>37</v>
      </c>
      <c r="K750">
        <f>_xlfn.XLOOKUP(fSales[[#This Row],[ProductID]],dProduct[ProductID],dProduct[CratePrice])*fSales[[#This Row],[Units]]</f>
        <v>1428</v>
      </c>
      <c r="L750">
        <f>fSales[[#This Row],[Total sales]]-_xlfn.XLOOKUP(fSales[[#This Row],[ProductID]],dProduct[ProductID],dProduct[CrateCost])*fSales[[#This Row],[Units]]</f>
        <v>599.76</v>
      </c>
      <c r="M750">
        <f>(_xlfn.XLOOKUP(fSales[[#This Row],[ProductID]],dProduct[ProductID],dProduct[CratePrice])-_xlfn.XLOOKUP(fSales[[#This Row],[ProductID]],dProduct[ProductID],dProduct[CrateCost]))/_xlfn.XLOOKUP(fSales[[#This Row],[ProductID]],dProduct[ProductID],dProduct[CratePrice])</f>
        <v>0.42000000000000004</v>
      </c>
      <c r="N750" t="str">
        <f>_xlfn.XLOOKUP(fSales[[#This Row],[SalesRepID]],dPSalesRep[SalesRepID],dPSalesRep[SalesRep])</f>
        <v>Chantel Mims</v>
      </c>
      <c r="O750" t="str">
        <f>_xlfn.XLOOKUP(fSales[[#This Row],[SalesRepID]],dPSalesRep[SalesRepID],dPSalesRep[Region])</f>
        <v>NW</v>
      </c>
      <c r="P750" t="str">
        <f>_xlfn.XLOOKUP(fSales[[#This Row],[ProductID]],dProduct[ProductID],dProduct[Product])</f>
        <v>Orange</v>
      </c>
      <c r="Q750">
        <f>_xlfn.XLOOKUP(fSales[[#This Row],[ProductID]],dProduct[ProductID],dProduct[CratePrice])-_xlfn.XLOOKUP(fSales[[#This Row],[ProductID]],dProduct[ProductID],dProduct[CrateCost])</f>
        <v>12.495000000000001</v>
      </c>
      <c r="R750">
        <f>_xlfn.XLOOKUP(fSales[[#This Row],[ProductID]],dProduct[ProductID],dProduct[CratePrice])</f>
        <v>29.75</v>
      </c>
      <c r="S750">
        <f>_xlfn.XLOOKUP(fSales[[#This Row],[ProductID]],dProduct[ProductID],dProduct[CrateCost])</f>
        <v>17.254999999999999</v>
      </c>
    </row>
    <row r="751" spans="7:19" x14ac:dyDescent="0.25">
      <c r="G751" s="2">
        <v>45807</v>
      </c>
      <c r="H751">
        <v>84</v>
      </c>
      <c r="I751" t="s">
        <v>19</v>
      </c>
      <c r="J751" t="s">
        <v>22</v>
      </c>
      <c r="K751">
        <f>_xlfn.XLOOKUP(fSales[[#This Row],[ProductID]],dProduct[ProductID],dProduct[CratePrice])*fSales[[#This Row],[Units]]</f>
        <v>2940</v>
      </c>
      <c r="L751">
        <f>fSales[[#This Row],[Total sales]]-_xlfn.XLOOKUP(fSales[[#This Row],[ProductID]],dProduct[ProductID],dProduct[CrateCost])*fSales[[#This Row],[Units]]</f>
        <v>1646.3999999999999</v>
      </c>
      <c r="M751">
        <f>(_xlfn.XLOOKUP(fSales[[#This Row],[ProductID]],dProduct[ProductID],dProduct[CratePrice])-_xlfn.XLOOKUP(fSales[[#This Row],[ProductID]],dProduct[ProductID],dProduct[CrateCost]))/_xlfn.XLOOKUP(fSales[[#This Row],[ProductID]],dProduct[ProductID],dProduct[CratePrice])</f>
        <v>0.56000000000000005</v>
      </c>
      <c r="N751" t="str">
        <f>_xlfn.XLOOKUP(fSales[[#This Row],[SalesRepID]],dPSalesRep[SalesRepID],dPSalesRep[SalesRep])</f>
        <v>Timmy Kips</v>
      </c>
      <c r="O751" t="str">
        <f>_xlfn.XLOOKUP(fSales[[#This Row],[SalesRepID]],dPSalesRep[SalesRepID],dPSalesRep[Region])</f>
        <v>East</v>
      </c>
      <c r="P751" t="str">
        <f>_xlfn.XLOOKUP(fSales[[#This Row],[ProductID]],dProduct[ProductID],dProduct[Product])</f>
        <v>Apple</v>
      </c>
      <c r="Q751">
        <f>_xlfn.XLOOKUP(fSales[[#This Row],[ProductID]],dProduct[ProductID],dProduct[CratePrice])-_xlfn.XLOOKUP(fSales[[#This Row],[ProductID]],dProduct[ProductID],dProduct[CrateCost])</f>
        <v>19.600000000000001</v>
      </c>
      <c r="R751">
        <f>_xlfn.XLOOKUP(fSales[[#This Row],[ProductID]],dProduct[ProductID],dProduct[CratePrice])</f>
        <v>35</v>
      </c>
      <c r="S751">
        <f>_xlfn.XLOOKUP(fSales[[#This Row],[ProductID]],dProduct[ProductID],dProduct[CrateCost])</f>
        <v>15.4</v>
      </c>
    </row>
    <row r="752" spans="7:19" x14ac:dyDescent="0.25">
      <c r="G752" s="2">
        <v>45808</v>
      </c>
      <c r="H752">
        <v>60</v>
      </c>
      <c r="I752" t="s">
        <v>19</v>
      </c>
      <c r="J752" t="s">
        <v>52</v>
      </c>
      <c r="K752">
        <f>_xlfn.XLOOKUP(fSales[[#This Row],[ProductID]],dProduct[ProductID],dProduct[CratePrice])*fSales[[#This Row],[Units]]</f>
        <v>2100</v>
      </c>
      <c r="L752">
        <f>fSales[[#This Row],[Total sales]]-_xlfn.XLOOKUP(fSales[[#This Row],[ProductID]],dProduct[ProductID],dProduct[CrateCost])*fSales[[#This Row],[Units]]</f>
        <v>1176</v>
      </c>
      <c r="M752">
        <f>(_xlfn.XLOOKUP(fSales[[#This Row],[ProductID]],dProduct[ProductID],dProduct[CratePrice])-_xlfn.XLOOKUP(fSales[[#This Row],[ProductID]],dProduct[ProductID],dProduct[CrateCost]))/_xlfn.XLOOKUP(fSales[[#This Row],[ProductID]],dProduct[ProductID],dProduct[CratePrice])</f>
        <v>0.56000000000000005</v>
      </c>
      <c r="N752" t="str">
        <f>_xlfn.XLOOKUP(fSales[[#This Row],[SalesRepID]],dPSalesRep[SalesRepID],dPSalesRep[SalesRep])</f>
        <v>Smitty Rad</v>
      </c>
      <c r="O752" t="str">
        <f>_xlfn.XLOOKUP(fSales[[#This Row],[SalesRepID]],dPSalesRep[SalesRepID],dPSalesRep[Region])</f>
        <v>MidWest</v>
      </c>
      <c r="P752" t="str">
        <f>_xlfn.XLOOKUP(fSales[[#This Row],[ProductID]],dProduct[ProductID],dProduct[Product])</f>
        <v>Apple</v>
      </c>
      <c r="Q752">
        <f>_xlfn.XLOOKUP(fSales[[#This Row],[ProductID]],dProduct[ProductID],dProduct[CratePrice])-_xlfn.XLOOKUP(fSales[[#This Row],[ProductID]],dProduct[ProductID],dProduct[CrateCost])</f>
        <v>19.600000000000001</v>
      </c>
      <c r="R752">
        <f>_xlfn.XLOOKUP(fSales[[#This Row],[ProductID]],dProduct[ProductID],dProduct[CratePrice])</f>
        <v>35</v>
      </c>
      <c r="S752">
        <f>_xlfn.XLOOKUP(fSales[[#This Row],[ProductID]],dProduct[ProductID],dProduct[CrateCost])</f>
        <v>15.4</v>
      </c>
    </row>
    <row r="753" spans="7:19" x14ac:dyDescent="0.25">
      <c r="G753" s="2">
        <v>45809</v>
      </c>
      <c r="H753">
        <v>84</v>
      </c>
      <c r="I753" t="s">
        <v>26</v>
      </c>
      <c r="J753" t="s">
        <v>22</v>
      </c>
      <c r="K753">
        <f>_xlfn.XLOOKUP(fSales[[#This Row],[ProductID]],dProduct[ProductID],dProduct[CratePrice])*fSales[[#This Row],[Units]]</f>
        <v>2499</v>
      </c>
      <c r="L753">
        <f>fSales[[#This Row],[Total sales]]-_xlfn.XLOOKUP(fSales[[#This Row],[ProductID]],dProduct[ProductID],dProduct[CrateCost])*fSales[[#This Row],[Units]]</f>
        <v>1049.5800000000002</v>
      </c>
      <c r="M753">
        <f>(_xlfn.XLOOKUP(fSales[[#This Row],[ProductID]],dProduct[ProductID],dProduct[CratePrice])-_xlfn.XLOOKUP(fSales[[#This Row],[ProductID]],dProduct[ProductID],dProduct[CrateCost]))/_xlfn.XLOOKUP(fSales[[#This Row],[ProductID]],dProduct[ProductID],dProduct[CratePrice])</f>
        <v>0.42000000000000004</v>
      </c>
      <c r="N753" t="str">
        <f>_xlfn.XLOOKUP(fSales[[#This Row],[SalesRepID]],dPSalesRep[SalesRepID],dPSalesRep[SalesRep])</f>
        <v>Timmy Kips</v>
      </c>
      <c r="O753" t="str">
        <f>_xlfn.XLOOKUP(fSales[[#This Row],[SalesRepID]],dPSalesRep[SalesRepID],dPSalesRep[Region])</f>
        <v>East</v>
      </c>
      <c r="P753" t="str">
        <f>_xlfn.XLOOKUP(fSales[[#This Row],[ProductID]],dProduct[ProductID],dProduct[Product])</f>
        <v>Orange</v>
      </c>
      <c r="Q753">
        <f>_xlfn.XLOOKUP(fSales[[#This Row],[ProductID]],dProduct[ProductID],dProduct[CratePrice])-_xlfn.XLOOKUP(fSales[[#This Row],[ProductID]],dProduct[ProductID],dProduct[CrateCost])</f>
        <v>12.495000000000001</v>
      </c>
      <c r="R753">
        <f>_xlfn.XLOOKUP(fSales[[#This Row],[ProductID]],dProduct[ProductID],dProduct[CratePrice])</f>
        <v>29.75</v>
      </c>
      <c r="S753">
        <f>_xlfn.XLOOKUP(fSales[[#This Row],[ProductID]],dProduct[ProductID],dProduct[CrateCost])</f>
        <v>17.254999999999999</v>
      </c>
    </row>
    <row r="754" spans="7:19" x14ac:dyDescent="0.25">
      <c r="G754" s="2">
        <v>45809</v>
      </c>
      <c r="H754">
        <v>120</v>
      </c>
      <c r="I754" t="s">
        <v>21</v>
      </c>
      <c r="J754" t="s">
        <v>29</v>
      </c>
      <c r="K754">
        <f>_xlfn.XLOOKUP(fSales[[#This Row],[ProductID]],dProduct[ProductID],dProduct[CratePrice])*fSales[[#This Row],[Units]]</f>
        <v>2700</v>
      </c>
      <c r="L754">
        <f>fSales[[#This Row],[Total sales]]-_xlfn.XLOOKUP(fSales[[#This Row],[ProductID]],dProduct[ProductID],dProduct[CrateCost])*fSales[[#This Row],[Units]]</f>
        <v>1187.9999999999998</v>
      </c>
      <c r="M754">
        <f>(_xlfn.XLOOKUP(fSales[[#This Row],[ProductID]],dProduct[ProductID],dProduct[CratePrice])-_xlfn.XLOOKUP(fSales[[#This Row],[ProductID]],dProduct[ProductID],dProduct[CrateCost]))/_xlfn.XLOOKUP(fSales[[#This Row],[ProductID]],dProduct[ProductID],dProduct[CratePrice])</f>
        <v>0.43999999999999995</v>
      </c>
      <c r="N754" t="str">
        <f>_xlfn.XLOOKUP(fSales[[#This Row],[SalesRepID]],dPSalesRep[SalesRepID],dPSalesRep[SalesRep])</f>
        <v>Sioux Best</v>
      </c>
      <c r="O754" t="str">
        <f>_xlfn.XLOOKUP(fSales[[#This Row],[SalesRepID]],dPSalesRep[SalesRepID],dPSalesRep[Region])</f>
        <v>West</v>
      </c>
      <c r="P754" t="str">
        <f>_xlfn.XLOOKUP(fSales[[#This Row],[ProductID]],dProduct[ProductID],dProduct[Product])</f>
        <v>Kiwi</v>
      </c>
      <c r="Q754">
        <f>_xlfn.XLOOKUP(fSales[[#This Row],[ProductID]],dProduct[ProductID],dProduct[CratePrice])-_xlfn.XLOOKUP(fSales[[#This Row],[ProductID]],dProduct[ProductID],dProduct[CrateCost])</f>
        <v>9.8999999999999986</v>
      </c>
      <c r="R754">
        <f>_xlfn.XLOOKUP(fSales[[#This Row],[ProductID]],dProduct[ProductID],dProduct[CratePrice])</f>
        <v>22.5</v>
      </c>
      <c r="S754">
        <f>_xlfn.XLOOKUP(fSales[[#This Row],[ProductID]],dProduct[ProductID],dProduct[CrateCost])</f>
        <v>12.600000000000001</v>
      </c>
    </row>
    <row r="755" spans="7:19" x14ac:dyDescent="0.25">
      <c r="G755" s="2">
        <v>45810</v>
      </c>
      <c r="H755">
        <v>84</v>
      </c>
      <c r="I755" t="s">
        <v>34</v>
      </c>
      <c r="J755" t="s">
        <v>22</v>
      </c>
      <c r="K755">
        <f>_xlfn.XLOOKUP(fSales[[#This Row],[ProductID]],dProduct[ProductID],dProduct[CratePrice])*fSales[[#This Row],[Units]]</f>
        <v>1470</v>
      </c>
      <c r="L755">
        <f>fSales[[#This Row],[Total sales]]-_xlfn.XLOOKUP(fSales[[#This Row],[ProductID]],dProduct[ProductID],dProduct[CrateCost])*fSales[[#This Row],[Units]]</f>
        <v>485.09999999999991</v>
      </c>
      <c r="M755">
        <f>(_xlfn.XLOOKUP(fSales[[#This Row],[ProductID]],dProduct[ProductID],dProduct[CratePrice])-_xlfn.XLOOKUP(fSales[[#This Row],[ProductID]],dProduct[ProductID],dProduct[CrateCost]))/_xlfn.XLOOKUP(fSales[[#This Row],[ProductID]],dProduct[ProductID],dProduct[CratePrice])</f>
        <v>0.3299999999999999</v>
      </c>
      <c r="N755" t="str">
        <f>_xlfn.XLOOKUP(fSales[[#This Row],[SalesRepID]],dPSalesRep[SalesRepID],dPSalesRep[SalesRep])</f>
        <v>Timmy Kips</v>
      </c>
      <c r="O755" t="str">
        <f>_xlfn.XLOOKUP(fSales[[#This Row],[SalesRepID]],dPSalesRep[SalesRepID],dPSalesRep[Region])</f>
        <v>East</v>
      </c>
      <c r="P755" t="str">
        <f>_xlfn.XLOOKUP(fSales[[#This Row],[ProductID]],dProduct[ProductID],dProduct[Product])</f>
        <v>Banana</v>
      </c>
      <c r="Q755">
        <f>_xlfn.XLOOKUP(fSales[[#This Row],[ProductID]],dProduct[ProductID],dProduct[CratePrice])-_xlfn.XLOOKUP(fSales[[#This Row],[ProductID]],dProduct[ProductID],dProduct[CrateCost])</f>
        <v>5.7749999999999986</v>
      </c>
      <c r="R755">
        <f>_xlfn.XLOOKUP(fSales[[#This Row],[ProductID]],dProduct[ProductID],dProduct[CratePrice])</f>
        <v>17.5</v>
      </c>
      <c r="S755">
        <f>_xlfn.XLOOKUP(fSales[[#This Row],[ProductID]],dProduct[ProductID],dProduct[CrateCost])</f>
        <v>11.725000000000001</v>
      </c>
    </row>
    <row r="756" spans="7:19" x14ac:dyDescent="0.25">
      <c r="G756" s="2">
        <v>45811</v>
      </c>
      <c r="H756">
        <v>48</v>
      </c>
      <c r="I756" t="s">
        <v>21</v>
      </c>
      <c r="J756" t="s">
        <v>32</v>
      </c>
      <c r="K756">
        <f>_xlfn.XLOOKUP(fSales[[#This Row],[ProductID]],dProduct[ProductID],dProduct[CratePrice])*fSales[[#This Row],[Units]]</f>
        <v>1080</v>
      </c>
      <c r="L756">
        <f>fSales[[#This Row],[Total sales]]-_xlfn.XLOOKUP(fSales[[#This Row],[ProductID]],dProduct[ProductID],dProduct[CrateCost])*fSales[[#This Row],[Units]]</f>
        <v>475.19999999999993</v>
      </c>
      <c r="M756">
        <f>(_xlfn.XLOOKUP(fSales[[#This Row],[ProductID]],dProduct[ProductID],dProduct[CratePrice])-_xlfn.XLOOKUP(fSales[[#This Row],[ProductID]],dProduct[ProductID],dProduct[CrateCost]))/_xlfn.XLOOKUP(fSales[[#This Row],[ProductID]],dProduct[ProductID],dProduct[CratePrice])</f>
        <v>0.43999999999999995</v>
      </c>
      <c r="N756" t="str">
        <f>_xlfn.XLOOKUP(fSales[[#This Row],[SalesRepID]],dPSalesRep[SalesRepID],dPSalesRep[SalesRep])</f>
        <v>Shihara Fazzaa</v>
      </c>
      <c r="O756" t="str">
        <f>_xlfn.XLOOKUP(fSales[[#This Row],[SalesRepID]],dPSalesRep[SalesRepID],dPSalesRep[Region])</f>
        <v>East</v>
      </c>
      <c r="P756" t="str">
        <f>_xlfn.XLOOKUP(fSales[[#This Row],[ProductID]],dProduct[ProductID],dProduct[Product])</f>
        <v>Kiwi</v>
      </c>
      <c r="Q756">
        <f>_xlfn.XLOOKUP(fSales[[#This Row],[ProductID]],dProduct[ProductID],dProduct[CratePrice])-_xlfn.XLOOKUP(fSales[[#This Row],[ProductID]],dProduct[ProductID],dProduct[CrateCost])</f>
        <v>9.8999999999999986</v>
      </c>
      <c r="R756">
        <f>_xlfn.XLOOKUP(fSales[[#This Row],[ProductID]],dProduct[ProductID],dProduct[CratePrice])</f>
        <v>22.5</v>
      </c>
      <c r="S756">
        <f>_xlfn.XLOOKUP(fSales[[#This Row],[ProductID]],dProduct[ProductID],dProduct[CrateCost])</f>
        <v>12.600000000000001</v>
      </c>
    </row>
    <row r="757" spans="7:19" x14ac:dyDescent="0.25">
      <c r="G757" s="2">
        <v>45811</v>
      </c>
      <c r="H757">
        <v>228</v>
      </c>
      <c r="I757" t="s">
        <v>34</v>
      </c>
      <c r="J757" t="s">
        <v>32</v>
      </c>
      <c r="K757">
        <f>_xlfn.XLOOKUP(fSales[[#This Row],[ProductID]],dProduct[ProductID],dProduct[CratePrice])*fSales[[#This Row],[Units]]</f>
        <v>3990</v>
      </c>
      <c r="L757">
        <f>fSales[[#This Row],[Total sales]]-_xlfn.XLOOKUP(fSales[[#This Row],[ProductID]],dProduct[ProductID],dProduct[CrateCost])*fSales[[#This Row],[Units]]</f>
        <v>1316.6999999999998</v>
      </c>
      <c r="M757">
        <f>(_xlfn.XLOOKUP(fSales[[#This Row],[ProductID]],dProduct[ProductID],dProduct[CratePrice])-_xlfn.XLOOKUP(fSales[[#This Row],[ProductID]],dProduct[ProductID],dProduct[CrateCost]))/_xlfn.XLOOKUP(fSales[[#This Row],[ProductID]],dProduct[ProductID],dProduct[CratePrice])</f>
        <v>0.3299999999999999</v>
      </c>
      <c r="N757" t="str">
        <f>_xlfn.XLOOKUP(fSales[[#This Row],[SalesRepID]],dPSalesRep[SalesRepID],dPSalesRep[SalesRep])</f>
        <v>Shihara Fazzaa</v>
      </c>
      <c r="O757" t="str">
        <f>_xlfn.XLOOKUP(fSales[[#This Row],[SalesRepID]],dPSalesRep[SalesRepID],dPSalesRep[Region])</f>
        <v>East</v>
      </c>
      <c r="P757" t="str">
        <f>_xlfn.XLOOKUP(fSales[[#This Row],[ProductID]],dProduct[ProductID],dProduct[Product])</f>
        <v>Banana</v>
      </c>
      <c r="Q757">
        <f>_xlfn.XLOOKUP(fSales[[#This Row],[ProductID]],dProduct[ProductID],dProduct[CratePrice])-_xlfn.XLOOKUP(fSales[[#This Row],[ProductID]],dProduct[ProductID],dProduct[CrateCost])</f>
        <v>5.7749999999999986</v>
      </c>
      <c r="R757">
        <f>_xlfn.XLOOKUP(fSales[[#This Row],[ProductID]],dProduct[ProductID],dProduct[CratePrice])</f>
        <v>17.5</v>
      </c>
      <c r="S757">
        <f>_xlfn.XLOOKUP(fSales[[#This Row],[ProductID]],dProduct[ProductID],dProduct[CrateCost])</f>
        <v>11.725000000000001</v>
      </c>
    </row>
    <row r="758" spans="7:19" x14ac:dyDescent="0.25">
      <c r="G758" s="2">
        <v>45811</v>
      </c>
      <c r="H758">
        <v>144</v>
      </c>
      <c r="I758" t="s">
        <v>19</v>
      </c>
      <c r="J758" t="s">
        <v>22</v>
      </c>
      <c r="K758">
        <f>_xlfn.XLOOKUP(fSales[[#This Row],[ProductID]],dProduct[ProductID],dProduct[CratePrice])*fSales[[#This Row],[Units]]</f>
        <v>5040</v>
      </c>
      <c r="L758">
        <f>fSales[[#This Row],[Total sales]]-_xlfn.XLOOKUP(fSales[[#This Row],[ProductID]],dProduct[ProductID],dProduct[CrateCost])*fSales[[#This Row],[Units]]</f>
        <v>2822.4</v>
      </c>
      <c r="M758">
        <f>(_xlfn.XLOOKUP(fSales[[#This Row],[ProductID]],dProduct[ProductID],dProduct[CratePrice])-_xlfn.XLOOKUP(fSales[[#This Row],[ProductID]],dProduct[ProductID],dProduct[CrateCost]))/_xlfn.XLOOKUP(fSales[[#This Row],[ProductID]],dProduct[ProductID],dProduct[CratePrice])</f>
        <v>0.56000000000000005</v>
      </c>
      <c r="N758" t="str">
        <f>_xlfn.XLOOKUP(fSales[[#This Row],[SalesRepID]],dPSalesRep[SalesRepID],dPSalesRep[SalesRep])</f>
        <v>Timmy Kips</v>
      </c>
      <c r="O758" t="str">
        <f>_xlfn.XLOOKUP(fSales[[#This Row],[SalesRepID]],dPSalesRep[SalesRepID],dPSalesRep[Region])</f>
        <v>East</v>
      </c>
      <c r="P758" t="str">
        <f>_xlfn.XLOOKUP(fSales[[#This Row],[ProductID]],dProduct[ProductID],dProduct[Product])</f>
        <v>Apple</v>
      </c>
      <c r="Q758">
        <f>_xlfn.XLOOKUP(fSales[[#This Row],[ProductID]],dProduct[ProductID],dProduct[CratePrice])-_xlfn.XLOOKUP(fSales[[#This Row],[ProductID]],dProduct[ProductID],dProduct[CrateCost])</f>
        <v>19.600000000000001</v>
      </c>
      <c r="R758">
        <f>_xlfn.XLOOKUP(fSales[[#This Row],[ProductID]],dProduct[ProductID],dProduct[CratePrice])</f>
        <v>35</v>
      </c>
      <c r="S758">
        <f>_xlfn.XLOOKUP(fSales[[#This Row],[ProductID]],dProduct[ProductID],dProduct[CrateCost])</f>
        <v>15.4</v>
      </c>
    </row>
    <row r="759" spans="7:19" x14ac:dyDescent="0.25">
      <c r="G759" s="2">
        <v>45811</v>
      </c>
      <c r="H759">
        <v>144</v>
      </c>
      <c r="I759" t="s">
        <v>19</v>
      </c>
      <c r="J759" t="s">
        <v>52</v>
      </c>
      <c r="K759">
        <f>_xlfn.XLOOKUP(fSales[[#This Row],[ProductID]],dProduct[ProductID],dProduct[CratePrice])*fSales[[#This Row],[Units]]</f>
        <v>5040</v>
      </c>
      <c r="L759">
        <f>fSales[[#This Row],[Total sales]]-_xlfn.XLOOKUP(fSales[[#This Row],[ProductID]],dProduct[ProductID],dProduct[CrateCost])*fSales[[#This Row],[Units]]</f>
        <v>2822.4</v>
      </c>
      <c r="M759">
        <f>(_xlfn.XLOOKUP(fSales[[#This Row],[ProductID]],dProduct[ProductID],dProduct[CratePrice])-_xlfn.XLOOKUP(fSales[[#This Row],[ProductID]],dProduct[ProductID],dProduct[CrateCost]))/_xlfn.XLOOKUP(fSales[[#This Row],[ProductID]],dProduct[ProductID],dProduct[CratePrice])</f>
        <v>0.56000000000000005</v>
      </c>
      <c r="N759" t="str">
        <f>_xlfn.XLOOKUP(fSales[[#This Row],[SalesRepID]],dPSalesRep[SalesRepID],dPSalesRep[SalesRep])</f>
        <v>Smitty Rad</v>
      </c>
      <c r="O759" t="str">
        <f>_xlfn.XLOOKUP(fSales[[#This Row],[SalesRepID]],dPSalesRep[SalesRepID],dPSalesRep[Region])</f>
        <v>MidWest</v>
      </c>
      <c r="P759" t="str">
        <f>_xlfn.XLOOKUP(fSales[[#This Row],[ProductID]],dProduct[ProductID],dProduct[Product])</f>
        <v>Apple</v>
      </c>
      <c r="Q759">
        <f>_xlfn.XLOOKUP(fSales[[#This Row],[ProductID]],dProduct[ProductID],dProduct[CratePrice])-_xlfn.XLOOKUP(fSales[[#This Row],[ProductID]],dProduct[ProductID],dProduct[CrateCost])</f>
        <v>19.600000000000001</v>
      </c>
      <c r="R759">
        <f>_xlfn.XLOOKUP(fSales[[#This Row],[ProductID]],dProduct[ProductID],dProduct[CratePrice])</f>
        <v>35</v>
      </c>
      <c r="S759">
        <f>_xlfn.XLOOKUP(fSales[[#This Row],[ProductID]],dProduct[ProductID],dProduct[CrateCost])</f>
        <v>15.4</v>
      </c>
    </row>
    <row r="760" spans="7:19" x14ac:dyDescent="0.25">
      <c r="G760" s="2">
        <v>45815</v>
      </c>
      <c r="H760">
        <v>168</v>
      </c>
      <c r="I760" t="s">
        <v>19</v>
      </c>
      <c r="J760" t="s">
        <v>22</v>
      </c>
      <c r="K760">
        <f>_xlfn.XLOOKUP(fSales[[#This Row],[ProductID]],dProduct[ProductID],dProduct[CratePrice])*fSales[[#This Row],[Units]]</f>
        <v>5880</v>
      </c>
      <c r="L760">
        <f>fSales[[#This Row],[Total sales]]-_xlfn.XLOOKUP(fSales[[#This Row],[ProductID]],dProduct[ProductID],dProduct[CrateCost])*fSales[[#This Row],[Units]]</f>
        <v>3292.7999999999997</v>
      </c>
      <c r="M760">
        <f>(_xlfn.XLOOKUP(fSales[[#This Row],[ProductID]],dProduct[ProductID],dProduct[CratePrice])-_xlfn.XLOOKUP(fSales[[#This Row],[ProductID]],dProduct[ProductID],dProduct[CrateCost]))/_xlfn.XLOOKUP(fSales[[#This Row],[ProductID]],dProduct[ProductID],dProduct[CratePrice])</f>
        <v>0.56000000000000005</v>
      </c>
      <c r="N760" t="str">
        <f>_xlfn.XLOOKUP(fSales[[#This Row],[SalesRepID]],dPSalesRep[SalesRepID],dPSalesRep[SalesRep])</f>
        <v>Timmy Kips</v>
      </c>
      <c r="O760" t="str">
        <f>_xlfn.XLOOKUP(fSales[[#This Row],[SalesRepID]],dPSalesRep[SalesRepID],dPSalesRep[Region])</f>
        <v>East</v>
      </c>
      <c r="P760" t="str">
        <f>_xlfn.XLOOKUP(fSales[[#This Row],[ProductID]],dProduct[ProductID],dProduct[Product])</f>
        <v>Apple</v>
      </c>
      <c r="Q760">
        <f>_xlfn.XLOOKUP(fSales[[#This Row],[ProductID]],dProduct[ProductID],dProduct[CratePrice])-_xlfn.XLOOKUP(fSales[[#This Row],[ProductID]],dProduct[ProductID],dProduct[CrateCost])</f>
        <v>19.600000000000001</v>
      </c>
      <c r="R760">
        <f>_xlfn.XLOOKUP(fSales[[#This Row],[ProductID]],dProduct[ProductID],dProduct[CratePrice])</f>
        <v>35</v>
      </c>
      <c r="S760">
        <f>_xlfn.XLOOKUP(fSales[[#This Row],[ProductID]],dProduct[ProductID],dProduct[CrateCost])</f>
        <v>15.4</v>
      </c>
    </row>
    <row r="761" spans="7:19" x14ac:dyDescent="0.25">
      <c r="G761" s="2">
        <v>45817</v>
      </c>
      <c r="H761">
        <v>36</v>
      </c>
      <c r="I761" t="s">
        <v>19</v>
      </c>
      <c r="J761" t="s">
        <v>29</v>
      </c>
      <c r="K761">
        <f>_xlfn.XLOOKUP(fSales[[#This Row],[ProductID]],dProduct[ProductID],dProduct[CratePrice])*fSales[[#This Row],[Units]]</f>
        <v>1260</v>
      </c>
      <c r="L761">
        <f>fSales[[#This Row],[Total sales]]-_xlfn.XLOOKUP(fSales[[#This Row],[ProductID]],dProduct[ProductID],dProduct[CrateCost])*fSales[[#This Row],[Units]]</f>
        <v>705.6</v>
      </c>
      <c r="M761">
        <f>(_xlfn.XLOOKUP(fSales[[#This Row],[ProductID]],dProduct[ProductID],dProduct[CratePrice])-_xlfn.XLOOKUP(fSales[[#This Row],[ProductID]],dProduct[ProductID],dProduct[CrateCost]))/_xlfn.XLOOKUP(fSales[[#This Row],[ProductID]],dProduct[ProductID],dProduct[CratePrice])</f>
        <v>0.56000000000000005</v>
      </c>
      <c r="N761" t="str">
        <f>_xlfn.XLOOKUP(fSales[[#This Row],[SalesRepID]],dPSalesRep[SalesRepID],dPSalesRep[SalesRep])</f>
        <v>Sioux Best</v>
      </c>
      <c r="O761" t="str">
        <f>_xlfn.XLOOKUP(fSales[[#This Row],[SalesRepID]],dPSalesRep[SalesRepID],dPSalesRep[Region])</f>
        <v>West</v>
      </c>
      <c r="P761" t="str">
        <f>_xlfn.XLOOKUP(fSales[[#This Row],[ProductID]],dProduct[ProductID],dProduct[Product])</f>
        <v>Apple</v>
      </c>
      <c r="Q761">
        <f>_xlfn.XLOOKUP(fSales[[#This Row],[ProductID]],dProduct[ProductID],dProduct[CratePrice])-_xlfn.XLOOKUP(fSales[[#This Row],[ProductID]],dProduct[ProductID],dProduct[CrateCost])</f>
        <v>19.600000000000001</v>
      </c>
      <c r="R761">
        <f>_xlfn.XLOOKUP(fSales[[#This Row],[ProductID]],dProduct[ProductID],dProduct[CratePrice])</f>
        <v>35</v>
      </c>
      <c r="S761">
        <f>_xlfn.XLOOKUP(fSales[[#This Row],[ProductID]],dProduct[ProductID],dProduct[CrateCost])</f>
        <v>15.4</v>
      </c>
    </row>
    <row r="762" spans="7:19" x14ac:dyDescent="0.25">
      <c r="G762" s="2">
        <v>45817</v>
      </c>
      <c r="H762">
        <v>204</v>
      </c>
      <c r="I762" t="s">
        <v>28</v>
      </c>
      <c r="J762" t="s">
        <v>32</v>
      </c>
      <c r="K762">
        <f>_xlfn.XLOOKUP(fSales[[#This Row],[ProductID]],dProduct[ProductID],dProduct[CratePrice])*fSales[[#This Row],[Units]]</f>
        <v>8914.8000000000011</v>
      </c>
      <c r="L762">
        <f>fSales[[#This Row],[Total sales]]-_xlfn.XLOOKUP(fSales[[#This Row],[ProductID]],dProduct[ProductID],dProduct[CrateCost])*fSales[[#This Row],[Units]]</f>
        <v>3744.2160000000013</v>
      </c>
      <c r="M762">
        <f>(_xlfn.XLOOKUP(fSales[[#This Row],[ProductID]],dProduct[ProductID],dProduct[CratePrice])-_xlfn.XLOOKUP(fSales[[#This Row],[ProductID]],dProduct[ProductID],dProduct[CrateCost]))/_xlfn.XLOOKUP(fSales[[#This Row],[ProductID]],dProduct[ProductID],dProduct[CratePrice])</f>
        <v>0.42000000000000004</v>
      </c>
      <c r="N762" t="str">
        <f>_xlfn.XLOOKUP(fSales[[#This Row],[SalesRepID]],dPSalesRep[SalesRepID],dPSalesRep[SalesRep])</f>
        <v>Shihara Fazzaa</v>
      </c>
      <c r="O762" t="str">
        <f>_xlfn.XLOOKUP(fSales[[#This Row],[SalesRepID]],dPSalesRep[SalesRepID],dPSalesRep[Region])</f>
        <v>East</v>
      </c>
      <c r="P762" t="str">
        <f>_xlfn.XLOOKUP(fSales[[#This Row],[ProductID]],dProduct[ProductID],dProduct[Product])</f>
        <v>Cherry</v>
      </c>
      <c r="Q762">
        <f>_xlfn.XLOOKUP(fSales[[#This Row],[ProductID]],dProduct[ProductID],dProduct[CratePrice])-_xlfn.XLOOKUP(fSales[[#This Row],[ProductID]],dProduct[ProductID],dProduct[CrateCost])</f>
        <v>18.354000000000003</v>
      </c>
      <c r="R762">
        <f>_xlfn.XLOOKUP(fSales[[#This Row],[ProductID]],dProduct[ProductID],dProduct[CratePrice])</f>
        <v>43.7</v>
      </c>
      <c r="S762">
        <f>_xlfn.XLOOKUP(fSales[[#This Row],[ProductID]],dProduct[ProductID],dProduct[CrateCost])</f>
        <v>25.346</v>
      </c>
    </row>
    <row r="763" spans="7:19" x14ac:dyDescent="0.25">
      <c r="G763" s="2">
        <v>45820</v>
      </c>
      <c r="H763">
        <v>228</v>
      </c>
      <c r="I763" t="s">
        <v>34</v>
      </c>
      <c r="J763" t="s">
        <v>22</v>
      </c>
      <c r="K763">
        <f>_xlfn.XLOOKUP(fSales[[#This Row],[ProductID]],dProduct[ProductID],dProduct[CratePrice])*fSales[[#This Row],[Units]]</f>
        <v>3990</v>
      </c>
      <c r="L763">
        <f>fSales[[#This Row],[Total sales]]-_xlfn.XLOOKUP(fSales[[#This Row],[ProductID]],dProduct[ProductID],dProduct[CrateCost])*fSales[[#This Row],[Units]]</f>
        <v>1316.6999999999998</v>
      </c>
      <c r="M763">
        <f>(_xlfn.XLOOKUP(fSales[[#This Row],[ProductID]],dProduct[ProductID],dProduct[CratePrice])-_xlfn.XLOOKUP(fSales[[#This Row],[ProductID]],dProduct[ProductID],dProduct[CrateCost]))/_xlfn.XLOOKUP(fSales[[#This Row],[ProductID]],dProduct[ProductID],dProduct[CratePrice])</f>
        <v>0.3299999999999999</v>
      </c>
      <c r="N763" t="str">
        <f>_xlfn.XLOOKUP(fSales[[#This Row],[SalesRepID]],dPSalesRep[SalesRepID],dPSalesRep[SalesRep])</f>
        <v>Timmy Kips</v>
      </c>
      <c r="O763" t="str">
        <f>_xlfn.XLOOKUP(fSales[[#This Row],[SalesRepID]],dPSalesRep[SalesRepID],dPSalesRep[Region])</f>
        <v>East</v>
      </c>
      <c r="P763" t="str">
        <f>_xlfn.XLOOKUP(fSales[[#This Row],[ProductID]],dProduct[ProductID],dProduct[Product])</f>
        <v>Banana</v>
      </c>
      <c r="Q763">
        <f>_xlfn.XLOOKUP(fSales[[#This Row],[ProductID]],dProduct[ProductID],dProduct[CratePrice])-_xlfn.XLOOKUP(fSales[[#This Row],[ProductID]],dProduct[ProductID],dProduct[CrateCost])</f>
        <v>5.7749999999999986</v>
      </c>
      <c r="R763">
        <f>_xlfn.XLOOKUP(fSales[[#This Row],[ProductID]],dProduct[ProductID],dProduct[CratePrice])</f>
        <v>17.5</v>
      </c>
      <c r="S763">
        <f>_xlfn.XLOOKUP(fSales[[#This Row],[ProductID]],dProduct[ProductID],dProduct[CrateCost])</f>
        <v>11.725000000000001</v>
      </c>
    </row>
    <row r="764" spans="7:19" x14ac:dyDescent="0.25">
      <c r="G764" s="2">
        <v>45820</v>
      </c>
      <c r="H764">
        <v>216</v>
      </c>
      <c r="I764" t="s">
        <v>21</v>
      </c>
      <c r="J764" t="s">
        <v>22</v>
      </c>
      <c r="K764">
        <f>_xlfn.XLOOKUP(fSales[[#This Row],[ProductID]],dProduct[ProductID],dProduct[CratePrice])*fSales[[#This Row],[Units]]</f>
        <v>4860</v>
      </c>
      <c r="L764">
        <f>fSales[[#This Row],[Total sales]]-_xlfn.XLOOKUP(fSales[[#This Row],[ProductID]],dProduct[ProductID],dProduct[CrateCost])*fSales[[#This Row],[Units]]</f>
        <v>2138.3999999999996</v>
      </c>
      <c r="M764">
        <f>(_xlfn.XLOOKUP(fSales[[#This Row],[ProductID]],dProduct[ProductID],dProduct[CratePrice])-_xlfn.XLOOKUP(fSales[[#This Row],[ProductID]],dProduct[ProductID],dProduct[CrateCost]))/_xlfn.XLOOKUP(fSales[[#This Row],[ProductID]],dProduct[ProductID],dProduct[CratePrice])</f>
        <v>0.43999999999999995</v>
      </c>
      <c r="N764" t="str">
        <f>_xlfn.XLOOKUP(fSales[[#This Row],[SalesRepID]],dPSalesRep[SalesRepID],dPSalesRep[SalesRep])</f>
        <v>Timmy Kips</v>
      </c>
      <c r="O764" t="str">
        <f>_xlfn.XLOOKUP(fSales[[#This Row],[SalesRepID]],dPSalesRep[SalesRepID],dPSalesRep[Region])</f>
        <v>East</v>
      </c>
      <c r="P764" t="str">
        <f>_xlfn.XLOOKUP(fSales[[#This Row],[ProductID]],dProduct[ProductID],dProduct[Product])</f>
        <v>Kiwi</v>
      </c>
      <c r="Q764">
        <f>_xlfn.XLOOKUP(fSales[[#This Row],[ProductID]],dProduct[ProductID],dProduct[CratePrice])-_xlfn.XLOOKUP(fSales[[#This Row],[ProductID]],dProduct[ProductID],dProduct[CrateCost])</f>
        <v>9.8999999999999986</v>
      </c>
      <c r="R764">
        <f>_xlfn.XLOOKUP(fSales[[#This Row],[ProductID]],dProduct[ProductID],dProduct[CratePrice])</f>
        <v>22.5</v>
      </c>
      <c r="S764">
        <f>_xlfn.XLOOKUP(fSales[[#This Row],[ProductID]],dProduct[ProductID],dProduct[CrateCost])</f>
        <v>12.600000000000001</v>
      </c>
    </row>
    <row r="765" spans="7:19" x14ac:dyDescent="0.25">
      <c r="G765" s="2">
        <v>45821</v>
      </c>
      <c r="H765">
        <v>180</v>
      </c>
      <c r="I765" t="s">
        <v>34</v>
      </c>
      <c r="J765" t="s">
        <v>37</v>
      </c>
      <c r="K765">
        <f>_xlfn.XLOOKUP(fSales[[#This Row],[ProductID]],dProduct[ProductID],dProduct[CratePrice])*fSales[[#This Row],[Units]]</f>
        <v>3150</v>
      </c>
      <c r="L765">
        <f>fSales[[#This Row],[Total sales]]-_xlfn.XLOOKUP(fSales[[#This Row],[ProductID]],dProduct[ProductID],dProduct[CrateCost])*fSales[[#This Row],[Units]]</f>
        <v>1039.4999999999995</v>
      </c>
      <c r="M765">
        <f>(_xlfn.XLOOKUP(fSales[[#This Row],[ProductID]],dProduct[ProductID],dProduct[CratePrice])-_xlfn.XLOOKUP(fSales[[#This Row],[ProductID]],dProduct[ProductID],dProduct[CrateCost]))/_xlfn.XLOOKUP(fSales[[#This Row],[ProductID]],dProduct[ProductID],dProduct[CratePrice])</f>
        <v>0.3299999999999999</v>
      </c>
      <c r="N765" t="str">
        <f>_xlfn.XLOOKUP(fSales[[#This Row],[SalesRepID]],dPSalesRep[SalesRepID],dPSalesRep[SalesRep])</f>
        <v>Chantel Mims</v>
      </c>
      <c r="O765" t="str">
        <f>_xlfn.XLOOKUP(fSales[[#This Row],[SalesRepID]],dPSalesRep[SalesRepID],dPSalesRep[Region])</f>
        <v>NW</v>
      </c>
      <c r="P765" t="str">
        <f>_xlfn.XLOOKUP(fSales[[#This Row],[ProductID]],dProduct[ProductID],dProduct[Product])</f>
        <v>Banana</v>
      </c>
      <c r="Q765">
        <f>_xlfn.XLOOKUP(fSales[[#This Row],[ProductID]],dProduct[ProductID],dProduct[CratePrice])-_xlfn.XLOOKUP(fSales[[#This Row],[ProductID]],dProduct[ProductID],dProduct[CrateCost])</f>
        <v>5.7749999999999986</v>
      </c>
      <c r="R765">
        <f>_xlfn.XLOOKUP(fSales[[#This Row],[ProductID]],dProduct[ProductID],dProduct[CratePrice])</f>
        <v>17.5</v>
      </c>
      <c r="S765">
        <f>_xlfn.XLOOKUP(fSales[[#This Row],[ProductID]],dProduct[ProductID],dProduct[CrateCost])</f>
        <v>11.725000000000001</v>
      </c>
    </row>
    <row r="766" spans="7:19" x14ac:dyDescent="0.25">
      <c r="G766" s="2">
        <v>45821</v>
      </c>
      <c r="H766">
        <v>72</v>
      </c>
      <c r="I766" t="s">
        <v>26</v>
      </c>
      <c r="J766" t="s">
        <v>32</v>
      </c>
      <c r="K766">
        <f>_xlfn.XLOOKUP(fSales[[#This Row],[ProductID]],dProduct[ProductID],dProduct[CratePrice])*fSales[[#This Row],[Units]]</f>
        <v>2142</v>
      </c>
      <c r="L766">
        <f>fSales[[#This Row],[Total sales]]-_xlfn.XLOOKUP(fSales[[#This Row],[ProductID]],dProduct[ProductID],dProduct[CrateCost])*fSales[[#This Row],[Units]]</f>
        <v>899.6400000000001</v>
      </c>
      <c r="M766">
        <f>(_xlfn.XLOOKUP(fSales[[#This Row],[ProductID]],dProduct[ProductID],dProduct[CratePrice])-_xlfn.XLOOKUP(fSales[[#This Row],[ProductID]],dProduct[ProductID],dProduct[CrateCost]))/_xlfn.XLOOKUP(fSales[[#This Row],[ProductID]],dProduct[ProductID],dProduct[CratePrice])</f>
        <v>0.42000000000000004</v>
      </c>
      <c r="N766" t="str">
        <f>_xlfn.XLOOKUP(fSales[[#This Row],[SalesRepID]],dPSalesRep[SalesRepID],dPSalesRep[SalesRep])</f>
        <v>Shihara Fazzaa</v>
      </c>
      <c r="O766" t="str">
        <f>_xlfn.XLOOKUP(fSales[[#This Row],[SalesRepID]],dPSalesRep[SalesRepID],dPSalesRep[Region])</f>
        <v>East</v>
      </c>
      <c r="P766" t="str">
        <f>_xlfn.XLOOKUP(fSales[[#This Row],[ProductID]],dProduct[ProductID],dProduct[Product])</f>
        <v>Orange</v>
      </c>
      <c r="Q766">
        <f>_xlfn.XLOOKUP(fSales[[#This Row],[ProductID]],dProduct[ProductID],dProduct[CratePrice])-_xlfn.XLOOKUP(fSales[[#This Row],[ProductID]],dProduct[ProductID],dProduct[CrateCost])</f>
        <v>12.495000000000001</v>
      </c>
      <c r="R766">
        <f>_xlfn.XLOOKUP(fSales[[#This Row],[ProductID]],dProduct[ProductID],dProduct[CratePrice])</f>
        <v>29.75</v>
      </c>
      <c r="S766">
        <f>_xlfn.XLOOKUP(fSales[[#This Row],[ProductID]],dProduct[ProductID],dProduct[CrateCost])</f>
        <v>17.254999999999999</v>
      </c>
    </row>
    <row r="767" spans="7:19" x14ac:dyDescent="0.25">
      <c r="G767" s="2">
        <v>45822</v>
      </c>
      <c r="H767">
        <v>108</v>
      </c>
      <c r="I767" t="s">
        <v>26</v>
      </c>
      <c r="J767" t="s">
        <v>22</v>
      </c>
      <c r="K767">
        <f>_xlfn.XLOOKUP(fSales[[#This Row],[ProductID]],dProduct[ProductID],dProduct[CratePrice])*fSales[[#This Row],[Units]]</f>
        <v>3213</v>
      </c>
      <c r="L767">
        <f>fSales[[#This Row],[Total sales]]-_xlfn.XLOOKUP(fSales[[#This Row],[ProductID]],dProduct[ProductID],dProduct[CrateCost])*fSales[[#This Row],[Units]]</f>
        <v>1349.46</v>
      </c>
      <c r="M767">
        <f>(_xlfn.XLOOKUP(fSales[[#This Row],[ProductID]],dProduct[ProductID],dProduct[CratePrice])-_xlfn.XLOOKUP(fSales[[#This Row],[ProductID]],dProduct[ProductID],dProduct[CrateCost]))/_xlfn.XLOOKUP(fSales[[#This Row],[ProductID]],dProduct[ProductID],dProduct[CratePrice])</f>
        <v>0.42000000000000004</v>
      </c>
      <c r="N767" t="str">
        <f>_xlfn.XLOOKUP(fSales[[#This Row],[SalesRepID]],dPSalesRep[SalesRepID],dPSalesRep[SalesRep])</f>
        <v>Timmy Kips</v>
      </c>
      <c r="O767" t="str">
        <f>_xlfn.XLOOKUP(fSales[[#This Row],[SalesRepID]],dPSalesRep[SalesRepID],dPSalesRep[Region])</f>
        <v>East</v>
      </c>
      <c r="P767" t="str">
        <f>_xlfn.XLOOKUP(fSales[[#This Row],[ProductID]],dProduct[ProductID],dProduct[Product])</f>
        <v>Orange</v>
      </c>
      <c r="Q767">
        <f>_xlfn.XLOOKUP(fSales[[#This Row],[ProductID]],dProduct[ProductID],dProduct[CratePrice])-_xlfn.XLOOKUP(fSales[[#This Row],[ProductID]],dProduct[ProductID],dProduct[CrateCost])</f>
        <v>12.495000000000001</v>
      </c>
      <c r="R767">
        <f>_xlfn.XLOOKUP(fSales[[#This Row],[ProductID]],dProduct[ProductID],dProduct[CratePrice])</f>
        <v>29.75</v>
      </c>
      <c r="S767">
        <f>_xlfn.XLOOKUP(fSales[[#This Row],[ProductID]],dProduct[ProductID],dProduct[CrateCost])</f>
        <v>17.254999999999999</v>
      </c>
    </row>
    <row r="768" spans="7:19" x14ac:dyDescent="0.25">
      <c r="G768" s="2">
        <v>45822</v>
      </c>
      <c r="H768">
        <v>48</v>
      </c>
      <c r="I768" t="s">
        <v>21</v>
      </c>
      <c r="J768" t="s">
        <v>29</v>
      </c>
      <c r="K768">
        <f>_xlfn.XLOOKUP(fSales[[#This Row],[ProductID]],dProduct[ProductID],dProduct[CratePrice])*fSales[[#This Row],[Units]]</f>
        <v>1080</v>
      </c>
      <c r="L768">
        <f>fSales[[#This Row],[Total sales]]-_xlfn.XLOOKUP(fSales[[#This Row],[ProductID]],dProduct[ProductID],dProduct[CrateCost])*fSales[[#This Row],[Units]]</f>
        <v>475.19999999999993</v>
      </c>
      <c r="M768">
        <f>(_xlfn.XLOOKUP(fSales[[#This Row],[ProductID]],dProduct[ProductID],dProduct[CratePrice])-_xlfn.XLOOKUP(fSales[[#This Row],[ProductID]],dProduct[ProductID],dProduct[CrateCost]))/_xlfn.XLOOKUP(fSales[[#This Row],[ProductID]],dProduct[ProductID],dProduct[CratePrice])</f>
        <v>0.43999999999999995</v>
      </c>
      <c r="N768" t="str">
        <f>_xlfn.XLOOKUP(fSales[[#This Row],[SalesRepID]],dPSalesRep[SalesRepID],dPSalesRep[SalesRep])</f>
        <v>Sioux Best</v>
      </c>
      <c r="O768" t="str">
        <f>_xlfn.XLOOKUP(fSales[[#This Row],[SalesRepID]],dPSalesRep[SalesRepID],dPSalesRep[Region])</f>
        <v>West</v>
      </c>
      <c r="P768" t="str">
        <f>_xlfn.XLOOKUP(fSales[[#This Row],[ProductID]],dProduct[ProductID],dProduct[Product])</f>
        <v>Kiwi</v>
      </c>
      <c r="Q768">
        <f>_xlfn.XLOOKUP(fSales[[#This Row],[ProductID]],dProduct[ProductID],dProduct[CratePrice])-_xlfn.XLOOKUP(fSales[[#This Row],[ProductID]],dProduct[ProductID],dProduct[CrateCost])</f>
        <v>9.8999999999999986</v>
      </c>
      <c r="R768">
        <f>_xlfn.XLOOKUP(fSales[[#This Row],[ProductID]],dProduct[ProductID],dProduct[CratePrice])</f>
        <v>22.5</v>
      </c>
      <c r="S768">
        <f>_xlfn.XLOOKUP(fSales[[#This Row],[ProductID]],dProduct[ProductID],dProduct[CrateCost])</f>
        <v>12.600000000000001</v>
      </c>
    </row>
    <row r="769" spans="7:19" x14ac:dyDescent="0.25">
      <c r="G769" s="2">
        <v>45823</v>
      </c>
      <c r="H769">
        <v>108</v>
      </c>
      <c r="I769" t="s">
        <v>19</v>
      </c>
      <c r="J769" t="s">
        <v>22</v>
      </c>
      <c r="K769">
        <f>_xlfn.XLOOKUP(fSales[[#This Row],[ProductID]],dProduct[ProductID],dProduct[CratePrice])*fSales[[#This Row],[Units]]</f>
        <v>3780</v>
      </c>
      <c r="L769">
        <f>fSales[[#This Row],[Total sales]]-_xlfn.XLOOKUP(fSales[[#This Row],[ProductID]],dProduct[ProductID],dProduct[CrateCost])*fSales[[#This Row],[Units]]</f>
        <v>2116.8000000000002</v>
      </c>
      <c r="M769">
        <f>(_xlfn.XLOOKUP(fSales[[#This Row],[ProductID]],dProduct[ProductID],dProduct[CratePrice])-_xlfn.XLOOKUP(fSales[[#This Row],[ProductID]],dProduct[ProductID],dProduct[CrateCost]))/_xlfn.XLOOKUP(fSales[[#This Row],[ProductID]],dProduct[ProductID],dProduct[CratePrice])</f>
        <v>0.56000000000000005</v>
      </c>
      <c r="N769" t="str">
        <f>_xlfn.XLOOKUP(fSales[[#This Row],[SalesRepID]],dPSalesRep[SalesRepID],dPSalesRep[SalesRep])</f>
        <v>Timmy Kips</v>
      </c>
      <c r="O769" t="str">
        <f>_xlfn.XLOOKUP(fSales[[#This Row],[SalesRepID]],dPSalesRep[SalesRepID],dPSalesRep[Region])</f>
        <v>East</v>
      </c>
      <c r="P769" t="str">
        <f>_xlfn.XLOOKUP(fSales[[#This Row],[ProductID]],dProduct[ProductID],dProduct[Product])</f>
        <v>Apple</v>
      </c>
      <c r="Q769">
        <f>_xlfn.XLOOKUP(fSales[[#This Row],[ProductID]],dProduct[ProductID],dProduct[CratePrice])-_xlfn.XLOOKUP(fSales[[#This Row],[ProductID]],dProduct[ProductID],dProduct[CrateCost])</f>
        <v>19.600000000000001</v>
      </c>
      <c r="R769">
        <f>_xlfn.XLOOKUP(fSales[[#This Row],[ProductID]],dProduct[ProductID],dProduct[CratePrice])</f>
        <v>35</v>
      </c>
      <c r="S769">
        <f>_xlfn.XLOOKUP(fSales[[#This Row],[ProductID]],dProduct[ProductID],dProduct[CrateCost])</f>
        <v>15.4</v>
      </c>
    </row>
    <row r="770" spans="7:19" x14ac:dyDescent="0.25">
      <c r="G770" s="2">
        <v>45827</v>
      </c>
      <c r="H770">
        <v>288</v>
      </c>
      <c r="I770" t="s">
        <v>26</v>
      </c>
      <c r="J770" t="s">
        <v>29</v>
      </c>
      <c r="K770">
        <f>_xlfn.XLOOKUP(fSales[[#This Row],[ProductID]],dProduct[ProductID],dProduct[CratePrice])*fSales[[#This Row],[Units]]</f>
        <v>8568</v>
      </c>
      <c r="L770">
        <f>fSales[[#This Row],[Total sales]]-_xlfn.XLOOKUP(fSales[[#This Row],[ProductID]],dProduct[ProductID],dProduct[CrateCost])*fSales[[#This Row],[Units]]</f>
        <v>3598.5600000000004</v>
      </c>
      <c r="M770">
        <f>(_xlfn.XLOOKUP(fSales[[#This Row],[ProductID]],dProduct[ProductID],dProduct[CratePrice])-_xlfn.XLOOKUP(fSales[[#This Row],[ProductID]],dProduct[ProductID],dProduct[CrateCost]))/_xlfn.XLOOKUP(fSales[[#This Row],[ProductID]],dProduct[ProductID],dProduct[CratePrice])</f>
        <v>0.42000000000000004</v>
      </c>
      <c r="N770" t="str">
        <f>_xlfn.XLOOKUP(fSales[[#This Row],[SalesRepID]],dPSalesRep[SalesRepID],dPSalesRep[SalesRep])</f>
        <v>Sioux Best</v>
      </c>
      <c r="O770" t="str">
        <f>_xlfn.XLOOKUP(fSales[[#This Row],[SalesRepID]],dPSalesRep[SalesRepID],dPSalesRep[Region])</f>
        <v>West</v>
      </c>
      <c r="P770" t="str">
        <f>_xlfn.XLOOKUP(fSales[[#This Row],[ProductID]],dProduct[ProductID],dProduct[Product])</f>
        <v>Orange</v>
      </c>
      <c r="Q770">
        <f>_xlfn.XLOOKUP(fSales[[#This Row],[ProductID]],dProduct[ProductID],dProduct[CratePrice])-_xlfn.XLOOKUP(fSales[[#This Row],[ProductID]],dProduct[ProductID],dProduct[CrateCost])</f>
        <v>12.495000000000001</v>
      </c>
      <c r="R770">
        <f>_xlfn.XLOOKUP(fSales[[#This Row],[ProductID]],dProduct[ProductID],dProduct[CratePrice])</f>
        <v>29.75</v>
      </c>
      <c r="S770">
        <f>_xlfn.XLOOKUP(fSales[[#This Row],[ProductID]],dProduct[ProductID],dProduct[CrateCost])</f>
        <v>17.254999999999999</v>
      </c>
    </row>
    <row r="771" spans="7:19" x14ac:dyDescent="0.25">
      <c r="G771" s="2">
        <v>45827</v>
      </c>
      <c r="H771">
        <v>60</v>
      </c>
      <c r="I771" t="s">
        <v>28</v>
      </c>
      <c r="J771" t="s">
        <v>52</v>
      </c>
      <c r="K771">
        <f>_xlfn.XLOOKUP(fSales[[#This Row],[ProductID]],dProduct[ProductID],dProduct[CratePrice])*fSales[[#This Row],[Units]]</f>
        <v>2622</v>
      </c>
      <c r="L771">
        <f>fSales[[#This Row],[Total sales]]-_xlfn.XLOOKUP(fSales[[#This Row],[ProductID]],dProduct[ProductID],dProduct[CrateCost])*fSales[[#This Row],[Units]]</f>
        <v>1101.24</v>
      </c>
      <c r="M771">
        <f>(_xlfn.XLOOKUP(fSales[[#This Row],[ProductID]],dProduct[ProductID],dProduct[CratePrice])-_xlfn.XLOOKUP(fSales[[#This Row],[ProductID]],dProduct[ProductID],dProduct[CrateCost]))/_xlfn.XLOOKUP(fSales[[#This Row],[ProductID]],dProduct[ProductID],dProduct[CratePrice])</f>
        <v>0.42000000000000004</v>
      </c>
      <c r="N771" t="str">
        <f>_xlfn.XLOOKUP(fSales[[#This Row],[SalesRepID]],dPSalesRep[SalesRepID],dPSalesRep[SalesRep])</f>
        <v>Smitty Rad</v>
      </c>
      <c r="O771" t="str">
        <f>_xlfn.XLOOKUP(fSales[[#This Row],[SalesRepID]],dPSalesRep[SalesRepID],dPSalesRep[Region])</f>
        <v>MidWest</v>
      </c>
      <c r="P771" t="str">
        <f>_xlfn.XLOOKUP(fSales[[#This Row],[ProductID]],dProduct[ProductID],dProduct[Product])</f>
        <v>Cherry</v>
      </c>
      <c r="Q771">
        <f>_xlfn.XLOOKUP(fSales[[#This Row],[ProductID]],dProduct[ProductID],dProduct[CratePrice])-_xlfn.XLOOKUP(fSales[[#This Row],[ProductID]],dProduct[ProductID],dProduct[CrateCost])</f>
        <v>18.354000000000003</v>
      </c>
      <c r="R771">
        <f>_xlfn.XLOOKUP(fSales[[#This Row],[ProductID]],dProduct[ProductID],dProduct[CratePrice])</f>
        <v>43.7</v>
      </c>
      <c r="S771">
        <f>_xlfn.XLOOKUP(fSales[[#This Row],[ProductID]],dProduct[ProductID],dProduct[CrateCost])</f>
        <v>25.346</v>
      </c>
    </row>
    <row r="772" spans="7:19" x14ac:dyDescent="0.25">
      <c r="G772" s="2">
        <v>45829</v>
      </c>
      <c r="H772">
        <v>60</v>
      </c>
      <c r="I772" t="s">
        <v>19</v>
      </c>
      <c r="J772" t="s">
        <v>37</v>
      </c>
      <c r="K772">
        <f>_xlfn.XLOOKUP(fSales[[#This Row],[ProductID]],dProduct[ProductID],dProduct[CratePrice])*fSales[[#This Row],[Units]]</f>
        <v>2100</v>
      </c>
      <c r="L772">
        <f>fSales[[#This Row],[Total sales]]-_xlfn.XLOOKUP(fSales[[#This Row],[ProductID]],dProduct[ProductID],dProduct[CrateCost])*fSales[[#This Row],[Units]]</f>
        <v>1176</v>
      </c>
      <c r="M772">
        <f>(_xlfn.XLOOKUP(fSales[[#This Row],[ProductID]],dProduct[ProductID],dProduct[CratePrice])-_xlfn.XLOOKUP(fSales[[#This Row],[ProductID]],dProduct[ProductID],dProduct[CrateCost]))/_xlfn.XLOOKUP(fSales[[#This Row],[ProductID]],dProduct[ProductID],dProduct[CratePrice])</f>
        <v>0.56000000000000005</v>
      </c>
      <c r="N772" t="str">
        <f>_xlfn.XLOOKUP(fSales[[#This Row],[SalesRepID]],dPSalesRep[SalesRepID],dPSalesRep[SalesRep])</f>
        <v>Chantel Mims</v>
      </c>
      <c r="O772" t="str">
        <f>_xlfn.XLOOKUP(fSales[[#This Row],[SalesRepID]],dPSalesRep[SalesRepID],dPSalesRep[Region])</f>
        <v>NW</v>
      </c>
      <c r="P772" t="str">
        <f>_xlfn.XLOOKUP(fSales[[#This Row],[ProductID]],dProduct[ProductID],dProduct[Product])</f>
        <v>Apple</v>
      </c>
      <c r="Q772">
        <f>_xlfn.XLOOKUP(fSales[[#This Row],[ProductID]],dProduct[ProductID],dProduct[CratePrice])-_xlfn.XLOOKUP(fSales[[#This Row],[ProductID]],dProduct[ProductID],dProduct[CrateCost])</f>
        <v>19.600000000000001</v>
      </c>
      <c r="R772">
        <f>_xlfn.XLOOKUP(fSales[[#This Row],[ProductID]],dProduct[ProductID],dProduct[CratePrice])</f>
        <v>35</v>
      </c>
      <c r="S772">
        <f>_xlfn.XLOOKUP(fSales[[#This Row],[ProductID]],dProduct[ProductID],dProduct[CrateCost])</f>
        <v>15.4</v>
      </c>
    </row>
    <row r="773" spans="7:19" x14ac:dyDescent="0.25">
      <c r="G773" s="2">
        <v>45830</v>
      </c>
      <c r="H773">
        <v>96</v>
      </c>
      <c r="I773" t="s">
        <v>19</v>
      </c>
      <c r="J773" t="s">
        <v>52</v>
      </c>
      <c r="K773">
        <f>_xlfn.XLOOKUP(fSales[[#This Row],[ProductID]],dProduct[ProductID],dProduct[CratePrice])*fSales[[#This Row],[Units]]</f>
        <v>3360</v>
      </c>
      <c r="L773">
        <f>fSales[[#This Row],[Total sales]]-_xlfn.XLOOKUP(fSales[[#This Row],[ProductID]],dProduct[ProductID],dProduct[CrateCost])*fSales[[#This Row],[Units]]</f>
        <v>1881.6</v>
      </c>
      <c r="M773">
        <f>(_xlfn.XLOOKUP(fSales[[#This Row],[ProductID]],dProduct[ProductID],dProduct[CratePrice])-_xlfn.XLOOKUP(fSales[[#This Row],[ProductID]],dProduct[ProductID],dProduct[CrateCost]))/_xlfn.XLOOKUP(fSales[[#This Row],[ProductID]],dProduct[ProductID],dProduct[CratePrice])</f>
        <v>0.56000000000000005</v>
      </c>
      <c r="N773" t="str">
        <f>_xlfn.XLOOKUP(fSales[[#This Row],[SalesRepID]],dPSalesRep[SalesRepID],dPSalesRep[SalesRep])</f>
        <v>Smitty Rad</v>
      </c>
      <c r="O773" t="str">
        <f>_xlfn.XLOOKUP(fSales[[#This Row],[SalesRepID]],dPSalesRep[SalesRepID],dPSalesRep[Region])</f>
        <v>MidWest</v>
      </c>
      <c r="P773" t="str">
        <f>_xlfn.XLOOKUP(fSales[[#This Row],[ProductID]],dProduct[ProductID],dProduct[Product])</f>
        <v>Apple</v>
      </c>
      <c r="Q773">
        <f>_xlfn.XLOOKUP(fSales[[#This Row],[ProductID]],dProduct[ProductID],dProduct[CratePrice])-_xlfn.XLOOKUP(fSales[[#This Row],[ProductID]],dProduct[ProductID],dProduct[CrateCost])</f>
        <v>19.600000000000001</v>
      </c>
      <c r="R773">
        <f>_xlfn.XLOOKUP(fSales[[#This Row],[ProductID]],dProduct[ProductID],dProduct[CratePrice])</f>
        <v>35</v>
      </c>
      <c r="S773">
        <f>_xlfn.XLOOKUP(fSales[[#This Row],[ProductID]],dProduct[ProductID],dProduct[CrateCost])</f>
        <v>15.4</v>
      </c>
    </row>
    <row r="774" spans="7:19" x14ac:dyDescent="0.25">
      <c r="G774" s="2">
        <v>45830</v>
      </c>
      <c r="H774">
        <v>60</v>
      </c>
      <c r="I774" t="s">
        <v>26</v>
      </c>
      <c r="J774" t="s">
        <v>32</v>
      </c>
      <c r="K774">
        <f>_xlfn.XLOOKUP(fSales[[#This Row],[ProductID]],dProduct[ProductID],dProduct[CratePrice])*fSales[[#This Row],[Units]]</f>
        <v>1785</v>
      </c>
      <c r="L774">
        <f>fSales[[#This Row],[Total sales]]-_xlfn.XLOOKUP(fSales[[#This Row],[ProductID]],dProduct[ProductID],dProduct[CrateCost])*fSales[[#This Row],[Units]]</f>
        <v>749.7</v>
      </c>
      <c r="M774">
        <f>(_xlfn.XLOOKUP(fSales[[#This Row],[ProductID]],dProduct[ProductID],dProduct[CratePrice])-_xlfn.XLOOKUP(fSales[[#This Row],[ProductID]],dProduct[ProductID],dProduct[CrateCost]))/_xlfn.XLOOKUP(fSales[[#This Row],[ProductID]],dProduct[ProductID],dProduct[CratePrice])</f>
        <v>0.42000000000000004</v>
      </c>
      <c r="N774" t="str">
        <f>_xlfn.XLOOKUP(fSales[[#This Row],[SalesRepID]],dPSalesRep[SalesRepID],dPSalesRep[SalesRep])</f>
        <v>Shihara Fazzaa</v>
      </c>
      <c r="O774" t="str">
        <f>_xlfn.XLOOKUP(fSales[[#This Row],[SalesRepID]],dPSalesRep[SalesRepID],dPSalesRep[Region])</f>
        <v>East</v>
      </c>
      <c r="P774" t="str">
        <f>_xlfn.XLOOKUP(fSales[[#This Row],[ProductID]],dProduct[ProductID],dProduct[Product])</f>
        <v>Orange</v>
      </c>
      <c r="Q774">
        <f>_xlfn.XLOOKUP(fSales[[#This Row],[ProductID]],dProduct[ProductID],dProduct[CratePrice])-_xlfn.XLOOKUP(fSales[[#This Row],[ProductID]],dProduct[ProductID],dProduct[CrateCost])</f>
        <v>12.495000000000001</v>
      </c>
      <c r="R774">
        <f>_xlfn.XLOOKUP(fSales[[#This Row],[ProductID]],dProduct[ProductID],dProduct[CratePrice])</f>
        <v>29.75</v>
      </c>
      <c r="S774">
        <f>_xlfn.XLOOKUP(fSales[[#This Row],[ProductID]],dProduct[ProductID],dProduct[CrateCost])</f>
        <v>17.254999999999999</v>
      </c>
    </row>
    <row r="775" spans="7:19" x14ac:dyDescent="0.25">
      <c r="G775" s="2">
        <v>45831</v>
      </c>
      <c r="H775">
        <v>300</v>
      </c>
      <c r="I775" t="s">
        <v>34</v>
      </c>
      <c r="J775" t="s">
        <v>37</v>
      </c>
      <c r="K775">
        <f>_xlfn.XLOOKUP(fSales[[#This Row],[ProductID]],dProduct[ProductID],dProduct[CratePrice])*fSales[[#This Row],[Units]]</f>
        <v>5250</v>
      </c>
      <c r="L775">
        <f>fSales[[#This Row],[Total sales]]-_xlfn.XLOOKUP(fSales[[#This Row],[ProductID]],dProduct[ProductID],dProduct[CrateCost])*fSales[[#This Row],[Units]]</f>
        <v>1732.4999999999995</v>
      </c>
      <c r="M775">
        <f>(_xlfn.XLOOKUP(fSales[[#This Row],[ProductID]],dProduct[ProductID],dProduct[CratePrice])-_xlfn.XLOOKUP(fSales[[#This Row],[ProductID]],dProduct[ProductID],dProduct[CrateCost]))/_xlfn.XLOOKUP(fSales[[#This Row],[ProductID]],dProduct[ProductID],dProduct[CratePrice])</f>
        <v>0.3299999999999999</v>
      </c>
      <c r="N775" t="str">
        <f>_xlfn.XLOOKUP(fSales[[#This Row],[SalesRepID]],dPSalesRep[SalesRepID],dPSalesRep[SalesRep])</f>
        <v>Chantel Mims</v>
      </c>
      <c r="O775" t="str">
        <f>_xlfn.XLOOKUP(fSales[[#This Row],[SalesRepID]],dPSalesRep[SalesRepID],dPSalesRep[Region])</f>
        <v>NW</v>
      </c>
      <c r="P775" t="str">
        <f>_xlfn.XLOOKUP(fSales[[#This Row],[ProductID]],dProduct[ProductID],dProduct[Product])</f>
        <v>Banana</v>
      </c>
      <c r="Q775">
        <f>_xlfn.XLOOKUP(fSales[[#This Row],[ProductID]],dProduct[ProductID],dProduct[CratePrice])-_xlfn.XLOOKUP(fSales[[#This Row],[ProductID]],dProduct[ProductID],dProduct[CrateCost])</f>
        <v>5.7749999999999986</v>
      </c>
      <c r="R775">
        <f>_xlfn.XLOOKUP(fSales[[#This Row],[ProductID]],dProduct[ProductID],dProduct[CratePrice])</f>
        <v>17.5</v>
      </c>
      <c r="S775">
        <f>_xlfn.XLOOKUP(fSales[[#This Row],[ProductID]],dProduct[ProductID],dProduct[CrateCost])</f>
        <v>11.725000000000001</v>
      </c>
    </row>
    <row r="776" spans="7:19" x14ac:dyDescent="0.25">
      <c r="G776" s="2">
        <v>45832</v>
      </c>
      <c r="H776">
        <v>300</v>
      </c>
      <c r="I776" t="s">
        <v>26</v>
      </c>
      <c r="J776" t="s">
        <v>32</v>
      </c>
      <c r="K776">
        <f>_xlfn.XLOOKUP(fSales[[#This Row],[ProductID]],dProduct[ProductID],dProduct[CratePrice])*fSales[[#This Row],[Units]]</f>
        <v>8925</v>
      </c>
      <c r="L776">
        <f>fSales[[#This Row],[Total sales]]-_xlfn.XLOOKUP(fSales[[#This Row],[ProductID]],dProduct[ProductID],dProduct[CrateCost])*fSales[[#This Row],[Units]]</f>
        <v>3748.5</v>
      </c>
      <c r="M776">
        <f>(_xlfn.XLOOKUP(fSales[[#This Row],[ProductID]],dProduct[ProductID],dProduct[CratePrice])-_xlfn.XLOOKUP(fSales[[#This Row],[ProductID]],dProduct[ProductID],dProduct[CrateCost]))/_xlfn.XLOOKUP(fSales[[#This Row],[ProductID]],dProduct[ProductID],dProduct[CratePrice])</f>
        <v>0.42000000000000004</v>
      </c>
      <c r="N776" t="str">
        <f>_xlfn.XLOOKUP(fSales[[#This Row],[SalesRepID]],dPSalesRep[SalesRepID],dPSalesRep[SalesRep])</f>
        <v>Shihara Fazzaa</v>
      </c>
      <c r="O776" t="str">
        <f>_xlfn.XLOOKUP(fSales[[#This Row],[SalesRepID]],dPSalesRep[SalesRepID],dPSalesRep[Region])</f>
        <v>East</v>
      </c>
      <c r="P776" t="str">
        <f>_xlfn.XLOOKUP(fSales[[#This Row],[ProductID]],dProduct[ProductID],dProduct[Product])</f>
        <v>Orange</v>
      </c>
      <c r="Q776">
        <f>_xlfn.XLOOKUP(fSales[[#This Row],[ProductID]],dProduct[ProductID],dProduct[CratePrice])-_xlfn.XLOOKUP(fSales[[#This Row],[ProductID]],dProduct[ProductID],dProduct[CrateCost])</f>
        <v>12.495000000000001</v>
      </c>
      <c r="R776">
        <f>_xlfn.XLOOKUP(fSales[[#This Row],[ProductID]],dProduct[ProductID],dProduct[CratePrice])</f>
        <v>29.75</v>
      </c>
      <c r="S776">
        <f>_xlfn.XLOOKUP(fSales[[#This Row],[ProductID]],dProduct[ProductID],dProduct[CrateCost])</f>
        <v>17.254999999999999</v>
      </c>
    </row>
    <row r="777" spans="7:19" x14ac:dyDescent="0.25">
      <c r="G777" s="2">
        <v>45833</v>
      </c>
      <c r="H777">
        <v>264</v>
      </c>
      <c r="I777" t="s">
        <v>28</v>
      </c>
      <c r="J777" t="s">
        <v>22</v>
      </c>
      <c r="K777">
        <f>_xlfn.XLOOKUP(fSales[[#This Row],[ProductID]],dProduct[ProductID],dProduct[CratePrice])*fSales[[#This Row],[Units]]</f>
        <v>11536.800000000001</v>
      </c>
      <c r="L777">
        <f>fSales[[#This Row],[Total sales]]-_xlfn.XLOOKUP(fSales[[#This Row],[ProductID]],dProduct[ProductID],dProduct[CrateCost])*fSales[[#This Row],[Units]]</f>
        <v>4845.456000000001</v>
      </c>
      <c r="M777">
        <f>(_xlfn.XLOOKUP(fSales[[#This Row],[ProductID]],dProduct[ProductID],dProduct[CratePrice])-_xlfn.XLOOKUP(fSales[[#This Row],[ProductID]],dProduct[ProductID],dProduct[CrateCost]))/_xlfn.XLOOKUP(fSales[[#This Row],[ProductID]],dProduct[ProductID],dProduct[CratePrice])</f>
        <v>0.42000000000000004</v>
      </c>
      <c r="N777" t="str">
        <f>_xlfn.XLOOKUP(fSales[[#This Row],[SalesRepID]],dPSalesRep[SalesRepID],dPSalesRep[SalesRep])</f>
        <v>Timmy Kips</v>
      </c>
      <c r="O777" t="str">
        <f>_xlfn.XLOOKUP(fSales[[#This Row],[SalesRepID]],dPSalesRep[SalesRepID],dPSalesRep[Region])</f>
        <v>East</v>
      </c>
      <c r="P777" t="str">
        <f>_xlfn.XLOOKUP(fSales[[#This Row],[ProductID]],dProduct[ProductID],dProduct[Product])</f>
        <v>Cherry</v>
      </c>
      <c r="Q777">
        <f>_xlfn.XLOOKUP(fSales[[#This Row],[ProductID]],dProduct[ProductID],dProduct[CratePrice])-_xlfn.XLOOKUP(fSales[[#This Row],[ProductID]],dProduct[ProductID],dProduct[CrateCost])</f>
        <v>18.354000000000003</v>
      </c>
      <c r="R777">
        <f>_xlfn.XLOOKUP(fSales[[#This Row],[ProductID]],dProduct[ProductID],dProduct[CratePrice])</f>
        <v>43.7</v>
      </c>
      <c r="S777">
        <f>_xlfn.XLOOKUP(fSales[[#This Row],[ProductID]],dProduct[ProductID],dProduct[CrateCost])</f>
        <v>25.346</v>
      </c>
    </row>
    <row r="778" spans="7:19" x14ac:dyDescent="0.25">
      <c r="G778" s="2">
        <v>45833</v>
      </c>
      <c r="H778">
        <v>240</v>
      </c>
      <c r="I778" t="s">
        <v>21</v>
      </c>
      <c r="J778" t="s">
        <v>32</v>
      </c>
      <c r="K778">
        <f>_xlfn.XLOOKUP(fSales[[#This Row],[ProductID]],dProduct[ProductID],dProduct[CratePrice])*fSales[[#This Row],[Units]]</f>
        <v>5400</v>
      </c>
      <c r="L778">
        <f>fSales[[#This Row],[Total sales]]-_xlfn.XLOOKUP(fSales[[#This Row],[ProductID]],dProduct[ProductID],dProduct[CrateCost])*fSales[[#This Row],[Units]]</f>
        <v>2375.9999999999995</v>
      </c>
      <c r="M778">
        <f>(_xlfn.XLOOKUP(fSales[[#This Row],[ProductID]],dProduct[ProductID],dProduct[CratePrice])-_xlfn.XLOOKUP(fSales[[#This Row],[ProductID]],dProduct[ProductID],dProduct[CrateCost]))/_xlfn.XLOOKUP(fSales[[#This Row],[ProductID]],dProduct[ProductID],dProduct[CratePrice])</f>
        <v>0.43999999999999995</v>
      </c>
      <c r="N778" t="str">
        <f>_xlfn.XLOOKUP(fSales[[#This Row],[SalesRepID]],dPSalesRep[SalesRepID],dPSalesRep[SalesRep])</f>
        <v>Shihara Fazzaa</v>
      </c>
      <c r="O778" t="str">
        <f>_xlfn.XLOOKUP(fSales[[#This Row],[SalesRepID]],dPSalesRep[SalesRepID],dPSalesRep[Region])</f>
        <v>East</v>
      </c>
      <c r="P778" t="str">
        <f>_xlfn.XLOOKUP(fSales[[#This Row],[ProductID]],dProduct[ProductID],dProduct[Product])</f>
        <v>Kiwi</v>
      </c>
      <c r="Q778">
        <f>_xlfn.XLOOKUP(fSales[[#This Row],[ProductID]],dProduct[ProductID],dProduct[CratePrice])-_xlfn.XLOOKUP(fSales[[#This Row],[ProductID]],dProduct[ProductID],dProduct[CrateCost])</f>
        <v>9.8999999999999986</v>
      </c>
      <c r="R778">
        <f>_xlfn.XLOOKUP(fSales[[#This Row],[ProductID]],dProduct[ProductID],dProduct[CratePrice])</f>
        <v>22.5</v>
      </c>
      <c r="S778">
        <f>_xlfn.XLOOKUP(fSales[[#This Row],[ProductID]],dProduct[ProductID],dProduct[CrateCost])</f>
        <v>12.600000000000001</v>
      </c>
    </row>
    <row r="779" spans="7:19" x14ac:dyDescent="0.25">
      <c r="G779" s="2">
        <v>45834</v>
      </c>
      <c r="H779">
        <v>168</v>
      </c>
      <c r="I779" t="s">
        <v>28</v>
      </c>
      <c r="J779" t="s">
        <v>22</v>
      </c>
      <c r="K779">
        <f>_xlfn.XLOOKUP(fSales[[#This Row],[ProductID]],dProduct[ProductID],dProduct[CratePrice])*fSales[[#This Row],[Units]]</f>
        <v>7341.6</v>
      </c>
      <c r="L779">
        <f>fSales[[#This Row],[Total sales]]-_xlfn.XLOOKUP(fSales[[#This Row],[ProductID]],dProduct[ProductID],dProduct[CrateCost])*fSales[[#This Row],[Units]]</f>
        <v>3083.4720000000007</v>
      </c>
      <c r="M779">
        <f>(_xlfn.XLOOKUP(fSales[[#This Row],[ProductID]],dProduct[ProductID],dProduct[CratePrice])-_xlfn.XLOOKUP(fSales[[#This Row],[ProductID]],dProduct[ProductID],dProduct[CrateCost]))/_xlfn.XLOOKUP(fSales[[#This Row],[ProductID]],dProduct[ProductID],dProduct[CratePrice])</f>
        <v>0.42000000000000004</v>
      </c>
      <c r="N779" t="str">
        <f>_xlfn.XLOOKUP(fSales[[#This Row],[SalesRepID]],dPSalesRep[SalesRepID],dPSalesRep[SalesRep])</f>
        <v>Timmy Kips</v>
      </c>
      <c r="O779" t="str">
        <f>_xlfn.XLOOKUP(fSales[[#This Row],[SalesRepID]],dPSalesRep[SalesRepID],dPSalesRep[Region])</f>
        <v>East</v>
      </c>
      <c r="P779" t="str">
        <f>_xlfn.XLOOKUP(fSales[[#This Row],[ProductID]],dProduct[ProductID],dProduct[Product])</f>
        <v>Cherry</v>
      </c>
      <c r="Q779">
        <f>_xlfn.XLOOKUP(fSales[[#This Row],[ProductID]],dProduct[ProductID],dProduct[CratePrice])-_xlfn.XLOOKUP(fSales[[#This Row],[ProductID]],dProduct[ProductID],dProduct[CrateCost])</f>
        <v>18.354000000000003</v>
      </c>
      <c r="R779">
        <f>_xlfn.XLOOKUP(fSales[[#This Row],[ProductID]],dProduct[ProductID],dProduct[CratePrice])</f>
        <v>43.7</v>
      </c>
      <c r="S779">
        <f>_xlfn.XLOOKUP(fSales[[#This Row],[ProductID]],dProduct[ProductID],dProduct[CrateCost])</f>
        <v>25.346</v>
      </c>
    </row>
    <row r="780" spans="7:19" x14ac:dyDescent="0.25">
      <c r="G780" s="2">
        <v>45834</v>
      </c>
      <c r="H780">
        <v>240</v>
      </c>
      <c r="I780" t="s">
        <v>34</v>
      </c>
      <c r="J780" t="s">
        <v>52</v>
      </c>
      <c r="K780">
        <f>_xlfn.XLOOKUP(fSales[[#This Row],[ProductID]],dProduct[ProductID],dProduct[CratePrice])*fSales[[#This Row],[Units]]</f>
        <v>4200</v>
      </c>
      <c r="L780">
        <f>fSales[[#This Row],[Total sales]]-_xlfn.XLOOKUP(fSales[[#This Row],[ProductID]],dProduct[ProductID],dProduct[CrateCost])*fSales[[#This Row],[Units]]</f>
        <v>1385.9999999999995</v>
      </c>
      <c r="M780">
        <f>(_xlfn.XLOOKUP(fSales[[#This Row],[ProductID]],dProduct[ProductID],dProduct[CratePrice])-_xlfn.XLOOKUP(fSales[[#This Row],[ProductID]],dProduct[ProductID],dProduct[CrateCost]))/_xlfn.XLOOKUP(fSales[[#This Row],[ProductID]],dProduct[ProductID],dProduct[CratePrice])</f>
        <v>0.3299999999999999</v>
      </c>
      <c r="N780" t="str">
        <f>_xlfn.XLOOKUP(fSales[[#This Row],[SalesRepID]],dPSalesRep[SalesRepID],dPSalesRep[SalesRep])</f>
        <v>Smitty Rad</v>
      </c>
      <c r="O780" t="str">
        <f>_xlfn.XLOOKUP(fSales[[#This Row],[SalesRepID]],dPSalesRep[SalesRepID],dPSalesRep[Region])</f>
        <v>MidWest</v>
      </c>
      <c r="P780" t="str">
        <f>_xlfn.XLOOKUP(fSales[[#This Row],[ProductID]],dProduct[ProductID],dProduct[Product])</f>
        <v>Banana</v>
      </c>
      <c r="Q780">
        <f>_xlfn.XLOOKUP(fSales[[#This Row],[ProductID]],dProduct[ProductID],dProduct[CratePrice])-_xlfn.XLOOKUP(fSales[[#This Row],[ProductID]],dProduct[ProductID],dProduct[CrateCost])</f>
        <v>5.7749999999999986</v>
      </c>
      <c r="R780">
        <f>_xlfn.XLOOKUP(fSales[[#This Row],[ProductID]],dProduct[ProductID],dProduct[CratePrice])</f>
        <v>17.5</v>
      </c>
      <c r="S780">
        <f>_xlfn.XLOOKUP(fSales[[#This Row],[ProductID]],dProduct[ProductID],dProduct[CrateCost])</f>
        <v>11.725000000000001</v>
      </c>
    </row>
    <row r="781" spans="7:19" x14ac:dyDescent="0.25">
      <c r="G781" s="2">
        <v>45835</v>
      </c>
      <c r="H781">
        <v>300</v>
      </c>
      <c r="I781" t="s">
        <v>21</v>
      </c>
      <c r="J781" t="s">
        <v>22</v>
      </c>
      <c r="K781">
        <f>_xlfn.XLOOKUP(fSales[[#This Row],[ProductID]],dProduct[ProductID],dProduct[CratePrice])*fSales[[#This Row],[Units]]</f>
        <v>6750</v>
      </c>
      <c r="L781">
        <f>fSales[[#This Row],[Total sales]]-_xlfn.XLOOKUP(fSales[[#This Row],[ProductID]],dProduct[ProductID],dProduct[CrateCost])*fSales[[#This Row],[Units]]</f>
        <v>2969.9999999999995</v>
      </c>
      <c r="M781">
        <f>(_xlfn.XLOOKUP(fSales[[#This Row],[ProductID]],dProduct[ProductID],dProduct[CratePrice])-_xlfn.XLOOKUP(fSales[[#This Row],[ProductID]],dProduct[ProductID],dProduct[CrateCost]))/_xlfn.XLOOKUP(fSales[[#This Row],[ProductID]],dProduct[ProductID],dProduct[CratePrice])</f>
        <v>0.43999999999999995</v>
      </c>
      <c r="N781" t="str">
        <f>_xlfn.XLOOKUP(fSales[[#This Row],[SalesRepID]],dPSalesRep[SalesRepID],dPSalesRep[SalesRep])</f>
        <v>Timmy Kips</v>
      </c>
      <c r="O781" t="str">
        <f>_xlfn.XLOOKUP(fSales[[#This Row],[SalesRepID]],dPSalesRep[SalesRepID],dPSalesRep[Region])</f>
        <v>East</v>
      </c>
      <c r="P781" t="str">
        <f>_xlfn.XLOOKUP(fSales[[#This Row],[ProductID]],dProduct[ProductID],dProduct[Product])</f>
        <v>Kiwi</v>
      </c>
      <c r="Q781">
        <f>_xlfn.XLOOKUP(fSales[[#This Row],[ProductID]],dProduct[ProductID],dProduct[CratePrice])-_xlfn.XLOOKUP(fSales[[#This Row],[ProductID]],dProduct[ProductID],dProduct[CrateCost])</f>
        <v>9.8999999999999986</v>
      </c>
      <c r="R781">
        <f>_xlfn.XLOOKUP(fSales[[#This Row],[ProductID]],dProduct[ProductID],dProduct[CratePrice])</f>
        <v>22.5</v>
      </c>
      <c r="S781">
        <f>_xlfn.XLOOKUP(fSales[[#This Row],[ProductID]],dProduct[ProductID],dProduct[CrateCost])</f>
        <v>12.600000000000001</v>
      </c>
    </row>
    <row r="782" spans="7:19" x14ac:dyDescent="0.25">
      <c r="G782" s="2">
        <v>45836</v>
      </c>
      <c r="H782">
        <v>216</v>
      </c>
      <c r="I782" t="s">
        <v>34</v>
      </c>
      <c r="J782" t="s">
        <v>22</v>
      </c>
      <c r="K782">
        <f>_xlfn.XLOOKUP(fSales[[#This Row],[ProductID]],dProduct[ProductID],dProduct[CratePrice])*fSales[[#This Row],[Units]]</f>
        <v>3780</v>
      </c>
      <c r="L782">
        <f>fSales[[#This Row],[Total sales]]-_xlfn.XLOOKUP(fSales[[#This Row],[ProductID]],dProduct[ProductID],dProduct[CrateCost])*fSales[[#This Row],[Units]]</f>
        <v>1247.3999999999996</v>
      </c>
      <c r="M782">
        <f>(_xlfn.XLOOKUP(fSales[[#This Row],[ProductID]],dProduct[ProductID],dProduct[CratePrice])-_xlfn.XLOOKUP(fSales[[#This Row],[ProductID]],dProduct[ProductID],dProduct[CrateCost]))/_xlfn.XLOOKUP(fSales[[#This Row],[ProductID]],dProduct[ProductID],dProduct[CratePrice])</f>
        <v>0.3299999999999999</v>
      </c>
      <c r="N782" t="str">
        <f>_xlfn.XLOOKUP(fSales[[#This Row],[SalesRepID]],dPSalesRep[SalesRepID],dPSalesRep[SalesRep])</f>
        <v>Timmy Kips</v>
      </c>
      <c r="O782" t="str">
        <f>_xlfn.XLOOKUP(fSales[[#This Row],[SalesRepID]],dPSalesRep[SalesRepID],dPSalesRep[Region])</f>
        <v>East</v>
      </c>
      <c r="P782" t="str">
        <f>_xlfn.XLOOKUP(fSales[[#This Row],[ProductID]],dProduct[ProductID],dProduct[Product])</f>
        <v>Banana</v>
      </c>
      <c r="Q782">
        <f>_xlfn.XLOOKUP(fSales[[#This Row],[ProductID]],dProduct[ProductID],dProduct[CratePrice])-_xlfn.XLOOKUP(fSales[[#This Row],[ProductID]],dProduct[ProductID],dProduct[CrateCost])</f>
        <v>5.7749999999999986</v>
      </c>
      <c r="R782">
        <f>_xlfn.XLOOKUP(fSales[[#This Row],[ProductID]],dProduct[ProductID],dProduct[CratePrice])</f>
        <v>17.5</v>
      </c>
      <c r="S782">
        <f>_xlfn.XLOOKUP(fSales[[#This Row],[ProductID]],dProduct[ProductID],dProduct[CrateCost])</f>
        <v>11.725000000000001</v>
      </c>
    </row>
    <row r="783" spans="7:19" x14ac:dyDescent="0.25">
      <c r="G783" s="2">
        <v>45836</v>
      </c>
      <c r="H783">
        <v>192</v>
      </c>
      <c r="I783" t="s">
        <v>21</v>
      </c>
      <c r="J783" t="s">
        <v>37</v>
      </c>
      <c r="K783">
        <f>_xlfn.XLOOKUP(fSales[[#This Row],[ProductID]],dProduct[ProductID],dProduct[CratePrice])*fSales[[#This Row],[Units]]</f>
        <v>4320</v>
      </c>
      <c r="L783">
        <f>fSales[[#This Row],[Total sales]]-_xlfn.XLOOKUP(fSales[[#This Row],[ProductID]],dProduct[ProductID],dProduct[CrateCost])*fSales[[#This Row],[Units]]</f>
        <v>1900.7999999999997</v>
      </c>
      <c r="M783">
        <f>(_xlfn.XLOOKUP(fSales[[#This Row],[ProductID]],dProduct[ProductID],dProduct[CratePrice])-_xlfn.XLOOKUP(fSales[[#This Row],[ProductID]],dProduct[ProductID],dProduct[CrateCost]))/_xlfn.XLOOKUP(fSales[[#This Row],[ProductID]],dProduct[ProductID],dProduct[CratePrice])</f>
        <v>0.43999999999999995</v>
      </c>
      <c r="N783" t="str">
        <f>_xlfn.XLOOKUP(fSales[[#This Row],[SalesRepID]],dPSalesRep[SalesRepID],dPSalesRep[SalesRep])</f>
        <v>Chantel Mims</v>
      </c>
      <c r="O783" t="str">
        <f>_xlfn.XLOOKUP(fSales[[#This Row],[SalesRepID]],dPSalesRep[SalesRepID],dPSalesRep[Region])</f>
        <v>NW</v>
      </c>
      <c r="P783" t="str">
        <f>_xlfn.XLOOKUP(fSales[[#This Row],[ProductID]],dProduct[ProductID],dProduct[Product])</f>
        <v>Kiwi</v>
      </c>
      <c r="Q783">
        <f>_xlfn.XLOOKUP(fSales[[#This Row],[ProductID]],dProduct[ProductID],dProduct[CratePrice])-_xlfn.XLOOKUP(fSales[[#This Row],[ProductID]],dProduct[ProductID],dProduct[CrateCost])</f>
        <v>9.8999999999999986</v>
      </c>
      <c r="R783">
        <f>_xlfn.XLOOKUP(fSales[[#This Row],[ProductID]],dProduct[ProductID],dProduct[CratePrice])</f>
        <v>22.5</v>
      </c>
      <c r="S783">
        <f>_xlfn.XLOOKUP(fSales[[#This Row],[ProductID]],dProduct[ProductID],dProduct[CrateCost])</f>
        <v>12.600000000000001</v>
      </c>
    </row>
    <row r="784" spans="7:19" x14ac:dyDescent="0.25">
      <c r="G784" s="2">
        <v>45836</v>
      </c>
      <c r="H784">
        <v>48</v>
      </c>
      <c r="I784" t="s">
        <v>26</v>
      </c>
      <c r="J784" t="s">
        <v>29</v>
      </c>
      <c r="K784">
        <f>_xlfn.XLOOKUP(fSales[[#This Row],[ProductID]],dProduct[ProductID],dProduct[CratePrice])*fSales[[#This Row],[Units]]</f>
        <v>1428</v>
      </c>
      <c r="L784">
        <f>fSales[[#This Row],[Total sales]]-_xlfn.XLOOKUP(fSales[[#This Row],[ProductID]],dProduct[ProductID],dProduct[CrateCost])*fSales[[#This Row],[Units]]</f>
        <v>599.76</v>
      </c>
      <c r="M784">
        <f>(_xlfn.XLOOKUP(fSales[[#This Row],[ProductID]],dProduct[ProductID],dProduct[CratePrice])-_xlfn.XLOOKUP(fSales[[#This Row],[ProductID]],dProduct[ProductID],dProduct[CrateCost]))/_xlfn.XLOOKUP(fSales[[#This Row],[ProductID]],dProduct[ProductID],dProduct[CratePrice])</f>
        <v>0.42000000000000004</v>
      </c>
      <c r="N784" t="str">
        <f>_xlfn.XLOOKUP(fSales[[#This Row],[SalesRepID]],dPSalesRep[SalesRepID],dPSalesRep[SalesRep])</f>
        <v>Sioux Best</v>
      </c>
      <c r="O784" t="str">
        <f>_xlfn.XLOOKUP(fSales[[#This Row],[SalesRepID]],dPSalesRep[SalesRepID],dPSalesRep[Region])</f>
        <v>West</v>
      </c>
      <c r="P784" t="str">
        <f>_xlfn.XLOOKUP(fSales[[#This Row],[ProductID]],dProduct[ProductID],dProduct[Product])</f>
        <v>Orange</v>
      </c>
      <c r="Q784">
        <f>_xlfn.XLOOKUP(fSales[[#This Row],[ProductID]],dProduct[ProductID],dProduct[CratePrice])-_xlfn.XLOOKUP(fSales[[#This Row],[ProductID]],dProduct[ProductID],dProduct[CrateCost])</f>
        <v>12.495000000000001</v>
      </c>
      <c r="R784">
        <f>_xlfn.XLOOKUP(fSales[[#This Row],[ProductID]],dProduct[ProductID],dProduct[CratePrice])</f>
        <v>29.75</v>
      </c>
      <c r="S784">
        <f>_xlfn.XLOOKUP(fSales[[#This Row],[ProductID]],dProduct[ProductID],dProduct[CrateCost])</f>
        <v>17.254999999999999</v>
      </c>
    </row>
    <row r="785" spans="7:19" x14ac:dyDescent="0.25">
      <c r="G785" s="2">
        <v>45837</v>
      </c>
      <c r="H785">
        <v>60</v>
      </c>
      <c r="I785" t="s">
        <v>26</v>
      </c>
      <c r="J785" t="s">
        <v>52</v>
      </c>
      <c r="K785">
        <f>_xlfn.XLOOKUP(fSales[[#This Row],[ProductID]],dProduct[ProductID],dProduct[CratePrice])*fSales[[#This Row],[Units]]</f>
        <v>1785</v>
      </c>
      <c r="L785">
        <f>fSales[[#This Row],[Total sales]]-_xlfn.XLOOKUP(fSales[[#This Row],[ProductID]],dProduct[ProductID],dProduct[CrateCost])*fSales[[#This Row],[Units]]</f>
        <v>749.7</v>
      </c>
      <c r="M785">
        <f>(_xlfn.XLOOKUP(fSales[[#This Row],[ProductID]],dProduct[ProductID],dProduct[CratePrice])-_xlfn.XLOOKUP(fSales[[#This Row],[ProductID]],dProduct[ProductID],dProduct[CrateCost]))/_xlfn.XLOOKUP(fSales[[#This Row],[ProductID]],dProduct[ProductID],dProduct[CratePrice])</f>
        <v>0.42000000000000004</v>
      </c>
      <c r="N785" t="str">
        <f>_xlfn.XLOOKUP(fSales[[#This Row],[SalesRepID]],dPSalesRep[SalesRepID],dPSalesRep[SalesRep])</f>
        <v>Smitty Rad</v>
      </c>
      <c r="O785" t="str">
        <f>_xlfn.XLOOKUP(fSales[[#This Row],[SalesRepID]],dPSalesRep[SalesRepID],dPSalesRep[Region])</f>
        <v>MidWest</v>
      </c>
      <c r="P785" t="str">
        <f>_xlfn.XLOOKUP(fSales[[#This Row],[ProductID]],dProduct[ProductID],dProduct[Product])</f>
        <v>Orange</v>
      </c>
      <c r="Q785">
        <f>_xlfn.XLOOKUP(fSales[[#This Row],[ProductID]],dProduct[ProductID],dProduct[CratePrice])-_xlfn.XLOOKUP(fSales[[#This Row],[ProductID]],dProduct[ProductID],dProduct[CrateCost])</f>
        <v>12.495000000000001</v>
      </c>
      <c r="R785">
        <f>_xlfn.XLOOKUP(fSales[[#This Row],[ProductID]],dProduct[ProductID],dProduct[CratePrice])</f>
        <v>29.75</v>
      </c>
      <c r="S785">
        <f>_xlfn.XLOOKUP(fSales[[#This Row],[ProductID]],dProduct[ProductID],dProduct[CrateCost])</f>
        <v>17.254999999999999</v>
      </c>
    </row>
    <row r="786" spans="7:19" x14ac:dyDescent="0.25">
      <c r="G786" s="2">
        <v>45839</v>
      </c>
      <c r="H786">
        <v>228</v>
      </c>
      <c r="I786" t="s">
        <v>26</v>
      </c>
      <c r="J786" t="s">
        <v>32</v>
      </c>
      <c r="K786">
        <f>_xlfn.XLOOKUP(fSales[[#This Row],[ProductID]],dProduct[ProductID],dProduct[CratePrice])*fSales[[#This Row],[Units]]</f>
        <v>6783</v>
      </c>
      <c r="L786">
        <f>fSales[[#This Row],[Total sales]]-_xlfn.XLOOKUP(fSales[[#This Row],[ProductID]],dProduct[ProductID],dProduct[CrateCost])*fSales[[#This Row],[Units]]</f>
        <v>2848.86</v>
      </c>
      <c r="M786">
        <f>(_xlfn.XLOOKUP(fSales[[#This Row],[ProductID]],dProduct[ProductID],dProduct[CratePrice])-_xlfn.XLOOKUP(fSales[[#This Row],[ProductID]],dProduct[ProductID],dProduct[CrateCost]))/_xlfn.XLOOKUP(fSales[[#This Row],[ProductID]],dProduct[ProductID],dProduct[CratePrice])</f>
        <v>0.42000000000000004</v>
      </c>
      <c r="N786" t="str">
        <f>_xlfn.XLOOKUP(fSales[[#This Row],[SalesRepID]],dPSalesRep[SalesRepID],dPSalesRep[SalesRep])</f>
        <v>Shihara Fazzaa</v>
      </c>
      <c r="O786" t="str">
        <f>_xlfn.XLOOKUP(fSales[[#This Row],[SalesRepID]],dPSalesRep[SalesRepID],dPSalesRep[Region])</f>
        <v>East</v>
      </c>
      <c r="P786" t="str">
        <f>_xlfn.XLOOKUP(fSales[[#This Row],[ProductID]],dProduct[ProductID],dProduct[Product])</f>
        <v>Orange</v>
      </c>
      <c r="Q786">
        <f>_xlfn.XLOOKUP(fSales[[#This Row],[ProductID]],dProduct[ProductID],dProduct[CratePrice])-_xlfn.XLOOKUP(fSales[[#This Row],[ProductID]],dProduct[ProductID],dProduct[CrateCost])</f>
        <v>12.495000000000001</v>
      </c>
      <c r="R786">
        <f>_xlfn.XLOOKUP(fSales[[#This Row],[ProductID]],dProduct[ProductID],dProduct[CratePrice])</f>
        <v>29.75</v>
      </c>
      <c r="S786">
        <f>_xlfn.XLOOKUP(fSales[[#This Row],[ProductID]],dProduct[ProductID],dProduct[CrateCost])</f>
        <v>17.254999999999999</v>
      </c>
    </row>
    <row r="787" spans="7:19" x14ac:dyDescent="0.25">
      <c r="G787" s="2">
        <v>45839</v>
      </c>
      <c r="H787">
        <v>288</v>
      </c>
      <c r="I787" t="s">
        <v>19</v>
      </c>
      <c r="J787" t="s">
        <v>22</v>
      </c>
      <c r="K787">
        <f>_xlfn.XLOOKUP(fSales[[#This Row],[ProductID]],dProduct[ProductID],dProduct[CratePrice])*fSales[[#This Row],[Units]]</f>
        <v>10080</v>
      </c>
      <c r="L787">
        <f>fSales[[#This Row],[Total sales]]-_xlfn.XLOOKUP(fSales[[#This Row],[ProductID]],dProduct[ProductID],dProduct[CrateCost])*fSales[[#This Row],[Units]]</f>
        <v>5644.8</v>
      </c>
      <c r="M787">
        <f>(_xlfn.XLOOKUP(fSales[[#This Row],[ProductID]],dProduct[ProductID],dProduct[CratePrice])-_xlfn.XLOOKUP(fSales[[#This Row],[ProductID]],dProduct[ProductID],dProduct[CrateCost]))/_xlfn.XLOOKUP(fSales[[#This Row],[ProductID]],dProduct[ProductID],dProduct[CratePrice])</f>
        <v>0.56000000000000005</v>
      </c>
      <c r="N787" t="str">
        <f>_xlfn.XLOOKUP(fSales[[#This Row],[SalesRepID]],dPSalesRep[SalesRepID],dPSalesRep[SalesRep])</f>
        <v>Timmy Kips</v>
      </c>
      <c r="O787" t="str">
        <f>_xlfn.XLOOKUP(fSales[[#This Row],[SalesRepID]],dPSalesRep[SalesRepID],dPSalesRep[Region])</f>
        <v>East</v>
      </c>
      <c r="P787" t="str">
        <f>_xlfn.XLOOKUP(fSales[[#This Row],[ProductID]],dProduct[ProductID],dProduct[Product])</f>
        <v>Apple</v>
      </c>
      <c r="Q787">
        <f>_xlfn.XLOOKUP(fSales[[#This Row],[ProductID]],dProduct[ProductID],dProduct[CratePrice])-_xlfn.XLOOKUP(fSales[[#This Row],[ProductID]],dProduct[ProductID],dProduct[CrateCost])</f>
        <v>19.600000000000001</v>
      </c>
      <c r="R787">
        <f>_xlfn.XLOOKUP(fSales[[#This Row],[ProductID]],dProduct[ProductID],dProduct[CratePrice])</f>
        <v>35</v>
      </c>
      <c r="S787">
        <f>_xlfn.XLOOKUP(fSales[[#This Row],[ProductID]],dProduct[ProductID],dProduct[CrateCost])</f>
        <v>15.4</v>
      </c>
    </row>
    <row r="788" spans="7:19" x14ac:dyDescent="0.25">
      <c r="G788" s="2">
        <v>45840</v>
      </c>
      <c r="H788">
        <v>228</v>
      </c>
      <c r="I788" t="s">
        <v>34</v>
      </c>
      <c r="J788" t="s">
        <v>52</v>
      </c>
      <c r="K788">
        <f>_xlfn.XLOOKUP(fSales[[#This Row],[ProductID]],dProduct[ProductID],dProduct[CratePrice])*fSales[[#This Row],[Units]]</f>
        <v>3990</v>
      </c>
      <c r="L788">
        <f>fSales[[#This Row],[Total sales]]-_xlfn.XLOOKUP(fSales[[#This Row],[ProductID]],dProduct[ProductID],dProduct[CrateCost])*fSales[[#This Row],[Units]]</f>
        <v>1316.6999999999998</v>
      </c>
      <c r="M788">
        <f>(_xlfn.XLOOKUP(fSales[[#This Row],[ProductID]],dProduct[ProductID],dProduct[CratePrice])-_xlfn.XLOOKUP(fSales[[#This Row],[ProductID]],dProduct[ProductID],dProduct[CrateCost]))/_xlfn.XLOOKUP(fSales[[#This Row],[ProductID]],dProduct[ProductID],dProduct[CratePrice])</f>
        <v>0.3299999999999999</v>
      </c>
      <c r="N788" t="str">
        <f>_xlfn.XLOOKUP(fSales[[#This Row],[SalesRepID]],dPSalesRep[SalesRepID],dPSalesRep[SalesRep])</f>
        <v>Smitty Rad</v>
      </c>
      <c r="O788" t="str">
        <f>_xlfn.XLOOKUP(fSales[[#This Row],[SalesRepID]],dPSalesRep[SalesRepID],dPSalesRep[Region])</f>
        <v>MidWest</v>
      </c>
      <c r="P788" t="str">
        <f>_xlfn.XLOOKUP(fSales[[#This Row],[ProductID]],dProduct[ProductID],dProduct[Product])</f>
        <v>Banana</v>
      </c>
      <c r="Q788">
        <f>_xlfn.XLOOKUP(fSales[[#This Row],[ProductID]],dProduct[ProductID],dProduct[CratePrice])-_xlfn.XLOOKUP(fSales[[#This Row],[ProductID]],dProduct[ProductID],dProduct[CrateCost])</f>
        <v>5.7749999999999986</v>
      </c>
      <c r="R788">
        <f>_xlfn.XLOOKUP(fSales[[#This Row],[ProductID]],dProduct[ProductID],dProduct[CratePrice])</f>
        <v>17.5</v>
      </c>
      <c r="S788">
        <f>_xlfn.XLOOKUP(fSales[[#This Row],[ProductID]],dProduct[ProductID],dProduct[CrateCost])</f>
        <v>11.725000000000001</v>
      </c>
    </row>
    <row r="789" spans="7:19" x14ac:dyDescent="0.25">
      <c r="G789" s="2">
        <v>45840</v>
      </c>
      <c r="H789">
        <v>36</v>
      </c>
      <c r="I789" t="s">
        <v>19</v>
      </c>
      <c r="J789" t="s">
        <v>29</v>
      </c>
      <c r="K789">
        <f>_xlfn.XLOOKUP(fSales[[#This Row],[ProductID]],dProduct[ProductID],dProduct[CratePrice])*fSales[[#This Row],[Units]]</f>
        <v>1260</v>
      </c>
      <c r="L789">
        <f>fSales[[#This Row],[Total sales]]-_xlfn.XLOOKUP(fSales[[#This Row],[ProductID]],dProduct[ProductID],dProduct[CrateCost])*fSales[[#This Row],[Units]]</f>
        <v>705.6</v>
      </c>
      <c r="M789">
        <f>(_xlfn.XLOOKUP(fSales[[#This Row],[ProductID]],dProduct[ProductID],dProduct[CratePrice])-_xlfn.XLOOKUP(fSales[[#This Row],[ProductID]],dProduct[ProductID],dProduct[CrateCost]))/_xlfn.XLOOKUP(fSales[[#This Row],[ProductID]],dProduct[ProductID],dProduct[CratePrice])</f>
        <v>0.56000000000000005</v>
      </c>
      <c r="N789" t="str">
        <f>_xlfn.XLOOKUP(fSales[[#This Row],[SalesRepID]],dPSalesRep[SalesRepID],dPSalesRep[SalesRep])</f>
        <v>Sioux Best</v>
      </c>
      <c r="O789" t="str">
        <f>_xlfn.XLOOKUP(fSales[[#This Row],[SalesRepID]],dPSalesRep[SalesRepID],dPSalesRep[Region])</f>
        <v>West</v>
      </c>
      <c r="P789" t="str">
        <f>_xlfn.XLOOKUP(fSales[[#This Row],[ProductID]],dProduct[ProductID],dProduct[Product])</f>
        <v>Apple</v>
      </c>
      <c r="Q789">
        <f>_xlfn.XLOOKUP(fSales[[#This Row],[ProductID]],dProduct[ProductID],dProduct[CratePrice])-_xlfn.XLOOKUP(fSales[[#This Row],[ProductID]],dProduct[ProductID],dProduct[CrateCost])</f>
        <v>19.600000000000001</v>
      </c>
      <c r="R789">
        <f>_xlfn.XLOOKUP(fSales[[#This Row],[ProductID]],dProduct[ProductID],dProduct[CratePrice])</f>
        <v>35</v>
      </c>
      <c r="S789">
        <f>_xlfn.XLOOKUP(fSales[[#This Row],[ProductID]],dProduct[ProductID],dProduct[CrateCost])</f>
        <v>15.4</v>
      </c>
    </row>
    <row r="790" spans="7:19" x14ac:dyDescent="0.25">
      <c r="G790" s="2">
        <v>45840</v>
      </c>
      <c r="H790">
        <v>108</v>
      </c>
      <c r="I790" t="s">
        <v>26</v>
      </c>
      <c r="J790" t="s">
        <v>32</v>
      </c>
      <c r="K790">
        <f>_xlfn.XLOOKUP(fSales[[#This Row],[ProductID]],dProduct[ProductID],dProduct[CratePrice])*fSales[[#This Row],[Units]]</f>
        <v>3213</v>
      </c>
      <c r="L790">
        <f>fSales[[#This Row],[Total sales]]-_xlfn.XLOOKUP(fSales[[#This Row],[ProductID]],dProduct[ProductID],dProduct[CrateCost])*fSales[[#This Row],[Units]]</f>
        <v>1349.46</v>
      </c>
      <c r="M790">
        <f>(_xlfn.XLOOKUP(fSales[[#This Row],[ProductID]],dProduct[ProductID],dProduct[CratePrice])-_xlfn.XLOOKUP(fSales[[#This Row],[ProductID]],dProduct[ProductID],dProduct[CrateCost]))/_xlfn.XLOOKUP(fSales[[#This Row],[ProductID]],dProduct[ProductID],dProduct[CratePrice])</f>
        <v>0.42000000000000004</v>
      </c>
      <c r="N790" t="str">
        <f>_xlfn.XLOOKUP(fSales[[#This Row],[SalesRepID]],dPSalesRep[SalesRepID],dPSalesRep[SalesRep])</f>
        <v>Shihara Fazzaa</v>
      </c>
      <c r="O790" t="str">
        <f>_xlfn.XLOOKUP(fSales[[#This Row],[SalesRepID]],dPSalesRep[SalesRepID],dPSalesRep[Region])</f>
        <v>East</v>
      </c>
      <c r="P790" t="str">
        <f>_xlfn.XLOOKUP(fSales[[#This Row],[ProductID]],dProduct[ProductID],dProduct[Product])</f>
        <v>Orange</v>
      </c>
      <c r="Q790">
        <f>_xlfn.XLOOKUP(fSales[[#This Row],[ProductID]],dProduct[ProductID],dProduct[CratePrice])-_xlfn.XLOOKUP(fSales[[#This Row],[ProductID]],dProduct[ProductID],dProduct[CrateCost])</f>
        <v>12.495000000000001</v>
      </c>
      <c r="R790">
        <f>_xlfn.XLOOKUP(fSales[[#This Row],[ProductID]],dProduct[ProductID],dProduct[CratePrice])</f>
        <v>29.75</v>
      </c>
      <c r="S790">
        <f>_xlfn.XLOOKUP(fSales[[#This Row],[ProductID]],dProduct[ProductID],dProduct[CrateCost])</f>
        <v>17.254999999999999</v>
      </c>
    </row>
    <row r="791" spans="7:19" x14ac:dyDescent="0.25">
      <c r="G791" s="2">
        <v>45841</v>
      </c>
      <c r="H791">
        <v>276</v>
      </c>
      <c r="I791" t="s">
        <v>19</v>
      </c>
      <c r="J791" t="s">
        <v>29</v>
      </c>
      <c r="K791">
        <f>_xlfn.XLOOKUP(fSales[[#This Row],[ProductID]],dProduct[ProductID],dProduct[CratePrice])*fSales[[#This Row],[Units]]</f>
        <v>9660</v>
      </c>
      <c r="L791">
        <f>fSales[[#This Row],[Total sales]]-_xlfn.XLOOKUP(fSales[[#This Row],[ProductID]],dProduct[ProductID],dProduct[CrateCost])*fSales[[#This Row],[Units]]</f>
        <v>5409.5999999999995</v>
      </c>
      <c r="M791">
        <f>(_xlfn.XLOOKUP(fSales[[#This Row],[ProductID]],dProduct[ProductID],dProduct[CratePrice])-_xlfn.XLOOKUP(fSales[[#This Row],[ProductID]],dProduct[ProductID],dProduct[CrateCost]))/_xlfn.XLOOKUP(fSales[[#This Row],[ProductID]],dProduct[ProductID],dProduct[CratePrice])</f>
        <v>0.56000000000000005</v>
      </c>
      <c r="N791" t="str">
        <f>_xlfn.XLOOKUP(fSales[[#This Row],[SalesRepID]],dPSalesRep[SalesRepID],dPSalesRep[SalesRep])</f>
        <v>Sioux Best</v>
      </c>
      <c r="O791" t="str">
        <f>_xlfn.XLOOKUP(fSales[[#This Row],[SalesRepID]],dPSalesRep[SalesRepID],dPSalesRep[Region])</f>
        <v>West</v>
      </c>
      <c r="P791" t="str">
        <f>_xlfn.XLOOKUP(fSales[[#This Row],[ProductID]],dProduct[ProductID],dProduct[Product])</f>
        <v>Apple</v>
      </c>
      <c r="Q791">
        <f>_xlfn.XLOOKUP(fSales[[#This Row],[ProductID]],dProduct[ProductID],dProduct[CratePrice])-_xlfn.XLOOKUP(fSales[[#This Row],[ProductID]],dProduct[ProductID],dProduct[CrateCost])</f>
        <v>19.600000000000001</v>
      </c>
      <c r="R791">
        <f>_xlfn.XLOOKUP(fSales[[#This Row],[ProductID]],dProduct[ProductID],dProduct[CratePrice])</f>
        <v>35</v>
      </c>
      <c r="S791">
        <f>_xlfn.XLOOKUP(fSales[[#This Row],[ProductID]],dProduct[ProductID],dProduct[CrateCost])</f>
        <v>15.4</v>
      </c>
    </row>
    <row r="792" spans="7:19" x14ac:dyDescent="0.25">
      <c r="G792" s="2">
        <v>45842</v>
      </c>
      <c r="H792">
        <v>216</v>
      </c>
      <c r="I792" t="s">
        <v>28</v>
      </c>
      <c r="J792" t="s">
        <v>32</v>
      </c>
      <c r="K792">
        <f>_xlfn.XLOOKUP(fSales[[#This Row],[ProductID]],dProduct[ProductID],dProduct[CratePrice])*fSales[[#This Row],[Units]]</f>
        <v>9439.2000000000007</v>
      </c>
      <c r="L792">
        <f>fSales[[#This Row],[Total sales]]-_xlfn.XLOOKUP(fSales[[#This Row],[ProductID]],dProduct[ProductID],dProduct[CrateCost])*fSales[[#This Row],[Units]]</f>
        <v>3964.4640000000009</v>
      </c>
      <c r="M792">
        <f>(_xlfn.XLOOKUP(fSales[[#This Row],[ProductID]],dProduct[ProductID],dProduct[CratePrice])-_xlfn.XLOOKUP(fSales[[#This Row],[ProductID]],dProduct[ProductID],dProduct[CrateCost]))/_xlfn.XLOOKUP(fSales[[#This Row],[ProductID]],dProduct[ProductID],dProduct[CratePrice])</f>
        <v>0.42000000000000004</v>
      </c>
      <c r="N792" t="str">
        <f>_xlfn.XLOOKUP(fSales[[#This Row],[SalesRepID]],dPSalesRep[SalesRepID],dPSalesRep[SalesRep])</f>
        <v>Shihara Fazzaa</v>
      </c>
      <c r="O792" t="str">
        <f>_xlfn.XLOOKUP(fSales[[#This Row],[SalesRepID]],dPSalesRep[SalesRepID],dPSalesRep[Region])</f>
        <v>East</v>
      </c>
      <c r="P792" t="str">
        <f>_xlfn.XLOOKUP(fSales[[#This Row],[ProductID]],dProduct[ProductID],dProduct[Product])</f>
        <v>Cherry</v>
      </c>
      <c r="Q792">
        <f>_xlfn.XLOOKUP(fSales[[#This Row],[ProductID]],dProduct[ProductID],dProduct[CratePrice])-_xlfn.XLOOKUP(fSales[[#This Row],[ProductID]],dProduct[ProductID],dProduct[CrateCost])</f>
        <v>18.354000000000003</v>
      </c>
      <c r="R792">
        <f>_xlfn.XLOOKUP(fSales[[#This Row],[ProductID]],dProduct[ProductID],dProduct[CratePrice])</f>
        <v>43.7</v>
      </c>
      <c r="S792">
        <f>_xlfn.XLOOKUP(fSales[[#This Row],[ProductID]],dProduct[ProductID],dProduct[CrateCost])</f>
        <v>25.346</v>
      </c>
    </row>
    <row r="793" spans="7:19" x14ac:dyDescent="0.25">
      <c r="G793" s="2">
        <v>45843</v>
      </c>
      <c r="H793">
        <v>108</v>
      </c>
      <c r="I793" t="s">
        <v>28</v>
      </c>
      <c r="J793" t="s">
        <v>29</v>
      </c>
      <c r="K793">
        <f>_xlfn.XLOOKUP(fSales[[#This Row],[ProductID]],dProduct[ProductID],dProduct[CratePrice])*fSales[[#This Row],[Units]]</f>
        <v>4719.6000000000004</v>
      </c>
      <c r="L793">
        <f>fSales[[#This Row],[Total sales]]-_xlfn.XLOOKUP(fSales[[#This Row],[ProductID]],dProduct[ProductID],dProduct[CrateCost])*fSales[[#This Row],[Units]]</f>
        <v>1982.2320000000004</v>
      </c>
      <c r="M793">
        <f>(_xlfn.XLOOKUP(fSales[[#This Row],[ProductID]],dProduct[ProductID],dProduct[CratePrice])-_xlfn.XLOOKUP(fSales[[#This Row],[ProductID]],dProduct[ProductID],dProduct[CrateCost]))/_xlfn.XLOOKUP(fSales[[#This Row],[ProductID]],dProduct[ProductID],dProduct[CratePrice])</f>
        <v>0.42000000000000004</v>
      </c>
      <c r="N793" t="str">
        <f>_xlfn.XLOOKUP(fSales[[#This Row],[SalesRepID]],dPSalesRep[SalesRepID],dPSalesRep[SalesRep])</f>
        <v>Sioux Best</v>
      </c>
      <c r="O793" t="str">
        <f>_xlfn.XLOOKUP(fSales[[#This Row],[SalesRepID]],dPSalesRep[SalesRepID],dPSalesRep[Region])</f>
        <v>West</v>
      </c>
      <c r="P793" t="str">
        <f>_xlfn.XLOOKUP(fSales[[#This Row],[ProductID]],dProduct[ProductID],dProduct[Product])</f>
        <v>Cherry</v>
      </c>
      <c r="Q793">
        <f>_xlfn.XLOOKUP(fSales[[#This Row],[ProductID]],dProduct[ProductID],dProduct[CratePrice])-_xlfn.XLOOKUP(fSales[[#This Row],[ProductID]],dProduct[ProductID],dProduct[CrateCost])</f>
        <v>18.354000000000003</v>
      </c>
      <c r="R793">
        <f>_xlfn.XLOOKUP(fSales[[#This Row],[ProductID]],dProduct[ProductID],dProduct[CratePrice])</f>
        <v>43.7</v>
      </c>
      <c r="S793">
        <f>_xlfn.XLOOKUP(fSales[[#This Row],[ProductID]],dProduct[ProductID],dProduct[CrateCost])</f>
        <v>25.346</v>
      </c>
    </row>
    <row r="794" spans="7:19" x14ac:dyDescent="0.25">
      <c r="G794" s="2">
        <v>45844</v>
      </c>
      <c r="H794">
        <v>180</v>
      </c>
      <c r="I794" t="s">
        <v>34</v>
      </c>
      <c r="J794" t="s">
        <v>22</v>
      </c>
      <c r="K794">
        <f>_xlfn.XLOOKUP(fSales[[#This Row],[ProductID]],dProduct[ProductID],dProduct[CratePrice])*fSales[[#This Row],[Units]]</f>
        <v>3150</v>
      </c>
      <c r="L794">
        <f>fSales[[#This Row],[Total sales]]-_xlfn.XLOOKUP(fSales[[#This Row],[ProductID]],dProduct[ProductID],dProduct[CrateCost])*fSales[[#This Row],[Units]]</f>
        <v>1039.4999999999995</v>
      </c>
      <c r="M794">
        <f>(_xlfn.XLOOKUP(fSales[[#This Row],[ProductID]],dProduct[ProductID],dProduct[CratePrice])-_xlfn.XLOOKUP(fSales[[#This Row],[ProductID]],dProduct[ProductID],dProduct[CrateCost]))/_xlfn.XLOOKUP(fSales[[#This Row],[ProductID]],dProduct[ProductID],dProduct[CratePrice])</f>
        <v>0.3299999999999999</v>
      </c>
      <c r="N794" t="str">
        <f>_xlfn.XLOOKUP(fSales[[#This Row],[SalesRepID]],dPSalesRep[SalesRepID],dPSalesRep[SalesRep])</f>
        <v>Timmy Kips</v>
      </c>
      <c r="O794" t="str">
        <f>_xlfn.XLOOKUP(fSales[[#This Row],[SalesRepID]],dPSalesRep[SalesRepID],dPSalesRep[Region])</f>
        <v>East</v>
      </c>
      <c r="P794" t="str">
        <f>_xlfn.XLOOKUP(fSales[[#This Row],[ProductID]],dProduct[ProductID],dProduct[Product])</f>
        <v>Banana</v>
      </c>
      <c r="Q794">
        <f>_xlfn.XLOOKUP(fSales[[#This Row],[ProductID]],dProduct[ProductID],dProduct[CratePrice])-_xlfn.XLOOKUP(fSales[[#This Row],[ProductID]],dProduct[ProductID],dProduct[CrateCost])</f>
        <v>5.7749999999999986</v>
      </c>
      <c r="R794">
        <f>_xlfn.XLOOKUP(fSales[[#This Row],[ProductID]],dProduct[ProductID],dProduct[CratePrice])</f>
        <v>17.5</v>
      </c>
      <c r="S794">
        <f>_xlfn.XLOOKUP(fSales[[#This Row],[ProductID]],dProduct[ProductID],dProduct[CrateCost])</f>
        <v>11.725000000000001</v>
      </c>
    </row>
    <row r="795" spans="7:19" x14ac:dyDescent="0.25">
      <c r="G795" s="2">
        <v>45844</v>
      </c>
      <c r="H795">
        <v>132</v>
      </c>
      <c r="I795" t="s">
        <v>26</v>
      </c>
      <c r="J795" t="s">
        <v>32</v>
      </c>
      <c r="K795">
        <f>_xlfn.XLOOKUP(fSales[[#This Row],[ProductID]],dProduct[ProductID],dProduct[CratePrice])*fSales[[#This Row],[Units]]</f>
        <v>3927</v>
      </c>
      <c r="L795">
        <f>fSales[[#This Row],[Total sales]]-_xlfn.XLOOKUP(fSales[[#This Row],[ProductID]],dProduct[ProductID],dProduct[CrateCost])*fSales[[#This Row],[Units]]</f>
        <v>1649.3400000000001</v>
      </c>
      <c r="M795">
        <f>(_xlfn.XLOOKUP(fSales[[#This Row],[ProductID]],dProduct[ProductID],dProduct[CratePrice])-_xlfn.XLOOKUP(fSales[[#This Row],[ProductID]],dProduct[ProductID],dProduct[CrateCost]))/_xlfn.XLOOKUP(fSales[[#This Row],[ProductID]],dProduct[ProductID],dProduct[CratePrice])</f>
        <v>0.42000000000000004</v>
      </c>
      <c r="N795" t="str">
        <f>_xlfn.XLOOKUP(fSales[[#This Row],[SalesRepID]],dPSalesRep[SalesRepID],dPSalesRep[SalesRep])</f>
        <v>Shihara Fazzaa</v>
      </c>
      <c r="O795" t="str">
        <f>_xlfn.XLOOKUP(fSales[[#This Row],[SalesRepID]],dPSalesRep[SalesRepID],dPSalesRep[Region])</f>
        <v>East</v>
      </c>
      <c r="P795" t="str">
        <f>_xlfn.XLOOKUP(fSales[[#This Row],[ProductID]],dProduct[ProductID],dProduct[Product])</f>
        <v>Orange</v>
      </c>
      <c r="Q795">
        <f>_xlfn.XLOOKUP(fSales[[#This Row],[ProductID]],dProduct[ProductID],dProduct[CratePrice])-_xlfn.XLOOKUP(fSales[[#This Row],[ProductID]],dProduct[ProductID],dProduct[CrateCost])</f>
        <v>12.495000000000001</v>
      </c>
      <c r="R795">
        <f>_xlfn.XLOOKUP(fSales[[#This Row],[ProductID]],dProduct[ProductID],dProduct[CratePrice])</f>
        <v>29.75</v>
      </c>
      <c r="S795">
        <f>_xlfn.XLOOKUP(fSales[[#This Row],[ProductID]],dProduct[ProductID],dProduct[CrateCost])</f>
        <v>17.254999999999999</v>
      </c>
    </row>
    <row r="796" spans="7:19" x14ac:dyDescent="0.25">
      <c r="G796" s="2">
        <v>45845</v>
      </c>
      <c r="H796">
        <v>276</v>
      </c>
      <c r="I796" t="s">
        <v>21</v>
      </c>
      <c r="J796" t="s">
        <v>32</v>
      </c>
      <c r="K796">
        <f>_xlfn.XLOOKUP(fSales[[#This Row],[ProductID]],dProduct[ProductID],dProduct[CratePrice])*fSales[[#This Row],[Units]]</f>
        <v>6210</v>
      </c>
      <c r="L796">
        <f>fSales[[#This Row],[Total sales]]-_xlfn.XLOOKUP(fSales[[#This Row],[ProductID]],dProduct[ProductID],dProduct[CrateCost])*fSales[[#This Row],[Units]]</f>
        <v>2732.3999999999996</v>
      </c>
      <c r="M796">
        <f>(_xlfn.XLOOKUP(fSales[[#This Row],[ProductID]],dProduct[ProductID],dProduct[CratePrice])-_xlfn.XLOOKUP(fSales[[#This Row],[ProductID]],dProduct[ProductID],dProduct[CrateCost]))/_xlfn.XLOOKUP(fSales[[#This Row],[ProductID]],dProduct[ProductID],dProduct[CratePrice])</f>
        <v>0.43999999999999995</v>
      </c>
      <c r="N796" t="str">
        <f>_xlfn.XLOOKUP(fSales[[#This Row],[SalesRepID]],dPSalesRep[SalesRepID],dPSalesRep[SalesRep])</f>
        <v>Shihara Fazzaa</v>
      </c>
      <c r="O796" t="str">
        <f>_xlfn.XLOOKUP(fSales[[#This Row],[SalesRepID]],dPSalesRep[SalesRepID],dPSalesRep[Region])</f>
        <v>East</v>
      </c>
      <c r="P796" t="str">
        <f>_xlfn.XLOOKUP(fSales[[#This Row],[ProductID]],dProduct[ProductID],dProduct[Product])</f>
        <v>Kiwi</v>
      </c>
      <c r="Q796">
        <f>_xlfn.XLOOKUP(fSales[[#This Row],[ProductID]],dProduct[ProductID],dProduct[CratePrice])-_xlfn.XLOOKUP(fSales[[#This Row],[ProductID]],dProduct[ProductID],dProduct[CrateCost])</f>
        <v>9.8999999999999986</v>
      </c>
      <c r="R796">
        <f>_xlfn.XLOOKUP(fSales[[#This Row],[ProductID]],dProduct[ProductID],dProduct[CratePrice])</f>
        <v>22.5</v>
      </c>
      <c r="S796">
        <f>_xlfn.XLOOKUP(fSales[[#This Row],[ProductID]],dProduct[ProductID],dProduct[CrateCost])</f>
        <v>12.600000000000001</v>
      </c>
    </row>
    <row r="797" spans="7:19" x14ac:dyDescent="0.25">
      <c r="G797" s="2">
        <v>45845</v>
      </c>
      <c r="H797">
        <v>204</v>
      </c>
      <c r="I797" t="s">
        <v>21</v>
      </c>
      <c r="J797" t="s">
        <v>22</v>
      </c>
      <c r="K797">
        <f>_xlfn.XLOOKUP(fSales[[#This Row],[ProductID]],dProduct[ProductID],dProduct[CratePrice])*fSales[[#This Row],[Units]]</f>
        <v>4590</v>
      </c>
      <c r="L797">
        <f>fSales[[#This Row],[Total sales]]-_xlfn.XLOOKUP(fSales[[#This Row],[ProductID]],dProduct[ProductID],dProduct[CrateCost])*fSales[[#This Row],[Units]]</f>
        <v>2019.6</v>
      </c>
      <c r="M797">
        <f>(_xlfn.XLOOKUP(fSales[[#This Row],[ProductID]],dProduct[ProductID],dProduct[CratePrice])-_xlfn.XLOOKUP(fSales[[#This Row],[ProductID]],dProduct[ProductID],dProduct[CrateCost]))/_xlfn.XLOOKUP(fSales[[#This Row],[ProductID]],dProduct[ProductID],dProduct[CratePrice])</f>
        <v>0.43999999999999995</v>
      </c>
      <c r="N797" t="str">
        <f>_xlfn.XLOOKUP(fSales[[#This Row],[SalesRepID]],dPSalesRep[SalesRepID],dPSalesRep[SalesRep])</f>
        <v>Timmy Kips</v>
      </c>
      <c r="O797" t="str">
        <f>_xlfn.XLOOKUP(fSales[[#This Row],[SalesRepID]],dPSalesRep[SalesRepID],dPSalesRep[Region])</f>
        <v>East</v>
      </c>
      <c r="P797" t="str">
        <f>_xlfn.XLOOKUP(fSales[[#This Row],[ProductID]],dProduct[ProductID],dProduct[Product])</f>
        <v>Kiwi</v>
      </c>
      <c r="Q797">
        <f>_xlfn.XLOOKUP(fSales[[#This Row],[ProductID]],dProduct[ProductID],dProduct[CratePrice])-_xlfn.XLOOKUP(fSales[[#This Row],[ProductID]],dProduct[ProductID],dProduct[CrateCost])</f>
        <v>9.8999999999999986</v>
      </c>
      <c r="R797">
        <f>_xlfn.XLOOKUP(fSales[[#This Row],[ProductID]],dProduct[ProductID],dProduct[CratePrice])</f>
        <v>22.5</v>
      </c>
      <c r="S797">
        <f>_xlfn.XLOOKUP(fSales[[#This Row],[ProductID]],dProduct[ProductID],dProduct[CrateCost])</f>
        <v>12.600000000000001</v>
      </c>
    </row>
    <row r="798" spans="7:19" x14ac:dyDescent="0.25">
      <c r="G798" s="2">
        <v>45847</v>
      </c>
      <c r="H798">
        <v>108</v>
      </c>
      <c r="I798" t="s">
        <v>28</v>
      </c>
      <c r="J798" t="s">
        <v>32</v>
      </c>
      <c r="K798">
        <f>_xlfn.XLOOKUP(fSales[[#This Row],[ProductID]],dProduct[ProductID],dProduct[CratePrice])*fSales[[#This Row],[Units]]</f>
        <v>4719.6000000000004</v>
      </c>
      <c r="L798">
        <f>fSales[[#This Row],[Total sales]]-_xlfn.XLOOKUP(fSales[[#This Row],[ProductID]],dProduct[ProductID],dProduct[CrateCost])*fSales[[#This Row],[Units]]</f>
        <v>1982.2320000000004</v>
      </c>
      <c r="M798">
        <f>(_xlfn.XLOOKUP(fSales[[#This Row],[ProductID]],dProduct[ProductID],dProduct[CratePrice])-_xlfn.XLOOKUP(fSales[[#This Row],[ProductID]],dProduct[ProductID],dProduct[CrateCost]))/_xlfn.XLOOKUP(fSales[[#This Row],[ProductID]],dProduct[ProductID],dProduct[CratePrice])</f>
        <v>0.42000000000000004</v>
      </c>
      <c r="N798" t="str">
        <f>_xlfn.XLOOKUP(fSales[[#This Row],[SalesRepID]],dPSalesRep[SalesRepID],dPSalesRep[SalesRep])</f>
        <v>Shihara Fazzaa</v>
      </c>
      <c r="O798" t="str">
        <f>_xlfn.XLOOKUP(fSales[[#This Row],[SalesRepID]],dPSalesRep[SalesRepID],dPSalesRep[Region])</f>
        <v>East</v>
      </c>
      <c r="P798" t="str">
        <f>_xlfn.XLOOKUP(fSales[[#This Row],[ProductID]],dProduct[ProductID],dProduct[Product])</f>
        <v>Cherry</v>
      </c>
      <c r="Q798">
        <f>_xlfn.XLOOKUP(fSales[[#This Row],[ProductID]],dProduct[ProductID],dProduct[CratePrice])-_xlfn.XLOOKUP(fSales[[#This Row],[ProductID]],dProduct[ProductID],dProduct[CrateCost])</f>
        <v>18.354000000000003</v>
      </c>
      <c r="R798">
        <f>_xlfn.XLOOKUP(fSales[[#This Row],[ProductID]],dProduct[ProductID],dProduct[CratePrice])</f>
        <v>43.7</v>
      </c>
      <c r="S798">
        <f>_xlfn.XLOOKUP(fSales[[#This Row],[ProductID]],dProduct[ProductID],dProduct[CrateCost])</f>
        <v>25.346</v>
      </c>
    </row>
    <row r="799" spans="7:19" x14ac:dyDescent="0.25">
      <c r="G799" s="2">
        <v>45847</v>
      </c>
      <c r="H799">
        <v>84</v>
      </c>
      <c r="I799" t="s">
        <v>28</v>
      </c>
      <c r="J799" t="s">
        <v>32</v>
      </c>
      <c r="K799">
        <f>_xlfn.XLOOKUP(fSales[[#This Row],[ProductID]],dProduct[ProductID],dProduct[CratePrice])*fSales[[#This Row],[Units]]</f>
        <v>3670.8</v>
      </c>
      <c r="L799">
        <f>fSales[[#This Row],[Total sales]]-_xlfn.XLOOKUP(fSales[[#This Row],[ProductID]],dProduct[ProductID],dProduct[CrateCost])*fSales[[#This Row],[Units]]</f>
        <v>1541.7360000000003</v>
      </c>
      <c r="M799">
        <f>(_xlfn.XLOOKUP(fSales[[#This Row],[ProductID]],dProduct[ProductID],dProduct[CratePrice])-_xlfn.XLOOKUP(fSales[[#This Row],[ProductID]],dProduct[ProductID],dProduct[CrateCost]))/_xlfn.XLOOKUP(fSales[[#This Row],[ProductID]],dProduct[ProductID],dProduct[CratePrice])</f>
        <v>0.42000000000000004</v>
      </c>
      <c r="N799" t="str">
        <f>_xlfn.XLOOKUP(fSales[[#This Row],[SalesRepID]],dPSalesRep[SalesRepID],dPSalesRep[SalesRep])</f>
        <v>Shihara Fazzaa</v>
      </c>
      <c r="O799" t="str">
        <f>_xlfn.XLOOKUP(fSales[[#This Row],[SalesRepID]],dPSalesRep[SalesRepID],dPSalesRep[Region])</f>
        <v>East</v>
      </c>
      <c r="P799" t="str">
        <f>_xlfn.XLOOKUP(fSales[[#This Row],[ProductID]],dProduct[ProductID],dProduct[Product])</f>
        <v>Cherry</v>
      </c>
      <c r="Q799">
        <f>_xlfn.XLOOKUP(fSales[[#This Row],[ProductID]],dProduct[ProductID],dProduct[CratePrice])-_xlfn.XLOOKUP(fSales[[#This Row],[ProductID]],dProduct[ProductID],dProduct[CrateCost])</f>
        <v>18.354000000000003</v>
      </c>
      <c r="R799">
        <f>_xlfn.XLOOKUP(fSales[[#This Row],[ProductID]],dProduct[ProductID],dProduct[CratePrice])</f>
        <v>43.7</v>
      </c>
      <c r="S799">
        <f>_xlfn.XLOOKUP(fSales[[#This Row],[ProductID]],dProduct[ProductID],dProduct[CrateCost])</f>
        <v>25.346</v>
      </c>
    </row>
    <row r="800" spans="7:19" x14ac:dyDescent="0.25">
      <c r="G800" s="2">
        <v>45847</v>
      </c>
      <c r="H800">
        <v>204</v>
      </c>
      <c r="I800" t="s">
        <v>34</v>
      </c>
      <c r="J800" t="s">
        <v>22</v>
      </c>
      <c r="K800">
        <f>_xlfn.XLOOKUP(fSales[[#This Row],[ProductID]],dProduct[ProductID],dProduct[CratePrice])*fSales[[#This Row],[Units]]</f>
        <v>3570</v>
      </c>
      <c r="L800">
        <f>fSales[[#This Row],[Total sales]]-_xlfn.XLOOKUP(fSales[[#This Row],[ProductID]],dProduct[ProductID],dProduct[CrateCost])*fSales[[#This Row],[Units]]</f>
        <v>1178.0999999999999</v>
      </c>
      <c r="M800">
        <f>(_xlfn.XLOOKUP(fSales[[#This Row],[ProductID]],dProduct[ProductID],dProduct[CratePrice])-_xlfn.XLOOKUP(fSales[[#This Row],[ProductID]],dProduct[ProductID],dProduct[CrateCost]))/_xlfn.XLOOKUP(fSales[[#This Row],[ProductID]],dProduct[ProductID],dProduct[CratePrice])</f>
        <v>0.3299999999999999</v>
      </c>
      <c r="N800" t="str">
        <f>_xlfn.XLOOKUP(fSales[[#This Row],[SalesRepID]],dPSalesRep[SalesRepID],dPSalesRep[SalesRep])</f>
        <v>Timmy Kips</v>
      </c>
      <c r="O800" t="str">
        <f>_xlfn.XLOOKUP(fSales[[#This Row],[SalesRepID]],dPSalesRep[SalesRepID],dPSalesRep[Region])</f>
        <v>East</v>
      </c>
      <c r="P800" t="str">
        <f>_xlfn.XLOOKUP(fSales[[#This Row],[ProductID]],dProduct[ProductID],dProduct[Product])</f>
        <v>Banana</v>
      </c>
      <c r="Q800">
        <f>_xlfn.XLOOKUP(fSales[[#This Row],[ProductID]],dProduct[ProductID],dProduct[CratePrice])-_xlfn.XLOOKUP(fSales[[#This Row],[ProductID]],dProduct[ProductID],dProduct[CrateCost])</f>
        <v>5.7749999999999986</v>
      </c>
      <c r="R800">
        <f>_xlfn.XLOOKUP(fSales[[#This Row],[ProductID]],dProduct[ProductID],dProduct[CratePrice])</f>
        <v>17.5</v>
      </c>
      <c r="S800">
        <f>_xlfn.XLOOKUP(fSales[[#This Row],[ProductID]],dProduct[ProductID],dProduct[CrateCost])</f>
        <v>11.725000000000001</v>
      </c>
    </row>
    <row r="801" spans="7:19" x14ac:dyDescent="0.25">
      <c r="G801" s="2">
        <v>45848</v>
      </c>
      <c r="H801">
        <v>96</v>
      </c>
      <c r="I801" t="s">
        <v>34</v>
      </c>
      <c r="J801" t="s">
        <v>29</v>
      </c>
      <c r="K801">
        <f>_xlfn.XLOOKUP(fSales[[#This Row],[ProductID]],dProduct[ProductID],dProduct[CratePrice])*fSales[[#This Row],[Units]]</f>
        <v>1680</v>
      </c>
      <c r="L801">
        <f>fSales[[#This Row],[Total sales]]-_xlfn.XLOOKUP(fSales[[#This Row],[ProductID]],dProduct[ProductID],dProduct[CrateCost])*fSales[[#This Row],[Units]]</f>
        <v>554.39999999999986</v>
      </c>
      <c r="M801">
        <f>(_xlfn.XLOOKUP(fSales[[#This Row],[ProductID]],dProduct[ProductID],dProduct[CratePrice])-_xlfn.XLOOKUP(fSales[[#This Row],[ProductID]],dProduct[ProductID],dProduct[CrateCost]))/_xlfn.XLOOKUP(fSales[[#This Row],[ProductID]],dProduct[ProductID],dProduct[CratePrice])</f>
        <v>0.3299999999999999</v>
      </c>
      <c r="N801" t="str">
        <f>_xlfn.XLOOKUP(fSales[[#This Row],[SalesRepID]],dPSalesRep[SalesRepID],dPSalesRep[SalesRep])</f>
        <v>Sioux Best</v>
      </c>
      <c r="O801" t="str">
        <f>_xlfn.XLOOKUP(fSales[[#This Row],[SalesRepID]],dPSalesRep[SalesRepID],dPSalesRep[Region])</f>
        <v>West</v>
      </c>
      <c r="P801" t="str">
        <f>_xlfn.XLOOKUP(fSales[[#This Row],[ProductID]],dProduct[ProductID],dProduct[Product])</f>
        <v>Banana</v>
      </c>
      <c r="Q801">
        <f>_xlfn.XLOOKUP(fSales[[#This Row],[ProductID]],dProduct[ProductID],dProduct[CratePrice])-_xlfn.XLOOKUP(fSales[[#This Row],[ProductID]],dProduct[ProductID],dProduct[CrateCost])</f>
        <v>5.7749999999999986</v>
      </c>
      <c r="R801">
        <f>_xlfn.XLOOKUP(fSales[[#This Row],[ProductID]],dProduct[ProductID],dProduct[CratePrice])</f>
        <v>17.5</v>
      </c>
      <c r="S801">
        <f>_xlfn.XLOOKUP(fSales[[#This Row],[ProductID]],dProduct[ProductID],dProduct[CrateCost])</f>
        <v>11.725000000000001</v>
      </c>
    </row>
    <row r="802" spans="7:19" x14ac:dyDescent="0.25">
      <c r="G802" s="2">
        <v>45848</v>
      </c>
      <c r="H802">
        <v>24</v>
      </c>
      <c r="I802" t="s">
        <v>21</v>
      </c>
      <c r="J802" t="s">
        <v>32</v>
      </c>
      <c r="K802">
        <f>_xlfn.XLOOKUP(fSales[[#This Row],[ProductID]],dProduct[ProductID],dProduct[CratePrice])*fSales[[#This Row],[Units]]</f>
        <v>540</v>
      </c>
      <c r="L802">
        <f>fSales[[#This Row],[Total sales]]-_xlfn.XLOOKUP(fSales[[#This Row],[ProductID]],dProduct[ProductID],dProduct[CrateCost])*fSales[[#This Row],[Units]]</f>
        <v>237.59999999999997</v>
      </c>
      <c r="M802">
        <f>(_xlfn.XLOOKUP(fSales[[#This Row],[ProductID]],dProduct[ProductID],dProduct[CratePrice])-_xlfn.XLOOKUP(fSales[[#This Row],[ProductID]],dProduct[ProductID],dProduct[CrateCost]))/_xlfn.XLOOKUP(fSales[[#This Row],[ProductID]],dProduct[ProductID],dProduct[CratePrice])</f>
        <v>0.43999999999999995</v>
      </c>
      <c r="N802" t="str">
        <f>_xlfn.XLOOKUP(fSales[[#This Row],[SalesRepID]],dPSalesRep[SalesRepID],dPSalesRep[SalesRep])</f>
        <v>Shihara Fazzaa</v>
      </c>
      <c r="O802" t="str">
        <f>_xlfn.XLOOKUP(fSales[[#This Row],[SalesRepID]],dPSalesRep[SalesRepID],dPSalesRep[Region])</f>
        <v>East</v>
      </c>
      <c r="P802" t="str">
        <f>_xlfn.XLOOKUP(fSales[[#This Row],[ProductID]],dProduct[ProductID],dProduct[Product])</f>
        <v>Kiwi</v>
      </c>
      <c r="Q802">
        <f>_xlfn.XLOOKUP(fSales[[#This Row],[ProductID]],dProduct[ProductID],dProduct[CratePrice])-_xlfn.XLOOKUP(fSales[[#This Row],[ProductID]],dProduct[ProductID],dProduct[CrateCost])</f>
        <v>9.8999999999999986</v>
      </c>
      <c r="R802">
        <f>_xlfn.XLOOKUP(fSales[[#This Row],[ProductID]],dProduct[ProductID],dProduct[CratePrice])</f>
        <v>22.5</v>
      </c>
      <c r="S802">
        <f>_xlfn.XLOOKUP(fSales[[#This Row],[ProductID]],dProduct[ProductID],dProduct[CrateCost])</f>
        <v>12.600000000000001</v>
      </c>
    </row>
    <row r="803" spans="7:19" x14ac:dyDescent="0.25">
      <c r="G803" s="2">
        <v>45849</v>
      </c>
      <c r="H803">
        <v>144</v>
      </c>
      <c r="I803" t="s">
        <v>21</v>
      </c>
      <c r="J803" t="s">
        <v>52</v>
      </c>
      <c r="K803">
        <f>_xlfn.XLOOKUP(fSales[[#This Row],[ProductID]],dProduct[ProductID],dProduct[CratePrice])*fSales[[#This Row],[Units]]</f>
        <v>3240</v>
      </c>
      <c r="L803">
        <f>fSales[[#This Row],[Total sales]]-_xlfn.XLOOKUP(fSales[[#This Row],[ProductID]],dProduct[ProductID],dProduct[CrateCost])*fSales[[#This Row],[Units]]</f>
        <v>1425.6</v>
      </c>
      <c r="M803">
        <f>(_xlfn.XLOOKUP(fSales[[#This Row],[ProductID]],dProduct[ProductID],dProduct[CratePrice])-_xlfn.XLOOKUP(fSales[[#This Row],[ProductID]],dProduct[ProductID],dProduct[CrateCost]))/_xlfn.XLOOKUP(fSales[[#This Row],[ProductID]],dProduct[ProductID],dProduct[CratePrice])</f>
        <v>0.43999999999999995</v>
      </c>
      <c r="N803" t="str">
        <f>_xlfn.XLOOKUP(fSales[[#This Row],[SalesRepID]],dPSalesRep[SalesRepID],dPSalesRep[SalesRep])</f>
        <v>Smitty Rad</v>
      </c>
      <c r="O803" t="str">
        <f>_xlfn.XLOOKUP(fSales[[#This Row],[SalesRepID]],dPSalesRep[SalesRepID],dPSalesRep[Region])</f>
        <v>MidWest</v>
      </c>
      <c r="P803" t="str">
        <f>_xlfn.XLOOKUP(fSales[[#This Row],[ProductID]],dProduct[ProductID],dProduct[Product])</f>
        <v>Kiwi</v>
      </c>
      <c r="Q803">
        <f>_xlfn.XLOOKUP(fSales[[#This Row],[ProductID]],dProduct[ProductID],dProduct[CratePrice])-_xlfn.XLOOKUP(fSales[[#This Row],[ProductID]],dProduct[ProductID],dProduct[CrateCost])</f>
        <v>9.8999999999999986</v>
      </c>
      <c r="R803">
        <f>_xlfn.XLOOKUP(fSales[[#This Row],[ProductID]],dProduct[ProductID],dProduct[CratePrice])</f>
        <v>22.5</v>
      </c>
      <c r="S803">
        <f>_xlfn.XLOOKUP(fSales[[#This Row],[ProductID]],dProduct[ProductID],dProduct[CrateCost])</f>
        <v>12.600000000000001</v>
      </c>
    </row>
    <row r="804" spans="7:19" x14ac:dyDescent="0.25">
      <c r="G804" s="2">
        <v>45850</v>
      </c>
      <c r="H804">
        <v>72</v>
      </c>
      <c r="I804" t="s">
        <v>26</v>
      </c>
      <c r="J804" t="s">
        <v>29</v>
      </c>
      <c r="K804">
        <f>_xlfn.XLOOKUP(fSales[[#This Row],[ProductID]],dProduct[ProductID],dProduct[CratePrice])*fSales[[#This Row],[Units]]</f>
        <v>2142</v>
      </c>
      <c r="L804">
        <f>fSales[[#This Row],[Total sales]]-_xlfn.XLOOKUP(fSales[[#This Row],[ProductID]],dProduct[ProductID],dProduct[CrateCost])*fSales[[#This Row],[Units]]</f>
        <v>899.6400000000001</v>
      </c>
      <c r="M804">
        <f>(_xlfn.XLOOKUP(fSales[[#This Row],[ProductID]],dProduct[ProductID],dProduct[CratePrice])-_xlfn.XLOOKUP(fSales[[#This Row],[ProductID]],dProduct[ProductID],dProduct[CrateCost]))/_xlfn.XLOOKUP(fSales[[#This Row],[ProductID]],dProduct[ProductID],dProduct[CratePrice])</f>
        <v>0.42000000000000004</v>
      </c>
      <c r="N804" t="str">
        <f>_xlfn.XLOOKUP(fSales[[#This Row],[SalesRepID]],dPSalesRep[SalesRepID],dPSalesRep[SalesRep])</f>
        <v>Sioux Best</v>
      </c>
      <c r="O804" t="str">
        <f>_xlfn.XLOOKUP(fSales[[#This Row],[SalesRepID]],dPSalesRep[SalesRepID],dPSalesRep[Region])</f>
        <v>West</v>
      </c>
      <c r="P804" t="str">
        <f>_xlfn.XLOOKUP(fSales[[#This Row],[ProductID]],dProduct[ProductID],dProduct[Product])</f>
        <v>Orange</v>
      </c>
      <c r="Q804">
        <f>_xlfn.XLOOKUP(fSales[[#This Row],[ProductID]],dProduct[ProductID],dProduct[CratePrice])-_xlfn.XLOOKUP(fSales[[#This Row],[ProductID]],dProduct[ProductID],dProduct[CrateCost])</f>
        <v>12.495000000000001</v>
      </c>
      <c r="R804">
        <f>_xlfn.XLOOKUP(fSales[[#This Row],[ProductID]],dProduct[ProductID],dProduct[CratePrice])</f>
        <v>29.75</v>
      </c>
      <c r="S804">
        <f>_xlfn.XLOOKUP(fSales[[#This Row],[ProductID]],dProduct[ProductID],dProduct[CrateCost])</f>
        <v>17.254999999999999</v>
      </c>
    </row>
    <row r="805" spans="7:19" x14ac:dyDescent="0.25">
      <c r="G805" s="2">
        <v>45851</v>
      </c>
      <c r="H805">
        <v>276</v>
      </c>
      <c r="I805" t="s">
        <v>34</v>
      </c>
      <c r="J805" t="s">
        <v>52</v>
      </c>
      <c r="K805">
        <f>_xlfn.XLOOKUP(fSales[[#This Row],[ProductID]],dProduct[ProductID],dProduct[CratePrice])*fSales[[#This Row],[Units]]</f>
        <v>4830</v>
      </c>
      <c r="L805">
        <f>fSales[[#This Row],[Total sales]]-_xlfn.XLOOKUP(fSales[[#This Row],[ProductID]],dProduct[ProductID],dProduct[CrateCost])*fSales[[#This Row],[Units]]</f>
        <v>1593.8999999999996</v>
      </c>
      <c r="M805">
        <f>(_xlfn.XLOOKUP(fSales[[#This Row],[ProductID]],dProduct[ProductID],dProduct[CratePrice])-_xlfn.XLOOKUP(fSales[[#This Row],[ProductID]],dProduct[ProductID],dProduct[CrateCost]))/_xlfn.XLOOKUP(fSales[[#This Row],[ProductID]],dProduct[ProductID],dProduct[CratePrice])</f>
        <v>0.3299999999999999</v>
      </c>
      <c r="N805" t="str">
        <f>_xlfn.XLOOKUP(fSales[[#This Row],[SalesRepID]],dPSalesRep[SalesRepID],dPSalesRep[SalesRep])</f>
        <v>Smitty Rad</v>
      </c>
      <c r="O805" t="str">
        <f>_xlfn.XLOOKUP(fSales[[#This Row],[SalesRepID]],dPSalesRep[SalesRepID],dPSalesRep[Region])</f>
        <v>MidWest</v>
      </c>
      <c r="P805" t="str">
        <f>_xlfn.XLOOKUP(fSales[[#This Row],[ProductID]],dProduct[ProductID],dProduct[Product])</f>
        <v>Banana</v>
      </c>
      <c r="Q805">
        <f>_xlfn.XLOOKUP(fSales[[#This Row],[ProductID]],dProduct[ProductID],dProduct[CratePrice])-_xlfn.XLOOKUP(fSales[[#This Row],[ProductID]],dProduct[ProductID],dProduct[CrateCost])</f>
        <v>5.7749999999999986</v>
      </c>
      <c r="R805">
        <f>_xlfn.XLOOKUP(fSales[[#This Row],[ProductID]],dProduct[ProductID],dProduct[CratePrice])</f>
        <v>17.5</v>
      </c>
      <c r="S805">
        <f>_xlfn.XLOOKUP(fSales[[#This Row],[ProductID]],dProduct[ProductID],dProduct[CrateCost])</f>
        <v>11.725000000000001</v>
      </c>
    </row>
    <row r="806" spans="7:19" x14ac:dyDescent="0.25">
      <c r="G806" s="2">
        <v>45851</v>
      </c>
      <c r="H806">
        <v>204</v>
      </c>
      <c r="I806" t="s">
        <v>26</v>
      </c>
      <c r="J806" t="s">
        <v>52</v>
      </c>
      <c r="K806">
        <f>_xlfn.XLOOKUP(fSales[[#This Row],[ProductID]],dProduct[ProductID],dProduct[CratePrice])*fSales[[#This Row],[Units]]</f>
        <v>6069</v>
      </c>
      <c r="L806">
        <f>fSales[[#This Row],[Total sales]]-_xlfn.XLOOKUP(fSales[[#This Row],[ProductID]],dProduct[ProductID],dProduct[CrateCost])*fSales[[#This Row],[Units]]</f>
        <v>2548.98</v>
      </c>
      <c r="M806">
        <f>(_xlfn.XLOOKUP(fSales[[#This Row],[ProductID]],dProduct[ProductID],dProduct[CratePrice])-_xlfn.XLOOKUP(fSales[[#This Row],[ProductID]],dProduct[ProductID],dProduct[CrateCost]))/_xlfn.XLOOKUP(fSales[[#This Row],[ProductID]],dProduct[ProductID],dProduct[CratePrice])</f>
        <v>0.42000000000000004</v>
      </c>
      <c r="N806" t="str">
        <f>_xlfn.XLOOKUP(fSales[[#This Row],[SalesRepID]],dPSalesRep[SalesRepID],dPSalesRep[SalesRep])</f>
        <v>Smitty Rad</v>
      </c>
      <c r="O806" t="str">
        <f>_xlfn.XLOOKUP(fSales[[#This Row],[SalesRepID]],dPSalesRep[SalesRepID],dPSalesRep[Region])</f>
        <v>MidWest</v>
      </c>
      <c r="P806" t="str">
        <f>_xlfn.XLOOKUP(fSales[[#This Row],[ProductID]],dProduct[ProductID],dProduct[Product])</f>
        <v>Orange</v>
      </c>
      <c r="Q806">
        <f>_xlfn.XLOOKUP(fSales[[#This Row],[ProductID]],dProduct[ProductID],dProduct[CratePrice])-_xlfn.XLOOKUP(fSales[[#This Row],[ProductID]],dProduct[ProductID],dProduct[CrateCost])</f>
        <v>12.495000000000001</v>
      </c>
      <c r="R806">
        <f>_xlfn.XLOOKUP(fSales[[#This Row],[ProductID]],dProduct[ProductID],dProduct[CratePrice])</f>
        <v>29.75</v>
      </c>
      <c r="S806">
        <f>_xlfn.XLOOKUP(fSales[[#This Row],[ProductID]],dProduct[ProductID],dProduct[CrateCost])</f>
        <v>17.254999999999999</v>
      </c>
    </row>
    <row r="807" spans="7:19" x14ac:dyDescent="0.25">
      <c r="G807" s="2">
        <v>45851</v>
      </c>
      <c r="H807">
        <v>24</v>
      </c>
      <c r="I807" t="s">
        <v>34</v>
      </c>
      <c r="J807" t="s">
        <v>52</v>
      </c>
      <c r="K807">
        <f>_xlfn.XLOOKUP(fSales[[#This Row],[ProductID]],dProduct[ProductID],dProduct[CratePrice])*fSales[[#This Row],[Units]]</f>
        <v>420</v>
      </c>
      <c r="L807">
        <f>fSales[[#This Row],[Total sales]]-_xlfn.XLOOKUP(fSales[[#This Row],[ProductID]],dProduct[ProductID],dProduct[CrateCost])*fSales[[#This Row],[Units]]</f>
        <v>138.59999999999997</v>
      </c>
      <c r="M807">
        <f>(_xlfn.XLOOKUP(fSales[[#This Row],[ProductID]],dProduct[ProductID],dProduct[CratePrice])-_xlfn.XLOOKUP(fSales[[#This Row],[ProductID]],dProduct[ProductID],dProduct[CrateCost]))/_xlfn.XLOOKUP(fSales[[#This Row],[ProductID]],dProduct[ProductID],dProduct[CratePrice])</f>
        <v>0.3299999999999999</v>
      </c>
      <c r="N807" t="str">
        <f>_xlfn.XLOOKUP(fSales[[#This Row],[SalesRepID]],dPSalesRep[SalesRepID],dPSalesRep[SalesRep])</f>
        <v>Smitty Rad</v>
      </c>
      <c r="O807" t="str">
        <f>_xlfn.XLOOKUP(fSales[[#This Row],[SalesRepID]],dPSalesRep[SalesRepID],dPSalesRep[Region])</f>
        <v>MidWest</v>
      </c>
      <c r="P807" t="str">
        <f>_xlfn.XLOOKUP(fSales[[#This Row],[ProductID]],dProduct[ProductID],dProduct[Product])</f>
        <v>Banana</v>
      </c>
      <c r="Q807">
        <f>_xlfn.XLOOKUP(fSales[[#This Row],[ProductID]],dProduct[ProductID],dProduct[CratePrice])-_xlfn.XLOOKUP(fSales[[#This Row],[ProductID]],dProduct[ProductID],dProduct[CrateCost])</f>
        <v>5.7749999999999986</v>
      </c>
      <c r="R807">
        <f>_xlfn.XLOOKUP(fSales[[#This Row],[ProductID]],dProduct[ProductID],dProduct[CratePrice])</f>
        <v>17.5</v>
      </c>
      <c r="S807">
        <f>_xlfn.XLOOKUP(fSales[[#This Row],[ProductID]],dProduct[ProductID],dProduct[CrateCost])</f>
        <v>11.725000000000001</v>
      </c>
    </row>
    <row r="808" spans="7:19" x14ac:dyDescent="0.25">
      <c r="G808" s="2">
        <v>45851</v>
      </c>
      <c r="H808">
        <v>228</v>
      </c>
      <c r="I808" t="s">
        <v>21</v>
      </c>
      <c r="J808" t="s">
        <v>52</v>
      </c>
      <c r="K808">
        <f>_xlfn.XLOOKUP(fSales[[#This Row],[ProductID]],dProduct[ProductID],dProduct[CratePrice])*fSales[[#This Row],[Units]]</f>
        <v>5130</v>
      </c>
      <c r="L808">
        <f>fSales[[#This Row],[Total sales]]-_xlfn.XLOOKUP(fSales[[#This Row],[ProductID]],dProduct[ProductID],dProduct[CrateCost])*fSales[[#This Row],[Units]]</f>
        <v>2257.1999999999998</v>
      </c>
      <c r="M808">
        <f>(_xlfn.XLOOKUP(fSales[[#This Row],[ProductID]],dProduct[ProductID],dProduct[CratePrice])-_xlfn.XLOOKUP(fSales[[#This Row],[ProductID]],dProduct[ProductID],dProduct[CrateCost]))/_xlfn.XLOOKUP(fSales[[#This Row],[ProductID]],dProduct[ProductID],dProduct[CratePrice])</f>
        <v>0.43999999999999995</v>
      </c>
      <c r="N808" t="str">
        <f>_xlfn.XLOOKUP(fSales[[#This Row],[SalesRepID]],dPSalesRep[SalesRepID],dPSalesRep[SalesRep])</f>
        <v>Smitty Rad</v>
      </c>
      <c r="O808" t="str">
        <f>_xlfn.XLOOKUP(fSales[[#This Row],[SalesRepID]],dPSalesRep[SalesRepID],dPSalesRep[Region])</f>
        <v>MidWest</v>
      </c>
      <c r="P808" t="str">
        <f>_xlfn.XLOOKUP(fSales[[#This Row],[ProductID]],dProduct[ProductID],dProduct[Product])</f>
        <v>Kiwi</v>
      </c>
      <c r="Q808">
        <f>_xlfn.XLOOKUP(fSales[[#This Row],[ProductID]],dProduct[ProductID],dProduct[CratePrice])-_xlfn.XLOOKUP(fSales[[#This Row],[ProductID]],dProduct[ProductID],dProduct[CrateCost])</f>
        <v>9.8999999999999986</v>
      </c>
      <c r="R808">
        <f>_xlfn.XLOOKUP(fSales[[#This Row],[ProductID]],dProduct[ProductID],dProduct[CratePrice])</f>
        <v>22.5</v>
      </c>
      <c r="S808">
        <f>_xlfn.XLOOKUP(fSales[[#This Row],[ProductID]],dProduct[ProductID],dProduct[CrateCost])</f>
        <v>12.600000000000001</v>
      </c>
    </row>
    <row r="809" spans="7:19" x14ac:dyDescent="0.25">
      <c r="G809" s="2">
        <v>45852</v>
      </c>
      <c r="H809">
        <v>288</v>
      </c>
      <c r="I809" t="s">
        <v>26</v>
      </c>
      <c r="J809" t="s">
        <v>22</v>
      </c>
      <c r="K809">
        <f>_xlfn.XLOOKUP(fSales[[#This Row],[ProductID]],dProduct[ProductID],dProduct[CratePrice])*fSales[[#This Row],[Units]]</f>
        <v>8568</v>
      </c>
      <c r="L809">
        <f>fSales[[#This Row],[Total sales]]-_xlfn.XLOOKUP(fSales[[#This Row],[ProductID]],dProduct[ProductID],dProduct[CrateCost])*fSales[[#This Row],[Units]]</f>
        <v>3598.5600000000004</v>
      </c>
      <c r="M809">
        <f>(_xlfn.XLOOKUP(fSales[[#This Row],[ProductID]],dProduct[ProductID],dProduct[CratePrice])-_xlfn.XLOOKUP(fSales[[#This Row],[ProductID]],dProduct[ProductID],dProduct[CrateCost]))/_xlfn.XLOOKUP(fSales[[#This Row],[ProductID]],dProduct[ProductID],dProduct[CratePrice])</f>
        <v>0.42000000000000004</v>
      </c>
      <c r="N809" t="str">
        <f>_xlfn.XLOOKUP(fSales[[#This Row],[SalesRepID]],dPSalesRep[SalesRepID],dPSalesRep[SalesRep])</f>
        <v>Timmy Kips</v>
      </c>
      <c r="O809" t="str">
        <f>_xlfn.XLOOKUP(fSales[[#This Row],[SalesRepID]],dPSalesRep[SalesRepID],dPSalesRep[Region])</f>
        <v>East</v>
      </c>
      <c r="P809" t="str">
        <f>_xlfn.XLOOKUP(fSales[[#This Row],[ProductID]],dProduct[ProductID],dProduct[Product])</f>
        <v>Orange</v>
      </c>
      <c r="Q809">
        <f>_xlfn.XLOOKUP(fSales[[#This Row],[ProductID]],dProduct[ProductID],dProduct[CratePrice])-_xlfn.XLOOKUP(fSales[[#This Row],[ProductID]],dProduct[ProductID],dProduct[CrateCost])</f>
        <v>12.495000000000001</v>
      </c>
      <c r="R809">
        <f>_xlfn.XLOOKUP(fSales[[#This Row],[ProductID]],dProduct[ProductID],dProduct[CratePrice])</f>
        <v>29.75</v>
      </c>
      <c r="S809">
        <f>_xlfn.XLOOKUP(fSales[[#This Row],[ProductID]],dProduct[ProductID],dProduct[CrateCost])</f>
        <v>17.254999999999999</v>
      </c>
    </row>
    <row r="810" spans="7:19" x14ac:dyDescent="0.25">
      <c r="G810" s="2">
        <v>45853</v>
      </c>
      <c r="H810">
        <v>84</v>
      </c>
      <c r="I810" t="s">
        <v>34</v>
      </c>
      <c r="J810" t="s">
        <v>32</v>
      </c>
      <c r="K810">
        <f>_xlfn.XLOOKUP(fSales[[#This Row],[ProductID]],dProduct[ProductID],dProduct[CratePrice])*fSales[[#This Row],[Units]]</f>
        <v>1470</v>
      </c>
      <c r="L810">
        <f>fSales[[#This Row],[Total sales]]-_xlfn.XLOOKUP(fSales[[#This Row],[ProductID]],dProduct[ProductID],dProduct[CrateCost])*fSales[[#This Row],[Units]]</f>
        <v>485.09999999999991</v>
      </c>
      <c r="M810">
        <f>(_xlfn.XLOOKUP(fSales[[#This Row],[ProductID]],dProduct[ProductID],dProduct[CratePrice])-_xlfn.XLOOKUP(fSales[[#This Row],[ProductID]],dProduct[ProductID],dProduct[CrateCost]))/_xlfn.XLOOKUP(fSales[[#This Row],[ProductID]],dProduct[ProductID],dProduct[CratePrice])</f>
        <v>0.3299999999999999</v>
      </c>
      <c r="N810" t="str">
        <f>_xlfn.XLOOKUP(fSales[[#This Row],[SalesRepID]],dPSalesRep[SalesRepID],dPSalesRep[SalesRep])</f>
        <v>Shihara Fazzaa</v>
      </c>
      <c r="O810" t="str">
        <f>_xlfn.XLOOKUP(fSales[[#This Row],[SalesRepID]],dPSalesRep[SalesRepID],dPSalesRep[Region])</f>
        <v>East</v>
      </c>
      <c r="P810" t="str">
        <f>_xlfn.XLOOKUP(fSales[[#This Row],[ProductID]],dProduct[ProductID],dProduct[Product])</f>
        <v>Banana</v>
      </c>
      <c r="Q810">
        <f>_xlfn.XLOOKUP(fSales[[#This Row],[ProductID]],dProduct[ProductID],dProduct[CratePrice])-_xlfn.XLOOKUP(fSales[[#This Row],[ProductID]],dProduct[ProductID],dProduct[CrateCost])</f>
        <v>5.7749999999999986</v>
      </c>
      <c r="R810">
        <f>_xlfn.XLOOKUP(fSales[[#This Row],[ProductID]],dProduct[ProductID],dProduct[CratePrice])</f>
        <v>17.5</v>
      </c>
      <c r="S810">
        <f>_xlfn.XLOOKUP(fSales[[#This Row],[ProductID]],dProduct[ProductID],dProduct[CrateCost])</f>
        <v>11.725000000000001</v>
      </c>
    </row>
    <row r="811" spans="7:19" x14ac:dyDescent="0.25">
      <c r="G811" s="2">
        <v>45854</v>
      </c>
      <c r="H811">
        <v>72</v>
      </c>
      <c r="I811" t="s">
        <v>19</v>
      </c>
      <c r="J811" t="s">
        <v>29</v>
      </c>
      <c r="K811">
        <f>_xlfn.XLOOKUP(fSales[[#This Row],[ProductID]],dProduct[ProductID],dProduct[CratePrice])*fSales[[#This Row],[Units]]</f>
        <v>2520</v>
      </c>
      <c r="L811">
        <f>fSales[[#This Row],[Total sales]]-_xlfn.XLOOKUP(fSales[[#This Row],[ProductID]],dProduct[ProductID],dProduct[CrateCost])*fSales[[#This Row],[Units]]</f>
        <v>1411.2</v>
      </c>
      <c r="M811">
        <f>(_xlfn.XLOOKUP(fSales[[#This Row],[ProductID]],dProduct[ProductID],dProduct[CratePrice])-_xlfn.XLOOKUP(fSales[[#This Row],[ProductID]],dProduct[ProductID],dProduct[CrateCost]))/_xlfn.XLOOKUP(fSales[[#This Row],[ProductID]],dProduct[ProductID],dProduct[CratePrice])</f>
        <v>0.56000000000000005</v>
      </c>
      <c r="N811" t="str">
        <f>_xlfn.XLOOKUP(fSales[[#This Row],[SalesRepID]],dPSalesRep[SalesRepID],dPSalesRep[SalesRep])</f>
        <v>Sioux Best</v>
      </c>
      <c r="O811" t="str">
        <f>_xlfn.XLOOKUP(fSales[[#This Row],[SalesRepID]],dPSalesRep[SalesRepID],dPSalesRep[Region])</f>
        <v>West</v>
      </c>
      <c r="P811" t="str">
        <f>_xlfn.XLOOKUP(fSales[[#This Row],[ProductID]],dProduct[ProductID],dProduct[Product])</f>
        <v>Apple</v>
      </c>
      <c r="Q811">
        <f>_xlfn.XLOOKUP(fSales[[#This Row],[ProductID]],dProduct[ProductID],dProduct[CratePrice])-_xlfn.XLOOKUP(fSales[[#This Row],[ProductID]],dProduct[ProductID],dProduct[CrateCost])</f>
        <v>19.600000000000001</v>
      </c>
      <c r="R811">
        <f>_xlfn.XLOOKUP(fSales[[#This Row],[ProductID]],dProduct[ProductID],dProduct[CratePrice])</f>
        <v>35</v>
      </c>
      <c r="S811">
        <f>_xlfn.XLOOKUP(fSales[[#This Row],[ProductID]],dProduct[ProductID],dProduct[CrateCost])</f>
        <v>15.4</v>
      </c>
    </row>
    <row r="812" spans="7:19" x14ac:dyDescent="0.25">
      <c r="G812" s="2">
        <v>45854</v>
      </c>
      <c r="H812">
        <v>144</v>
      </c>
      <c r="I812" t="s">
        <v>34</v>
      </c>
      <c r="J812" t="s">
        <v>52</v>
      </c>
      <c r="K812">
        <f>_xlfn.XLOOKUP(fSales[[#This Row],[ProductID]],dProduct[ProductID],dProduct[CratePrice])*fSales[[#This Row],[Units]]</f>
        <v>2520</v>
      </c>
      <c r="L812">
        <f>fSales[[#This Row],[Total sales]]-_xlfn.XLOOKUP(fSales[[#This Row],[ProductID]],dProduct[ProductID],dProduct[CrateCost])*fSales[[#This Row],[Units]]</f>
        <v>831.59999999999991</v>
      </c>
      <c r="M812">
        <f>(_xlfn.XLOOKUP(fSales[[#This Row],[ProductID]],dProduct[ProductID],dProduct[CratePrice])-_xlfn.XLOOKUP(fSales[[#This Row],[ProductID]],dProduct[ProductID],dProduct[CrateCost]))/_xlfn.XLOOKUP(fSales[[#This Row],[ProductID]],dProduct[ProductID],dProduct[CratePrice])</f>
        <v>0.3299999999999999</v>
      </c>
      <c r="N812" t="str">
        <f>_xlfn.XLOOKUP(fSales[[#This Row],[SalesRepID]],dPSalesRep[SalesRepID],dPSalesRep[SalesRep])</f>
        <v>Smitty Rad</v>
      </c>
      <c r="O812" t="str">
        <f>_xlfn.XLOOKUP(fSales[[#This Row],[SalesRepID]],dPSalesRep[SalesRepID],dPSalesRep[Region])</f>
        <v>MidWest</v>
      </c>
      <c r="P812" t="str">
        <f>_xlfn.XLOOKUP(fSales[[#This Row],[ProductID]],dProduct[ProductID],dProduct[Product])</f>
        <v>Banana</v>
      </c>
      <c r="Q812">
        <f>_xlfn.XLOOKUP(fSales[[#This Row],[ProductID]],dProduct[ProductID],dProduct[CratePrice])-_xlfn.XLOOKUP(fSales[[#This Row],[ProductID]],dProduct[ProductID],dProduct[CrateCost])</f>
        <v>5.7749999999999986</v>
      </c>
      <c r="R812">
        <f>_xlfn.XLOOKUP(fSales[[#This Row],[ProductID]],dProduct[ProductID],dProduct[CratePrice])</f>
        <v>17.5</v>
      </c>
      <c r="S812">
        <f>_xlfn.XLOOKUP(fSales[[#This Row],[ProductID]],dProduct[ProductID],dProduct[CrateCost])</f>
        <v>11.725000000000001</v>
      </c>
    </row>
    <row r="813" spans="7:19" x14ac:dyDescent="0.25">
      <c r="G813" s="2">
        <v>45855</v>
      </c>
      <c r="H813">
        <v>216</v>
      </c>
      <c r="I813" t="s">
        <v>26</v>
      </c>
      <c r="J813" t="s">
        <v>29</v>
      </c>
      <c r="K813">
        <f>_xlfn.XLOOKUP(fSales[[#This Row],[ProductID]],dProduct[ProductID],dProduct[CratePrice])*fSales[[#This Row],[Units]]</f>
        <v>6426</v>
      </c>
      <c r="L813">
        <f>fSales[[#This Row],[Total sales]]-_xlfn.XLOOKUP(fSales[[#This Row],[ProductID]],dProduct[ProductID],dProduct[CrateCost])*fSales[[#This Row],[Units]]</f>
        <v>2698.92</v>
      </c>
      <c r="M813">
        <f>(_xlfn.XLOOKUP(fSales[[#This Row],[ProductID]],dProduct[ProductID],dProduct[CratePrice])-_xlfn.XLOOKUP(fSales[[#This Row],[ProductID]],dProduct[ProductID],dProduct[CrateCost]))/_xlfn.XLOOKUP(fSales[[#This Row],[ProductID]],dProduct[ProductID],dProduct[CratePrice])</f>
        <v>0.42000000000000004</v>
      </c>
      <c r="N813" t="str">
        <f>_xlfn.XLOOKUP(fSales[[#This Row],[SalesRepID]],dPSalesRep[SalesRepID],dPSalesRep[SalesRep])</f>
        <v>Sioux Best</v>
      </c>
      <c r="O813" t="str">
        <f>_xlfn.XLOOKUP(fSales[[#This Row],[SalesRepID]],dPSalesRep[SalesRepID],dPSalesRep[Region])</f>
        <v>West</v>
      </c>
      <c r="P813" t="str">
        <f>_xlfn.XLOOKUP(fSales[[#This Row],[ProductID]],dProduct[ProductID],dProduct[Product])</f>
        <v>Orange</v>
      </c>
      <c r="Q813">
        <f>_xlfn.XLOOKUP(fSales[[#This Row],[ProductID]],dProduct[ProductID],dProduct[CratePrice])-_xlfn.XLOOKUP(fSales[[#This Row],[ProductID]],dProduct[ProductID],dProduct[CrateCost])</f>
        <v>12.495000000000001</v>
      </c>
      <c r="R813">
        <f>_xlfn.XLOOKUP(fSales[[#This Row],[ProductID]],dProduct[ProductID],dProduct[CratePrice])</f>
        <v>29.75</v>
      </c>
      <c r="S813">
        <f>_xlfn.XLOOKUP(fSales[[#This Row],[ProductID]],dProduct[ProductID],dProduct[CrateCost])</f>
        <v>17.254999999999999</v>
      </c>
    </row>
    <row r="814" spans="7:19" x14ac:dyDescent="0.25">
      <c r="G814" s="2">
        <v>45858</v>
      </c>
      <c r="H814">
        <v>156</v>
      </c>
      <c r="I814" t="s">
        <v>28</v>
      </c>
      <c r="J814" t="s">
        <v>22</v>
      </c>
      <c r="K814">
        <f>_xlfn.XLOOKUP(fSales[[#This Row],[ProductID]],dProduct[ProductID],dProduct[CratePrice])*fSales[[#This Row],[Units]]</f>
        <v>6817.2000000000007</v>
      </c>
      <c r="L814">
        <f>fSales[[#This Row],[Total sales]]-_xlfn.XLOOKUP(fSales[[#This Row],[ProductID]],dProduct[ProductID],dProduct[CrateCost])*fSales[[#This Row],[Units]]</f>
        <v>2863.2240000000006</v>
      </c>
      <c r="M814">
        <f>(_xlfn.XLOOKUP(fSales[[#This Row],[ProductID]],dProduct[ProductID],dProduct[CratePrice])-_xlfn.XLOOKUP(fSales[[#This Row],[ProductID]],dProduct[ProductID],dProduct[CrateCost]))/_xlfn.XLOOKUP(fSales[[#This Row],[ProductID]],dProduct[ProductID],dProduct[CratePrice])</f>
        <v>0.42000000000000004</v>
      </c>
      <c r="N814" t="str">
        <f>_xlfn.XLOOKUP(fSales[[#This Row],[SalesRepID]],dPSalesRep[SalesRepID],dPSalesRep[SalesRep])</f>
        <v>Timmy Kips</v>
      </c>
      <c r="O814" t="str">
        <f>_xlfn.XLOOKUP(fSales[[#This Row],[SalesRepID]],dPSalesRep[SalesRepID],dPSalesRep[Region])</f>
        <v>East</v>
      </c>
      <c r="P814" t="str">
        <f>_xlfn.XLOOKUP(fSales[[#This Row],[ProductID]],dProduct[ProductID],dProduct[Product])</f>
        <v>Cherry</v>
      </c>
      <c r="Q814">
        <f>_xlfn.XLOOKUP(fSales[[#This Row],[ProductID]],dProduct[ProductID],dProduct[CratePrice])-_xlfn.XLOOKUP(fSales[[#This Row],[ProductID]],dProduct[ProductID],dProduct[CrateCost])</f>
        <v>18.354000000000003</v>
      </c>
      <c r="R814">
        <f>_xlfn.XLOOKUP(fSales[[#This Row],[ProductID]],dProduct[ProductID],dProduct[CratePrice])</f>
        <v>43.7</v>
      </c>
      <c r="S814">
        <f>_xlfn.XLOOKUP(fSales[[#This Row],[ProductID]],dProduct[ProductID],dProduct[CrateCost])</f>
        <v>25.346</v>
      </c>
    </row>
    <row r="815" spans="7:19" x14ac:dyDescent="0.25">
      <c r="G815" s="2">
        <v>45858</v>
      </c>
      <c r="H815">
        <v>228</v>
      </c>
      <c r="I815" t="s">
        <v>28</v>
      </c>
      <c r="J815" t="s">
        <v>22</v>
      </c>
      <c r="K815">
        <f>_xlfn.XLOOKUP(fSales[[#This Row],[ProductID]],dProduct[ProductID],dProduct[CratePrice])*fSales[[#This Row],[Units]]</f>
        <v>9963.6</v>
      </c>
      <c r="L815">
        <f>fSales[[#This Row],[Total sales]]-_xlfn.XLOOKUP(fSales[[#This Row],[ProductID]],dProduct[ProductID],dProduct[CrateCost])*fSales[[#This Row],[Units]]</f>
        <v>4184.7120000000004</v>
      </c>
      <c r="M815">
        <f>(_xlfn.XLOOKUP(fSales[[#This Row],[ProductID]],dProduct[ProductID],dProduct[CratePrice])-_xlfn.XLOOKUP(fSales[[#This Row],[ProductID]],dProduct[ProductID],dProduct[CrateCost]))/_xlfn.XLOOKUP(fSales[[#This Row],[ProductID]],dProduct[ProductID],dProduct[CratePrice])</f>
        <v>0.42000000000000004</v>
      </c>
      <c r="N815" t="str">
        <f>_xlfn.XLOOKUP(fSales[[#This Row],[SalesRepID]],dPSalesRep[SalesRepID],dPSalesRep[SalesRep])</f>
        <v>Timmy Kips</v>
      </c>
      <c r="O815" t="str">
        <f>_xlfn.XLOOKUP(fSales[[#This Row],[SalesRepID]],dPSalesRep[SalesRepID],dPSalesRep[Region])</f>
        <v>East</v>
      </c>
      <c r="P815" t="str">
        <f>_xlfn.XLOOKUP(fSales[[#This Row],[ProductID]],dProduct[ProductID],dProduct[Product])</f>
        <v>Cherry</v>
      </c>
      <c r="Q815">
        <f>_xlfn.XLOOKUP(fSales[[#This Row],[ProductID]],dProduct[ProductID],dProduct[CratePrice])-_xlfn.XLOOKUP(fSales[[#This Row],[ProductID]],dProduct[ProductID],dProduct[CrateCost])</f>
        <v>18.354000000000003</v>
      </c>
      <c r="R815">
        <f>_xlfn.XLOOKUP(fSales[[#This Row],[ProductID]],dProduct[ProductID],dProduct[CratePrice])</f>
        <v>43.7</v>
      </c>
      <c r="S815">
        <f>_xlfn.XLOOKUP(fSales[[#This Row],[ProductID]],dProduct[ProductID],dProduct[CrateCost])</f>
        <v>25.346</v>
      </c>
    </row>
    <row r="816" spans="7:19" x14ac:dyDescent="0.25">
      <c r="G816" s="2">
        <v>45859</v>
      </c>
      <c r="H816">
        <v>132</v>
      </c>
      <c r="I816" t="s">
        <v>28</v>
      </c>
      <c r="J816" t="s">
        <v>52</v>
      </c>
      <c r="K816">
        <f>_xlfn.XLOOKUP(fSales[[#This Row],[ProductID]],dProduct[ProductID],dProduct[CratePrice])*fSales[[#This Row],[Units]]</f>
        <v>5768.4000000000005</v>
      </c>
      <c r="L816">
        <f>fSales[[#This Row],[Total sales]]-_xlfn.XLOOKUP(fSales[[#This Row],[ProductID]],dProduct[ProductID],dProduct[CrateCost])*fSales[[#This Row],[Units]]</f>
        <v>2422.7280000000005</v>
      </c>
      <c r="M816">
        <f>(_xlfn.XLOOKUP(fSales[[#This Row],[ProductID]],dProduct[ProductID],dProduct[CratePrice])-_xlfn.XLOOKUP(fSales[[#This Row],[ProductID]],dProduct[ProductID],dProduct[CrateCost]))/_xlfn.XLOOKUP(fSales[[#This Row],[ProductID]],dProduct[ProductID],dProduct[CratePrice])</f>
        <v>0.42000000000000004</v>
      </c>
      <c r="N816" t="str">
        <f>_xlfn.XLOOKUP(fSales[[#This Row],[SalesRepID]],dPSalesRep[SalesRepID],dPSalesRep[SalesRep])</f>
        <v>Smitty Rad</v>
      </c>
      <c r="O816" t="str">
        <f>_xlfn.XLOOKUP(fSales[[#This Row],[SalesRepID]],dPSalesRep[SalesRepID],dPSalesRep[Region])</f>
        <v>MidWest</v>
      </c>
      <c r="P816" t="str">
        <f>_xlfn.XLOOKUP(fSales[[#This Row],[ProductID]],dProduct[ProductID],dProduct[Product])</f>
        <v>Cherry</v>
      </c>
      <c r="Q816">
        <f>_xlfn.XLOOKUP(fSales[[#This Row],[ProductID]],dProduct[ProductID],dProduct[CratePrice])-_xlfn.XLOOKUP(fSales[[#This Row],[ProductID]],dProduct[ProductID],dProduct[CrateCost])</f>
        <v>18.354000000000003</v>
      </c>
      <c r="R816">
        <f>_xlfn.XLOOKUP(fSales[[#This Row],[ProductID]],dProduct[ProductID],dProduct[CratePrice])</f>
        <v>43.7</v>
      </c>
      <c r="S816">
        <f>_xlfn.XLOOKUP(fSales[[#This Row],[ProductID]],dProduct[ProductID],dProduct[CrateCost])</f>
        <v>25.346</v>
      </c>
    </row>
    <row r="817" spans="7:19" x14ac:dyDescent="0.25">
      <c r="G817" s="2">
        <v>45859</v>
      </c>
      <c r="H817">
        <v>204</v>
      </c>
      <c r="I817" t="s">
        <v>28</v>
      </c>
      <c r="J817" t="s">
        <v>52</v>
      </c>
      <c r="K817">
        <f>_xlfn.XLOOKUP(fSales[[#This Row],[ProductID]],dProduct[ProductID],dProduct[CratePrice])*fSales[[#This Row],[Units]]</f>
        <v>8914.8000000000011</v>
      </c>
      <c r="L817">
        <f>fSales[[#This Row],[Total sales]]-_xlfn.XLOOKUP(fSales[[#This Row],[ProductID]],dProduct[ProductID],dProduct[CrateCost])*fSales[[#This Row],[Units]]</f>
        <v>3744.2160000000013</v>
      </c>
      <c r="M817">
        <f>(_xlfn.XLOOKUP(fSales[[#This Row],[ProductID]],dProduct[ProductID],dProduct[CratePrice])-_xlfn.XLOOKUP(fSales[[#This Row],[ProductID]],dProduct[ProductID],dProduct[CrateCost]))/_xlfn.XLOOKUP(fSales[[#This Row],[ProductID]],dProduct[ProductID],dProduct[CratePrice])</f>
        <v>0.42000000000000004</v>
      </c>
      <c r="N817" t="str">
        <f>_xlfn.XLOOKUP(fSales[[#This Row],[SalesRepID]],dPSalesRep[SalesRepID],dPSalesRep[SalesRep])</f>
        <v>Smitty Rad</v>
      </c>
      <c r="O817" t="str">
        <f>_xlfn.XLOOKUP(fSales[[#This Row],[SalesRepID]],dPSalesRep[SalesRepID],dPSalesRep[Region])</f>
        <v>MidWest</v>
      </c>
      <c r="P817" t="str">
        <f>_xlfn.XLOOKUP(fSales[[#This Row],[ProductID]],dProduct[ProductID],dProduct[Product])</f>
        <v>Cherry</v>
      </c>
      <c r="Q817">
        <f>_xlfn.XLOOKUP(fSales[[#This Row],[ProductID]],dProduct[ProductID],dProduct[CratePrice])-_xlfn.XLOOKUP(fSales[[#This Row],[ProductID]],dProduct[ProductID],dProduct[CrateCost])</f>
        <v>18.354000000000003</v>
      </c>
      <c r="R817">
        <f>_xlfn.XLOOKUP(fSales[[#This Row],[ProductID]],dProduct[ProductID],dProduct[CratePrice])</f>
        <v>43.7</v>
      </c>
      <c r="S817">
        <f>_xlfn.XLOOKUP(fSales[[#This Row],[ProductID]],dProduct[ProductID],dProduct[CrateCost])</f>
        <v>25.346</v>
      </c>
    </row>
    <row r="818" spans="7:19" x14ac:dyDescent="0.25">
      <c r="G818" s="2">
        <v>45859</v>
      </c>
      <c r="H818">
        <v>144</v>
      </c>
      <c r="I818" t="s">
        <v>19</v>
      </c>
      <c r="J818" t="s">
        <v>22</v>
      </c>
      <c r="K818">
        <f>_xlfn.XLOOKUP(fSales[[#This Row],[ProductID]],dProduct[ProductID],dProduct[CratePrice])*fSales[[#This Row],[Units]]</f>
        <v>5040</v>
      </c>
      <c r="L818">
        <f>fSales[[#This Row],[Total sales]]-_xlfn.XLOOKUP(fSales[[#This Row],[ProductID]],dProduct[ProductID],dProduct[CrateCost])*fSales[[#This Row],[Units]]</f>
        <v>2822.4</v>
      </c>
      <c r="M818">
        <f>(_xlfn.XLOOKUP(fSales[[#This Row],[ProductID]],dProduct[ProductID],dProduct[CratePrice])-_xlfn.XLOOKUP(fSales[[#This Row],[ProductID]],dProduct[ProductID],dProduct[CrateCost]))/_xlfn.XLOOKUP(fSales[[#This Row],[ProductID]],dProduct[ProductID],dProduct[CratePrice])</f>
        <v>0.56000000000000005</v>
      </c>
      <c r="N818" t="str">
        <f>_xlfn.XLOOKUP(fSales[[#This Row],[SalesRepID]],dPSalesRep[SalesRepID],dPSalesRep[SalesRep])</f>
        <v>Timmy Kips</v>
      </c>
      <c r="O818" t="str">
        <f>_xlfn.XLOOKUP(fSales[[#This Row],[SalesRepID]],dPSalesRep[SalesRepID],dPSalesRep[Region])</f>
        <v>East</v>
      </c>
      <c r="P818" t="str">
        <f>_xlfn.XLOOKUP(fSales[[#This Row],[ProductID]],dProduct[ProductID],dProduct[Product])</f>
        <v>Apple</v>
      </c>
      <c r="Q818">
        <f>_xlfn.XLOOKUP(fSales[[#This Row],[ProductID]],dProduct[ProductID],dProduct[CratePrice])-_xlfn.XLOOKUP(fSales[[#This Row],[ProductID]],dProduct[ProductID],dProduct[CrateCost])</f>
        <v>19.600000000000001</v>
      </c>
      <c r="R818">
        <f>_xlfn.XLOOKUP(fSales[[#This Row],[ProductID]],dProduct[ProductID],dProduct[CratePrice])</f>
        <v>35</v>
      </c>
      <c r="S818">
        <f>_xlfn.XLOOKUP(fSales[[#This Row],[ProductID]],dProduct[ProductID],dProduct[CrateCost])</f>
        <v>15.4</v>
      </c>
    </row>
    <row r="819" spans="7:19" x14ac:dyDescent="0.25">
      <c r="G819" s="2">
        <v>45859</v>
      </c>
      <c r="H819">
        <v>120</v>
      </c>
      <c r="I819" t="s">
        <v>34</v>
      </c>
      <c r="J819" t="s">
        <v>37</v>
      </c>
      <c r="K819">
        <f>_xlfn.XLOOKUP(fSales[[#This Row],[ProductID]],dProduct[ProductID],dProduct[CratePrice])*fSales[[#This Row],[Units]]</f>
        <v>2100</v>
      </c>
      <c r="L819">
        <f>fSales[[#This Row],[Total sales]]-_xlfn.XLOOKUP(fSales[[#This Row],[ProductID]],dProduct[ProductID],dProduct[CrateCost])*fSales[[#This Row],[Units]]</f>
        <v>692.99999999999977</v>
      </c>
      <c r="M819">
        <f>(_xlfn.XLOOKUP(fSales[[#This Row],[ProductID]],dProduct[ProductID],dProduct[CratePrice])-_xlfn.XLOOKUP(fSales[[#This Row],[ProductID]],dProduct[ProductID],dProduct[CrateCost]))/_xlfn.XLOOKUP(fSales[[#This Row],[ProductID]],dProduct[ProductID],dProduct[CratePrice])</f>
        <v>0.3299999999999999</v>
      </c>
      <c r="N819" t="str">
        <f>_xlfn.XLOOKUP(fSales[[#This Row],[SalesRepID]],dPSalesRep[SalesRepID],dPSalesRep[SalesRep])</f>
        <v>Chantel Mims</v>
      </c>
      <c r="O819" t="str">
        <f>_xlfn.XLOOKUP(fSales[[#This Row],[SalesRepID]],dPSalesRep[SalesRepID],dPSalesRep[Region])</f>
        <v>NW</v>
      </c>
      <c r="P819" t="str">
        <f>_xlfn.XLOOKUP(fSales[[#This Row],[ProductID]],dProduct[ProductID],dProduct[Product])</f>
        <v>Banana</v>
      </c>
      <c r="Q819">
        <f>_xlfn.XLOOKUP(fSales[[#This Row],[ProductID]],dProduct[ProductID],dProduct[CratePrice])-_xlfn.XLOOKUP(fSales[[#This Row],[ProductID]],dProduct[ProductID],dProduct[CrateCost])</f>
        <v>5.7749999999999986</v>
      </c>
      <c r="R819">
        <f>_xlfn.XLOOKUP(fSales[[#This Row],[ProductID]],dProduct[ProductID],dProduct[CratePrice])</f>
        <v>17.5</v>
      </c>
      <c r="S819">
        <f>_xlfn.XLOOKUP(fSales[[#This Row],[ProductID]],dProduct[ProductID],dProduct[CrateCost])</f>
        <v>11.725000000000001</v>
      </c>
    </row>
    <row r="820" spans="7:19" x14ac:dyDescent="0.25">
      <c r="G820" s="2">
        <v>45860</v>
      </c>
      <c r="H820">
        <v>288</v>
      </c>
      <c r="I820" t="s">
        <v>19</v>
      </c>
      <c r="J820" t="s">
        <v>37</v>
      </c>
      <c r="K820">
        <f>_xlfn.XLOOKUP(fSales[[#This Row],[ProductID]],dProduct[ProductID],dProduct[CratePrice])*fSales[[#This Row],[Units]]</f>
        <v>10080</v>
      </c>
      <c r="L820">
        <f>fSales[[#This Row],[Total sales]]-_xlfn.XLOOKUP(fSales[[#This Row],[ProductID]],dProduct[ProductID],dProduct[CrateCost])*fSales[[#This Row],[Units]]</f>
        <v>5644.8</v>
      </c>
      <c r="M820">
        <f>(_xlfn.XLOOKUP(fSales[[#This Row],[ProductID]],dProduct[ProductID],dProduct[CratePrice])-_xlfn.XLOOKUP(fSales[[#This Row],[ProductID]],dProduct[ProductID],dProduct[CrateCost]))/_xlfn.XLOOKUP(fSales[[#This Row],[ProductID]],dProduct[ProductID],dProduct[CratePrice])</f>
        <v>0.56000000000000005</v>
      </c>
      <c r="N820" t="str">
        <f>_xlfn.XLOOKUP(fSales[[#This Row],[SalesRepID]],dPSalesRep[SalesRepID],dPSalesRep[SalesRep])</f>
        <v>Chantel Mims</v>
      </c>
      <c r="O820" t="str">
        <f>_xlfn.XLOOKUP(fSales[[#This Row],[SalesRepID]],dPSalesRep[SalesRepID],dPSalesRep[Region])</f>
        <v>NW</v>
      </c>
      <c r="P820" t="str">
        <f>_xlfn.XLOOKUP(fSales[[#This Row],[ProductID]],dProduct[ProductID],dProduct[Product])</f>
        <v>Apple</v>
      </c>
      <c r="Q820">
        <f>_xlfn.XLOOKUP(fSales[[#This Row],[ProductID]],dProduct[ProductID],dProduct[CratePrice])-_xlfn.XLOOKUP(fSales[[#This Row],[ProductID]],dProduct[ProductID],dProduct[CrateCost])</f>
        <v>19.600000000000001</v>
      </c>
      <c r="R820">
        <f>_xlfn.XLOOKUP(fSales[[#This Row],[ProductID]],dProduct[ProductID],dProduct[CratePrice])</f>
        <v>35</v>
      </c>
      <c r="S820">
        <f>_xlfn.XLOOKUP(fSales[[#This Row],[ProductID]],dProduct[ProductID],dProduct[CrateCost])</f>
        <v>15.4</v>
      </c>
    </row>
    <row r="821" spans="7:19" x14ac:dyDescent="0.25">
      <c r="G821" s="2">
        <v>45860</v>
      </c>
      <c r="H821">
        <v>264</v>
      </c>
      <c r="I821" t="s">
        <v>28</v>
      </c>
      <c r="J821" t="s">
        <v>37</v>
      </c>
      <c r="K821">
        <f>_xlfn.XLOOKUP(fSales[[#This Row],[ProductID]],dProduct[ProductID],dProduct[CratePrice])*fSales[[#This Row],[Units]]</f>
        <v>11536.800000000001</v>
      </c>
      <c r="L821">
        <f>fSales[[#This Row],[Total sales]]-_xlfn.XLOOKUP(fSales[[#This Row],[ProductID]],dProduct[ProductID],dProduct[CrateCost])*fSales[[#This Row],[Units]]</f>
        <v>4845.456000000001</v>
      </c>
      <c r="M821">
        <f>(_xlfn.XLOOKUP(fSales[[#This Row],[ProductID]],dProduct[ProductID],dProduct[CratePrice])-_xlfn.XLOOKUP(fSales[[#This Row],[ProductID]],dProduct[ProductID],dProduct[CrateCost]))/_xlfn.XLOOKUP(fSales[[#This Row],[ProductID]],dProduct[ProductID],dProduct[CratePrice])</f>
        <v>0.42000000000000004</v>
      </c>
      <c r="N821" t="str">
        <f>_xlfn.XLOOKUP(fSales[[#This Row],[SalesRepID]],dPSalesRep[SalesRepID],dPSalesRep[SalesRep])</f>
        <v>Chantel Mims</v>
      </c>
      <c r="O821" t="str">
        <f>_xlfn.XLOOKUP(fSales[[#This Row],[SalesRepID]],dPSalesRep[SalesRepID],dPSalesRep[Region])</f>
        <v>NW</v>
      </c>
      <c r="P821" t="str">
        <f>_xlfn.XLOOKUP(fSales[[#This Row],[ProductID]],dProduct[ProductID],dProduct[Product])</f>
        <v>Cherry</v>
      </c>
      <c r="Q821">
        <f>_xlfn.XLOOKUP(fSales[[#This Row],[ProductID]],dProduct[ProductID],dProduct[CratePrice])-_xlfn.XLOOKUP(fSales[[#This Row],[ProductID]],dProduct[ProductID],dProduct[CrateCost])</f>
        <v>18.354000000000003</v>
      </c>
      <c r="R821">
        <f>_xlfn.XLOOKUP(fSales[[#This Row],[ProductID]],dProduct[ProductID],dProduct[CratePrice])</f>
        <v>43.7</v>
      </c>
      <c r="S821">
        <f>_xlfn.XLOOKUP(fSales[[#This Row],[ProductID]],dProduct[ProductID],dProduct[CrateCost])</f>
        <v>25.346</v>
      </c>
    </row>
    <row r="822" spans="7:19" x14ac:dyDescent="0.25">
      <c r="G822" s="2">
        <v>45861</v>
      </c>
      <c r="H822">
        <v>84</v>
      </c>
      <c r="I822" t="s">
        <v>28</v>
      </c>
      <c r="J822" t="s">
        <v>29</v>
      </c>
      <c r="K822">
        <f>_xlfn.XLOOKUP(fSales[[#This Row],[ProductID]],dProduct[ProductID],dProduct[CratePrice])*fSales[[#This Row],[Units]]</f>
        <v>3670.8</v>
      </c>
      <c r="L822">
        <f>fSales[[#This Row],[Total sales]]-_xlfn.XLOOKUP(fSales[[#This Row],[ProductID]],dProduct[ProductID],dProduct[CrateCost])*fSales[[#This Row],[Units]]</f>
        <v>1541.7360000000003</v>
      </c>
      <c r="M822">
        <f>(_xlfn.XLOOKUP(fSales[[#This Row],[ProductID]],dProduct[ProductID],dProduct[CratePrice])-_xlfn.XLOOKUP(fSales[[#This Row],[ProductID]],dProduct[ProductID],dProduct[CrateCost]))/_xlfn.XLOOKUP(fSales[[#This Row],[ProductID]],dProduct[ProductID],dProduct[CratePrice])</f>
        <v>0.42000000000000004</v>
      </c>
      <c r="N822" t="str">
        <f>_xlfn.XLOOKUP(fSales[[#This Row],[SalesRepID]],dPSalesRep[SalesRepID],dPSalesRep[SalesRep])</f>
        <v>Sioux Best</v>
      </c>
      <c r="O822" t="str">
        <f>_xlfn.XLOOKUP(fSales[[#This Row],[SalesRepID]],dPSalesRep[SalesRepID],dPSalesRep[Region])</f>
        <v>West</v>
      </c>
      <c r="P822" t="str">
        <f>_xlfn.XLOOKUP(fSales[[#This Row],[ProductID]],dProduct[ProductID],dProduct[Product])</f>
        <v>Cherry</v>
      </c>
      <c r="Q822">
        <f>_xlfn.XLOOKUP(fSales[[#This Row],[ProductID]],dProduct[ProductID],dProduct[CratePrice])-_xlfn.XLOOKUP(fSales[[#This Row],[ProductID]],dProduct[ProductID],dProduct[CrateCost])</f>
        <v>18.354000000000003</v>
      </c>
      <c r="R822">
        <f>_xlfn.XLOOKUP(fSales[[#This Row],[ProductID]],dProduct[ProductID],dProduct[CratePrice])</f>
        <v>43.7</v>
      </c>
      <c r="S822">
        <f>_xlfn.XLOOKUP(fSales[[#This Row],[ProductID]],dProduct[ProductID],dProduct[CrateCost])</f>
        <v>25.346</v>
      </c>
    </row>
    <row r="823" spans="7:19" x14ac:dyDescent="0.25">
      <c r="G823" s="2">
        <v>45862</v>
      </c>
      <c r="H823">
        <v>204</v>
      </c>
      <c r="I823" t="s">
        <v>26</v>
      </c>
      <c r="J823" t="s">
        <v>32</v>
      </c>
      <c r="K823">
        <f>_xlfn.XLOOKUP(fSales[[#This Row],[ProductID]],dProduct[ProductID],dProduct[CratePrice])*fSales[[#This Row],[Units]]</f>
        <v>6069</v>
      </c>
      <c r="L823">
        <f>fSales[[#This Row],[Total sales]]-_xlfn.XLOOKUP(fSales[[#This Row],[ProductID]],dProduct[ProductID],dProduct[CrateCost])*fSales[[#This Row],[Units]]</f>
        <v>2548.98</v>
      </c>
      <c r="M823">
        <f>(_xlfn.XLOOKUP(fSales[[#This Row],[ProductID]],dProduct[ProductID],dProduct[CratePrice])-_xlfn.XLOOKUP(fSales[[#This Row],[ProductID]],dProduct[ProductID],dProduct[CrateCost]))/_xlfn.XLOOKUP(fSales[[#This Row],[ProductID]],dProduct[ProductID],dProduct[CratePrice])</f>
        <v>0.42000000000000004</v>
      </c>
      <c r="N823" t="str">
        <f>_xlfn.XLOOKUP(fSales[[#This Row],[SalesRepID]],dPSalesRep[SalesRepID],dPSalesRep[SalesRep])</f>
        <v>Shihara Fazzaa</v>
      </c>
      <c r="O823" t="str">
        <f>_xlfn.XLOOKUP(fSales[[#This Row],[SalesRepID]],dPSalesRep[SalesRepID],dPSalesRep[Region])</f>
        <v>East</v>
      </c>
      <c r="P823" t="str">
        <f>_xlfn.XLOOKUP(fSales[[#This Row],[ProductID]],dProduct[ProductID],dProduct[Product])</f>
        <v>Orange</v>
      </c>
      <c r="Q823">
        <f>_xlfn.XLOOKUP(fSales[[#This Row],[ProductID]],dProduct[ProductID],dProduct[CratePrice])-_xlfn.XLOOKUP(fSales[[#This Row],[ProductID]],dProduct[ProductID],dProduct[CrateCost])</f>
        <v>12.495000000000001</v>
      </c>
      <c r="R823">
        <f>_xlfn.XLOOKUP(fSales[[#This Row],[ProductID]],dProduct[ProductID],dProduct[CratePrice])</f>
        <v>29.75</v>
      </c>
      <c r="S823">
        <f>_xlfn.XLOOKUP(fSales[[#This Row],[ProductID]],dProduct[ProductID],dProduct[CrateCost])</f>
        <v>17.254999999999999</v>
      </c>
    </row>
    <row r="824" spans="7:19" x14ac:dyDescent="0.25">
      <c r="G824" s="2">
        <v>45863</v>
      </c>
      <c r="H824">
        <v>144</v>
      </c>
      <c r="I824" t="s">
        <v>19</v>
      </c>
      <c r="J824" t="s">
        <v>37</v>
      </c>
      <c r="K824">
        <f>_xlfn.XLOOKUP(fSales[[#This Row],[ProductID]],dProduct[ProductID],dProduct[CratePrice])*fSales[[#This Row],[Units]]</f>
        <v>5040</v>
      </c>
      <c r="L824">
        <f>fSales[[#This Row],[Total sales]]-_xlfn.XLOOKUP(fSales[[#This Row],[ProductID]],dProduct[ProductID],dProduct[CrateCost])*fSales[[#This Row],[Units]]</f>
        <v>2822.4</v>
      </c>
      <c r="M824">
        <f>(_xlfn.XLOOKUP(fSales[[#This Row],[ProductID]],dProduct[ProductID],dProduct[CratePrice])-_xlfn.XLOOKUP(fSales[[#This Row],[ProductID]],dProduct[ProductID],dProduct[CrateCost]))/_xlfn.XLOOKUP(fSales[[#This Row],[ProductID]],dProduct[ProductID],dProduct[CratePrice])</f>
        <v>0.56000000000000005</v>
      </c>
      <c r="N824" t="str">
        <f>_xlfn.XLOOKUP(fSales[[#This Row],[SalesRepID]],dPSalesRep[SalesRepID],dPSalesRep[SalesRep])</f>
        <v>Chantel Mims</v>
      </c>
      <c r="O824" t="str">
        <f>_xlfn.XLOOKUP(fSales[[#This Row],[SalesRepID]],dPSalesRep[SalesRepID],dPSalesRep[Region])</f>
        <v>NW</v>
      </c>
      <c r="P824" t="str">
        <f>_xlfn.XLOOKUP(fSales[[#This Row],[ProductID]],dProduct[ProductID],dProduct[Product])</f>
        <v>Apple</v>
      </c>
      <c r="Q824">
        <f>_xlfn.XLOOKUP(fSales[[#This Row],[ProductID]],dProduct[ProductID],dProduct[CratePrice])-_xlfn.XLOOKUP(fSales[[#This Row],[ProductID]],dProduct[ProductID],dProduct[CrateCost])</f>
        <v>19.600000000000001</v>
      </c>
      <c r="R824">
        <f>_xlfn.XLOOKUP(fSales[[#This Row],[ProductID]],dProduct[ProductID],dProduct[CratePrice])</f>
        <v>35</v>
      </c>
      <c r="S824">
        <f>_xlfn.XLOOKUP(fSales[[#This Row],[ProductID]],dProduct[ProductID],dProduct[CrateCost])</f>
        <v>15.4</v>
      </c>
    </row>
    <row r="825" spans="7:19" x14ac:dyDescent="0.25">
      <c r="G825" s="2">
        <v>45864</v>
      </c>
      <c r="H825">
        <v>108</v>
      </c>
      <c r="I825" t="s">
        <v>21</v>
      </c>
      <c r="J825" t="s">
        <v>29</v>
      </c>
      <c r="K825">
        <f>_xlfn.XLOOKUP(fSales[[#This Row],[ProductID]],dProduct[ProductID],dProduct[CratePrice])*fSales[[#This Row],[Units]]</f>
        <v>2430</v>
      </c>
      <c r="L825">
        <f>fSales[[#This Row],[Total sales]]-_xlfn.XLOOKUP(fSales[[#This Row],[ProductID]],dProduct[ProductID],dProduct[CrateCost])*fSales[[#This Row],[Units]]</f>
        <v>1069.1999999999998</v>
      </c>
      <c r="M825">
        <f>(_xlfn.XLOOKUP(fSales[[#This Row],[ProductID]],dProduct[ProductID],dProduct[CratePrice])-_xlfn.XLOOKUP(fSales[[#This Row],[ProductID]],dProduct[ProductID],dProduct[CrateCost]))/_xlfn.XLOOKUP(fSales[[#This Row],[ProductID]],dProduct[ProductID],dProduct[CratePrice])</f>
        <v>0.43999999999999995</v>
      </c>
      <c r="N825" t="str">
        <f>_xlfn.XLOOKUP(fSales[[#This Row],[SalesRepID]],dPSalesRep[SalesRepID],dPSalesRep[SalesRep])</f>
        <v>Sioux Best</v>
      </c>
      <c r="O825" t="str">
        <f>_xlfn.XLOOKUP(fSales[[#This Row],[SalesRepID]],dPSalesRep[SalesRepID],dPSalesRep[Region])</f>
        <v>West</v>
      </c>
      <c r="P825" t="str">
        <f>_xlfn.XLOOKUP(fSales[[#This Row],[ProductID]],dProduct[ProductID],dProduct[Product])</f>
        <v>Kiwi</v>
      </c>
      <c r="Q825">
        <f>_xlfn.XLOOKUP(fSales[[#This Row],[ProductID]],dProduct[ProductID],dProduct[CratePrice])-_xlfn.XLOOKUP(fSales[[#This Row],[ProductID]],dProduct[ProductID],dProduct[CrateCost])</f>
        <v>9.8999999999999986</v>
      </c>
      <c r="R825">
        <f>_xlfn.XLOOKUP(fSales[[#This Row],[ProductID]],dProduct[ProductID],dProduct[CratePrice])</f>
        <v>22.5</v>
      </c>
      <c r="S825">
        <f>_xlfn.XLOOKUP(fSales[[#This Row],[ProductID]],dProduct[ProductID],dProduct[CrateCost])</f>
        <v>12.600000000000001</v>
      </c>
    </row>
    <row r="826" spans="7:19" x14ac:dyDescent="0.25">
      <c r="G826" s="2">
        <v>45865</v>
      </c>
      <c r="H826">
        <v>192</v>
      </c>
      <c r="I826" t="s">
        <v>19</v>
      </c>
      <c r="J826" t="s">
        <v>52</v>
      </c>
      <c r="K826">
        <f>_xlfn.XLOOKUP(fSales[[#This Row],[ProductID]],dProduct[ProductID],dProduct[CratePrice])*fSales[[#This Row],[Units]]</f>
        <v>6720</v>
      </c>
      <c r="L826">
        <f>fSales[[#This Row],[Total sales]]-_xlfn.XLOOKUP(fSales[[#This Row],[ProductID]],dProduct[ProductID],dProduct[CrateCost])*fSales[[#This Row],[Units]]</f>
        <v>3763.2</v>
      </c>
      <c r="M826">
        <f>(_xlfn.XLOOKUP(fSales[[#This Row],[ProductID]],dProduct[ProductID],dProduct[CratePrice])-_xlfn.XLOOKUP(fSales[[#This Row],[ProductID]],dProduct[ProductID],dProduct[CrateCost]))/_xlfn.XLOOKUP(fSales[[#This Row],[ProductID]],dProduct[ProductID],dProduct[CratePrice])</f>
        <v>0.56000000000000005</v>
      </c>
      <c r="N826" t="str">
        <f>_xlfn.XLOOKUP(fSales[[#This Row],[SalesRepID]],dPSalesRep[SalesRepID],dPSalesRep[SalesRep])</f>
        <v>Smitty Rad</v>
      </c>
      <c r="O826" t="str">
        <f>_xlfn.XLOOKUP(fSales[[#This Row],[SalesRepID]],dPSalesRep[SalesRepID],dPSalesRep[Region])</f>
        <v>MidWest</v>
      </c>
      <c r="P826" t="str">
        <f>_xlfn.XLOOKUP(fSales[[#This Row],[ProductID]],dProduct[ProductID],dProduct[Product])</f>
        <v>Apple</v>
      </c>
      <c r="Q826">
        <f>_xlfn.XLOOKUP(fSales[[#This Row],[ProductID]],dProduct[ProductID],dProduct[CratePrice])-_xlfn.XLOOKUP(fSales[[#This Row],[ProductID]],dProduct[ProductID],dProduct[CrateCost])</f>
        <v>19.600000000000001</v>
      </c>
      <c r="R826">
        <f>_xlfn.XLOOKUP(fSales[[#This Row],[ProductID]],dProduct[ProductID],dProduct[CratePrice])</f>
        <v>35</v>
      </c>
      <c r="S826">
        <f>_xlfn.XLOOKUP(fSales[[#This Row],[ProductID]],dProduct[ProductID],dProduct[CrateCost])</f>
        <v>15.4</v>
      </c>
    </row>
    <row r="827" spans="7:19" x14ac:dyDescent="0.25">
      <c r="G827" s="2">
        <v>45865</v>
      </c>
      <c r="H827">
        <v>72</v>
      </c>
      <c r="I827" t="s">
        <v>26</v>
      </c>
      <c r="J827" t="s">
        <v>32</v>
      </c>
      <c r="K827">
        <f>_xlfn.XLOOKUP(fSales[[#This Row],[ProductID]],dProduct[ProductID],dProduct[CratePrice])*fSales[[#This Row],[Units]]</f>
        <v>2142</v>
      </c>
      <c r="L827">
        <f>fSales[[#This Row],[Total sales]]-_xlfn.XLOOKUP(fSales[[#This Row],[ProductID]],dProduct[ProductID],dProduct[CrateCost])*fSales[[#This Row],[Units]]</f>
        <v>899.6400000000001</v>
      </c>
      <c r="M827">
        <f>(_xlfn.XLOOKUP(fSales[[#This Row],[ProductID]],dProduct[ProductID],dProduct[CratePrice])-_xlfn.XLOOKUP(fSales[[#This Row],[ProductID]],dProduct[ProductID],dProduct[CrateCost]))/_xlfn.XLOOKUP(fSales[[#This Row],[ProductID]],dProduct[ProductID],dProduct[CratePrice])</f>
        <v>0.42000000000000004</v>
      </c>
      <c r="N827" t="str">
        <f>_xlfn.XLOOKUP(fSales[[#This Row],[SalesRepID]],dPSalesRep[SalesRepID],dPSalesRep[SalesRep])</f>
        <v>Shihara Fazzaa</v>
      </c>
      <c r="O827" t="str">
        <f>_xlfn.XLOOKUP(fSales[[#This Row],[SalesRepID]],dPSalesRep[SalesRepID],dPSalesRep[Region])</f>
        <v>East</v>
      </c>
      <c r="P827" t="str">
        <f>_xlfn.XLOOKUP(fSales[[#This Row],[ProductID]],dProduct[ProductID],dProduct[Product])</f>
        <v>Orange</v>
      </c>
      <c r="Q827">
        <f>_xlfn.XLOOKUP(fSales[[#This Row],[ProductID]],dProduct[ProductID],dProduct[CratePrice])-_xlfn.XLOOKUP(fSales[[#This Row],[ProductID]],dProduct[ProductID],dProduct[CrateCost])</f>
        <v>12.495000000000001</v>
      </c>
      <c r="R827">
        <f>_xlfn.XLOOKUP(fSales[[#This Row],[ProductID]],dProduct[ProductID],dProduct[CratePrice])</f>
        <v>29.75</v>
      </c>
      <c r="S827">
        <f>_xlfn.XLOOKUP(fSales[[#This Row],[ProductID]],dProduct[ProductID],dProduct[CrateCost])</f>
        <v>17.254999999999999</v>
      </c>
    </row>
    <row r="828" spans="7:19" x14ac:dyDescent="0.25">
      <c r="G828" s="2">
        <v>45866</v>
      </c>
      <c r="H828">
        <v>108</v>
      </c>
      <c r="I828" t="s">
        <v>28</v>
      </c>
      <c r="J828" t="s">
        <v>37</v>
      </c>
      <c r="K828">
        <f>_xlfn.XLOOKUP(fSales[[#This Row],[ProductID]],dProduct[ProductID],dProduct[CratePrice])*fSales[[#This Row],[Units]]</f>
        <v>4719.6000000000004</v>
      </c>
      <c r="L828">
        <f>fSales[[#This Row],[Total sales]]-_xlfn.XLOOKUP(fSales[[#This Row],[ProductID]],dProduct[ProductID],dProduct[CrateCost])*fSales[[#This Row],[Units]]</f>
        <v>1982.2320000000004</v>
      </c>
      <c r="M828">
        <f>(_xlfn.XLOOKUP(fSales[[#This Row],[ProductID]],dProduct[ProductID],dProduct[CratePrice])-_xlfn.XLOOKUP(fSales[[#This Row],[ProductID]],dProduct[ProductID],dProduct[CrateCost]))/_xlfn.XLOOKUP(fSales[[#This Row],[ProductID]],dProduct[ProductID],dProduct[CratePrice])</f>
        <v>0.42000000000000004</v>
      </c>
      <c r="N828" t="str">
        <f>_xlfn.XLOOKUP(fSales[[#This Row],[SalesRepID]],dPSalesRep[SalesRepID],dPSalesRep[SalesRep])</f>
        <v>Chantel Mims</v>
      </c>
      <c r="O828" t="str">
        <f>_xlfn.XLOOKUP(fSales[[#This Row],[SalesRepID]],dPSalesRep[SalesRepID],dPSalesRep[Region])</f>
        <v>NW</v>
      </c>
      <c r="P828" t="str">
        <f>_xlfn.XLOOKUP(fSales[[#This Row],[ProductID]],dProduct[ProductID],dProduct[Product])</f>
        <v>Cherry</v>
      </c>
      <c r="Q828">
        <f>_xlfn.XLOOKUP(fSales[[#This Row],[ProductID]],dProduct[ProductID],dProduct[CratePrice])-_xlfn.XLOOKUP(fSales[[#This Row],[ProductID]],dProduct[ProductID],dProduct[CrateCost])</f>
        <v>18.354000000000003</v>
      </c>
      <c r="R828">
        <f>_xlfn.XLOOKUP(fSales[[#This Row],[ProductID]],dProduct[ProductID],dProduct[CratePrice])</f>
        <v>43.7</v>
      </c>
      <c r="S828">
        <f>_xlfn.XLOOKUP(fSales[[#This Row],[ProductID]],dProduct[ProductID],dProduct[CrateCost])</f>
        <v>25.346</v>
      </c>
    </row>
    <row r="829" spans="7:19" x14ac:dyDescent="0.25">
      <c r="G829" s="2">
        <v>45866</v>
      </c>
      <c r="H829">
        <v>168</v>
      </c>
      <c r="I829" t="s">
        <v>26</v>
      </c>
      <c r="J829" t="s">
        <v>29</v>
      </c>
      <c r="K829">
        <f>_xlfn.XLOOKUP(fSales[[#This Row],[ProductID]],dProduct[ProductID],dProduct[CratePrice])*fSales[[#This Row],[Units]]</f>
        <v>4998</v>
      </c>
      <c r="L829">
        <f>fSales[[#This Row],[Total sales]]-_xlfn.XLOOKUP(fSales[[#This Row],[ProductID]],dProduct[ProductID],dProduct[CrateCost])*fSales[[#This Row],[Units]]</f>
        <v>2099.1600000000003</v>
      </c>
      <c r="M829">
        <f>(_xlfn.XLOOKUP(fSales[[#This Row],[ProductID]],dProduct[ProductID],dProduct[CratePrice])-_xlfn.XLOOKUP(fSales[[#This Row],[ProductID]],dProduct[ProductID],dProduct[CrateCost]))/_xlfn.XLOOKUP(fSales[[#This Row],[ProductID]],dProduct[ProductID],dProduct[CratePrice])</f>
        <v>0.42000000000000004</v>
      </c>
      <c r="N829" t="str">
        <f>_xlfn.XLOOKUP(fSales[[#This Row],[SalesRepID]],dPSalesRep[SalesRepID],dPSalesRep[SalesRep])</f>
        <v>Sioux Best</v>
      </c>
      <c r="O829" t="str">
        <f>_xlfn.XLOOKUP(fSales[[#This Row],[SalesRepID]],dPSalesRep[SalesRepID],dPSalesRep[Region])</f>
        <v>West</v>
      </c>
      <c r="P829" t="str">
        <f>_xlfn.XLOOKUP(fSales[[#This Row],[ProductID]],dProduct[ProductID],dProduct[Product])</f>
        <v>Orange</v>
      </c>
      <c r="Q829">
        <f>_xlfn.XLOOKUP(fSales[[#This Row],[ProductID]],dProduct[ProductID],dProduct[CratePrice])-_xlfn.XLOOKUP(fSales[[#This Row],[ProductID]],dProduct[ProductID],dProduct[CrateCost])</f>
        <v>12.495000000000001</v>
      </c>
      <c r="R829">
        <f>_xlfn.XLOOKUP(fSales[[#This Row],[ProductID]],dProduct[ProductID],dProduct[CratePrice])</f>
        <v>29.75</v>
      </c>
      <c r="S829">
        <f>_xlfn.XLOOKUP(fSales[[#This Row],[ProductID]],dProduct[ProductID],dProduct[CrateCost])</f>
        <v>17.254999999999999</v>
      </c>
    </row>
    <row r="830" spans="7:19" x14ac:dyDescent="0.25">
      <c r="G830" s="2">
        <v>45866</v>
      </c>
      <c r="H830">
        <v>204</v>
      </c>
      <c r="I830" t="s">
        <v>19</v>
      </c>
      <c r="J830" t="s">
        <v>32</v>
      </c>
      <c r="K830">
        <f>_xlfn.XLOOKUP(fSales[[#This Row],[ProductID]],dProduct[ProductID],dProduct[CratePrice])*fSales[[#This Row],[Units]]</f>
        <v>7140</v>
      </c>
      <c r="L830">
        <f>fSales[[#This Row],[Total sales]]-_xlfn.XLOOKUP(fSales[[#This Row],[ProductID]],dProduct[ProductID],dProduct[CrateCost])*fSales[[#This Row],[Units]]</f>
        <v>3998.4</v>
      </c>
      <c r="M830">
        <f>(_xlfn.XLOOKUP(fSales[[#This Row],[ProductID]],dProduct[ProductID],dProduct[CratePrice])-_xlfn.XLOOKUP(fSales[[#This Row],[ProductID]],dProduct[ProductID],dProduct[CrateCost]))/_xlfn.XLOOKUP(fSales[[#This Row],[ProductID]],dProduct[ProductID],dProduct[CratePrice])</f>
        <v>0.56000000000000005</v>
      </c>
      <c r="N830" t="str">
        <f>_xlfn.XLOOKUP(fSales[[#This Row],[SalesRepID]],dPSalesRep[SalesRepID],dPSalesRep[SalesRep])</f>
        <v>Shihara Fazzaa</v>
      </c>
      <c r="O830" t="str">
        <f>_xlfn.XLOOKUP(fSales[[#This Row],[SalesRepID]],dPSalesRep[SalesRepID],dPSalesRep[Region])</f>
        <v>East</v>
      </c>
      <c r="P830" t="str">
        <f>_xlfn.XLOOKUP(fSales[[#This Row],[ProductID]],dProduct[ProductID],dProduct[Product])</f>
        <v>Apple</v>
      </c>
      <c r="Q830">
        <f>_xlfn.XLOOKUP(fSales[[#This Row],[ProductID]],dProduct[ProductID],dProduct[CratePrice])-_xlfn.XLOOKUP(fSales[[#This Row],[ProductID]],dProduct[ProductID],dProduct[CrateCost])</f>
        <v>19.600000000000001</v>
      </c>
      <c r="R830">
        <f>_xlfn.XLOOKUP(fSales[[#This Row],[ProductID]],dProduct[ProductID],dProduct[CratePrice])</f>
        <v>35</v>
      </c>
      <c r="S830">
        <f>_xlfn.XLOOKUP(fSales[[#This Row],[ProductID]],dProduct[ProductID],dProduct[CrateCost])</f>
        <v>15.4</v>
      </c>
    </row>
    <row r="831" spans="7:19" x14ac:dyDescent="0.25">
      <c r="G831" s="2">
        <v>45867</v>
      </c>
      <c r="H831">
        <v>192</v>
      </c>
      <c r="I831" t="s">
        <v>21</v>
      </c>
      <c r="J831" t="s">
        <v>22</v>
      </c>
      <c r="K831">
        <f>_xlfn.XLOOKUP(fSales[[#This Row],[ProductID]],dProduct[ProductID],dProduct[CratePrice])*fSales[[#This Row],[Units]]</f>
        <v>4320</v>
      </c>
      <c r="L831">
        <f>fSales[[#This Row],[Total sales]]-_xlfn.XLOOKUP(fSales[[#This Row],[ProductID]],dProduct[ProductID],dProduct[CrateCost])*fSales[[#This Row],[Units]]</f>
        <v>1900.7999999999997</v>
      </c>
      <c r="M831">
        <f>(_xlfn.XLOOKUP(fSales[[#This Row],[ProductID]],dProduct[ProductID],dProduct[CratePrice])-_xlfn.XLOOKUP(fSales[[#This Row],[ProductID]],dProduct[ProductID],dProduct[CrateCost]))/_xlfn.XLOOKUP(fSales[[#This Row],[ProductID]],dProduct[ProductID],dProduct[CratePrice])</f>
        <v>0.43999999999999995</v>
      </c>
      <c r="N831" t="str">
        <f>_xlfn.XLOOKUP(fSales[[#This Row],[SalesRepID]],dPSalesRep[SalesRepID],dPSalesRep[SalesRep])</f>
        <v>Timmy Kips</v>
      </c>
      <c r="O831" t="str">
        <f>_xlfn.XLOOKUP(fSales[[#This Row],[SalesRepID]],dPSalesRep[SalesRepID],dPSalesRep[Region])</f>
        <v>East</v>
      </c>
      <c r="P831" t="str">
        <f>_xlfn.XLOOKUP(fSales[[#This Row],[ProductID]],dProduct[ProductID],dProduct[Product])</f>
        <v>Kiwi</v>
      </c>
      <c r="Q831">
        <f>_xlfn.XLOOKUP(fSales[[#This Row],[ProductID]],dProduct[ProductID],dProduct[CratePrice])-_xlfn.XLOOKUP(fSales[[#This Row],[ProductID]],dProduct[ProductID],dProduct[CrateCost])</f>
        <v>9.8999999999999986</v>
      </c>
      <c r="R831">
        <f>_xlfn.XLOOKUP(fSales[[#This Row],[ProductID]],dProduct[ProductID],dProduct[CratePrice])</f>
        <v>22.5</v>
      </c>
      <c r="S831">
        <f>_xlfn.XLOOKUP(fSales[[#This Row],[ProductID]],dProduct[ProductID],dProduct[CrateCost])</f>
        <v>12.600000000000001</v>
      </c>
    </row>
    <row r="832" spans="7:19" x14ac:dyDescent="0.25">
      <c r="G832" s="2">
        <v>45867</v>
      </c>
      <c r="H832">
        <v>84</v>
      </c>
      <c r="I832" t="s">
        <v>21</v>
      </c>
      <c r="J832" t="s">
        <v>37</v>
      </c>
      <c r="K832">
        <f>_xlfn.XLOOKUP(fSales[[#This Row],[ProductID]],dProduct[ProductID],dProduct[CratePrice])*fSales[[#This Row],[Units]]</f>
        <v>1890</v>
      </c>
      <c r="L832">
        <f>fSales[[#This Row],[Total sales]]-_xlfn.XLOOKUP(fSales[[#This Row],[ProductID]],dProduct[ProductID],dProduct[CrateCost])*fSales[[#This Row],[Units]]</f>
        <v>831.59999999999991</v>
      </c>
      <c r="M832">
        <f>(_xlfn.XLOOKUP(fSales[[#This Row],[ProductID]],dProduct[ProductID],dProduct[CratePrice])-_xlfn.XLOOKUP(fSales[[#This Row],[ProductID]],dProduct[ProductID],dProduct[CrateCost]))/_xlfn.XLOOKUP(fSales[[#This Row],[ProductID]],dProduct[ProductID],dProduct[CratePrice])</f>
        <v>0.43999999999999995</v>
      </c>
      <c r="N832" t="str">
        <f>_xlfn.XLOOKUP(fSales[[#This Row],[SalesRepID]],dPSalesRep[SalesRepID],dPSalesRep[SalesRep])</f>
        <v>Chantel Mims</v>
      </c>
      <c r="O832" t="str">
        <f>_xlfn.XLOOKUP(fSales[[#This Row],[SalesRepID]],dPSalesRep[SalesRepID],dPSalesRep[Region])</f>
        <v>NW</v>
      </c>
      <c r="P832" t="str">
        <f>_xlfn.XLOOKUP(fSales[[#This Row],[ProductID]],dProduct[ProductID],dProduct[Product])</f>
        <v>Kiwi</v>
      </c>
      <c r="Q832">
        <f>_xlfn.XLOOKUP(fSales[[#This Row],[ProductID]],dProduct[ProductID],dProduct[CratePrice])-_xlfn.XLOOKUP(fSales[[#This Row],[ProductID]],dProduct[ProductID],dProduct[CrateCost])</f>
        <v>9.8999999999999986</v>
      </c>
      <c r="R832">
        <f>_xlfn.XLOOKUP(fSales[[#This Row],[ProductID]],dProduct[ProductID],dProduct[CratePrice])</f>
        <v>22.5</v>
      </c>
      <c r="S832">
        <f>_xlfn.XLOOKUP(fSales[[#This Row],[ProductID]],dProduct[ProductID],dProduct[CrateCost])</f>
        <v>12.600000000000001</v>
      </c>
    </row>
    <row r="833" spans="7:19" x14ac:dyDescent="0.25">
      <c r="G833" s="2">
        <v>45868</v>
      </c>
      <c r="H833">
        <v>192</v>
      </c>
      <c r="I833" t="s">
        <v>19</v>
      </c>
      <c r="J833" t="s">
        <v>22</v>
      </c>
      <c r="K833">
        <f>_xlfn.XLOOKUP(fSales[[#This Row],[ProductID]],dProduct[ProductID],dProduct[CratePrice])*fSales[[#This Row],[Units]]</f>
        <v>6720</v>
      </c>
      <c r="L833">
        <f>fSales[[#This Row],[Total sales]]-_xlfn.XLOOKUP(fSales[[#This Row],[ProductID]],dProduct[ProductID],dProduct[CrateCost])*fSales[[#This Row],[Units]]</f>
        <v>3763.2</v>
      </c>
      <c r="M833">
        <f>(_xlfn.XLOOKUP(fSales[[#This Row],[ProductID]],dProduct[ProductID],dProduct[CratePrice])-_xlfn.XLOOKUP(fSales[[#This Row],[ProductID]],dProduct[ProductID],dProduct[CrateCost]))/_xlfn.XLOOKUP(fSales[[#This Row],[ProductID]],dProduct[ProductID],dProduct[CratePrice])</f>
        <v>0.56000000000000005</v>
      </c>
      <c r="N833" t="str">
        <f>_xlfn.XLOOKUP(fSales[[#This Row],[SalesRepID]],dPSalesRep[SalesRepID],dPSalesRep[SalesRep])</f>
        <v>Timmy Kips</v>
      </c>
      <c r="O833" t="str">
        <f>_xlfn.XLOOKUP(fSales[[#This Row],[SalesRepID]],dPSalesRep[SalesRepID],dPSalesRep[Region])</f>
        <v>East</v>
      </c>
      <c r="P833" t="str">
        <f>_xlfn.XLOOKUP(fSales[[#This Row],[ProductID]],dProduct[ProductID],dProduct[Product])</f>
        <v>Apple</v>
      </c>
      <c r="Q833">
        <f>_xlfn.XLOOKUP(fSales[[#This Row],[ProductID]],dProduct[ProductID],dProduct[CratePrice])-_xlfn.XLOOKUP(fSales[[#This Row],[ProductID]],dProduct[ProductID],dProduct[CrateCost])</f>
        <v>19.600000000000001</v>
      </c>
      <c r="R833">
        <f>_xlfn.XLOOKUP(fSales[[#This Row],[ProductID]],dProduct[ProductID],dProduct[CratePrice])</f>
        <v>35</v>
      </c>
      <c r="S833">
        <f>_xlfn.XLOOKUP(fSales[[#This Row],[ProductID]],dProduct[ProductID],dProduct[CrateCost])</f>
        <v>15.4</v>
      </c>
    </row>
    <row r="834" spans="7:19" x14ac:dyDescent="0.25">
      <c r="G834" s="2">
        <v>45868</v>
      </c>
      <c r="H834">
        <v>180</v>
      </c>
      <c r="I834" t="s">
        <v>21</v>
      </c>
      <c r="J834" t="s">
        <v>22</v>
      </c>
      <c r="K834">
        <f>_xlfn.XLOOKUP(fSales[[#This Row],[ProductID]],dProduct[ProductID],dProduct[CratePrice])*fSales[[#This Row],[Units]]</f>
        <v>4050</v>
      </c>
      <c r="L834">
        <f>fSales[[#This Row],[Total sales]]-_xlfn.XLOOKUP(fSales[[#This Row],[ProductID]],dProduct[ProductID],dProduct[CrateCost])*fSales[[#This Row],[Units]]</f>
        <v>1781.9999999999995</v>
      </c>
      <c r="M834">
        <f>(_xlfn.XLOOKUP(fSales[[#This Row],[ProductID]],dProduct[ProductID],dProduct[CratePrice])-_xlfn.XLOOKUP(fSales[[#This Row],[ProductID]],dProduct[ProductID],dProduct[CrateCost]))/_xlfn.XLOOKUP(fSales[[#This Row],[ProductID]],dProduct[ProductID],dProduct[CratePrice])</f>
        <v>0.43999999999999995</v>
      </c>
      <c r="N834" t="str">
        <f>_xlfn.XLOOKUP(fSales[[#This Row],[SalesRepID]],dPSalesRep[SalesRepID],dPSalesRep[SalesRep])</f>
        <v>Timmy Kips</v>
      </c>
      <c r="O834" t="str">
        <f>_xlfn.XLOOKUP(fSales[[#This Row],[SalesRepID]],dPSalesRep[SalesRepID],dPSalesRep[Region])</f>
        <v>East</v>
      </c>
      <c r="P834" t="str">
        <f>_xlfn.XLOOKUP(fSales[[#This Row],[ProductID]],dProduct[ProductID],dProduct[Product])</f>
        <v>Kiwi</v>
      </c>
      <c r="Q834">
        <f>_xlfn.XLOOKUP(fSales[[#This Row],[ProductID]],dProduct[ProductID],dProduct[CratePrice])-_xlfn.XLOOKUP(fSales[[#This Row],[ProductID]],dProduct[ProductID],dProduct[CrateCost])</f>
        <v>9.8999999999999986</v>
      </c>
      <c r="R834">
        <f>_xlfn.XLOOKUP(fSales[[#This Row],[ProductID]],dProduct[ProductID],dProduct[CratePrice])</f>
        <v>22.5</v>
      </c>
      <c r="S834">
        <f>_xlfn.XLOOKUP(fSales[[#This Row],[ProductID]],dProduct[ProductID],dProduct[CrateCost])</f>
        <v>12.600000000000001</v>
      </c>
    </row>
    <row r="835" spans="7:19" x14ac:dyDescent="0.25">
      <c r="G835" s="2">
        <v>45869</v>
      </c>
      <c r="H835">
        <v>132</v>
      </c>
      <c r="I835" t="s">
        <v>19</v>
      </c>
      <c r="J835" t="s">
        <v>32</v>
      </c>
      <c r="K835">
        <f>_xlfn.XLOOKUP(fSales[[#This Row],[ProductID]],dProduct[ProductID],dProduct[CratePrice])*fSales[[#This Row],[Units]]</f>
        <v>4620</v>
      </c>
      <c r="L835">
        <f>fSales[[#This Row],[Total sales]]-_xlfn.XLOOKUP(fSales[[#This Row],[ProductID]],dProduct[ProductID],dProduct[CrateCost])*fSales[[#This Row],[Units]]</f>
        <v>2587.1999999999998</v>
      </c>
      <c r="M835">
        <f>(_xlfn.XLOOKUP(fSales[[#This Row],[ProductID]],dProduct[ProductID],dProduct[CratePrice])-_xlfn.XLOOKUP(fSales[[#This Row],[ProductID]],dProduct[ProductID],dProduct[CrateCost]))/_xlfn.XLOOKUP(fSales[[#This Row],[ProductID]],dProduct[ProductID],dProduct[CratePrice])</f>
        <v>0.56000000000000005</v>
      </c>
      <c r="N835" t="str">
        <f>_xlfn.XLOOKUP(fSales[[#This Row],[SalesRepID]],dPSalesRep[SalesRepID],dPSalesRep[SalesRep])</f>
        <v>Shihara Fazzaa</v>
      </c>
      <c r="O835" t="str">
        <f>_xlfn.XLOOKUP(fSales[[#This Row],[SalesRepID]],dPSalesRep[SalesRepID],dPSalesRep[Region])</f>
        <v>East</v>
      </c>
      <c r="P835" t="str">
        <f>_xlfn.XLOOKUP(fSales[[#This Row],[ProductID]],dProduct[ProductID],dProduct[Product])</f>
        <v>Apple</v>
      </c>
      <c r="Q835">
        <f>_xlfn.XLOOKUP(fSales[[#This Row],[ProductID]],dProduct[ProductID],dProduct[CratePrice])-_xlfn.XLOOKUP(fSales[[#This Row],[ProductID]],dProduct[ProductID],dProduct[CrateCost])</f>
        <v>19.600000000000001</v>
      </c>
      <c r="R835">
        <f>_xlfn.XLOOKUP(fSales[[#This Row],[ProductID]],dProduct[ProductID],dProduct[CratePrice])</f>
        <v>35</v>
      </c>
      <c r="S835">
        <f>_xlfn.XLOOKUP(fSales[[#This Row],[ProductID]],dProduct[ProductID],dProduct[CrateCost])</f>
        <v>15.4</v>
      </c>
    </row>
    <row r="836" spans="7:19" x14ac:dyDescent="0.25">
      <c r="G836" s="2">
        <v>45869</v>
      </c>
      <c r="H836">
        <v>300</v>
      </c>
      <c r="I836" t="s">
        <v>34</v>
      </c>
      <c r="J836" t="s">
        <v>32</v>
      </c>
      <c r="K836">
        <f>_xlfn.XLOOKUP(fSales[[#This Row],[ProductID]],dProduct[ProductID],dProduct[CratePrice])*fSales[[#This Row],[Units]]</f>
        <v>5250</v>
      </c>
      <c r="L836">
        <f>fSales[[#This Row],[Total sales]]-_xlfn.XLOOKUP(fSales[[#This Row],[ProductID]],dProduct[ProductID],dProduct[CrateCost])*fSales[[#This Row],[Units]]</f>
        <v>1732.4999999999995</v>
      </c>
      <c r="M836">
        <f>(_xlfn.XLOOKUP(fSales[[#This Row],[ProductID]],dProduct[ProductID],dProduct[CratePrice])-_xlfn.XLOOKUP(fSales[[#This Row],[ProductID]],dProduct[ProductID],dProduct[CrateCost]))/_xlfn.XLOOKUP(fSales[[#This Row],[ProductID]],dProduct[ProductID],dProduct[CratePrice])</f>
        <v>0.3299999999999999</v>
      </c>
      <c r="N836" t="str">
        <f>_xlfn.XLOOKUP(fSales[[#This Row],[SalesRepID]],dPSalesRep[SalesRepID],dPSalesRep[SalesRep])</f>
        <v>Shihara Fazzaa</v>
      </c>
      <c r="O836" t="str">
        <f>_xlfn.XLOOKUP(fSales[[#This Row],[SalesRepID]],dPSalesRep[SalesRepID],dPSalesRep[Region])</f>
        <v>East</v>
      </c>
      <c r="P836" t="str">
        <f>_xlfn.XLOOKUP(fSales[[#This Row],[ProductID]],dProduct[ProductID],dProduct[Product])</f>
        <v>Banana</v>
      </c>
      <c r="Q836">
        <f>_xlfn.XLOOKUP(fSales[[#This Row],[ProductID]],dProduct[ProductID],dProduct[CratePrice])-_xlfn.XLOOKUP(fSales[[#This Row],[ProductID]],dProduct[ProductID],dProduct[CrateCost])</f>
        <v>5.7749999999999986</v>
      </c>
      <c r="R836">
        <f>_xlfn.XLOOKUP(fSales[[#This Row],[ProductID]],dProduct[ProductID],dProduct[CratePrice])</f>
        <v>17.5</v>
      </c>
      <c r="S836">
        <f>_xlfn.XLOOKUP(fSales[[#This Row],[ProductID]],dProduct[ProductID],dProduct[CrateCost])</f>
        <v>11.725000000000001</v>
      </c>
    </row>
    <row r="837" spans="7:19" x14ac:dyDescent="0.25">
      <c r="G837" s="2">
        <v>45870</v>
      </c>
      <c r="H837">
        <v>132</v>
      </c>
      <c r="I837" t="s">
        <v>34</v>
      </c>
      <c r="J837" t="s">
        <v>22</v>
      </c>
      <c r="K837">
        <f>_xlfn.XLOOKUP(fSales[[#This Row],[ProductID]],dProduct[ProductID],dProduct[CratePrice])*fSales[[#This Row],[Units]]</f>
        <v>2310</v>
      </c>
      <c r="L837">
        <f>fSales[[#This Row],[Total sales]]-_xlfn.XLOOKUP(fSales[[#This Row],[ProductID]],dProduct[ProductID],dProduct[CrateCost])*fSales[[#This Row],[Units]]</f>
        <v>762.29999999999973</v>
      </c>
      <c r="M837">
        <f>(_xlfn.XLOOKUP(fSales[[#This Row],[ProductID]],dProduct[ProductID],dProduct[CratePrice])-_xlfn.XLOOKUP(fSales[[#This Row],[ProductID]],dProduct[ProductID],dProduct[CrateCost]))/_xlfn.XLOOKUP(fSales[[#This Row],[ProductID]],dProduct[ProductID],dProduct[CratePrice])</f>
        <v>0.3299999999999999</v>
      </c>
      <c r="N837" t="str">
        <f>_xlfn.XLOOKUP(fSales[[#This Row],[SalesRepID]],dPSalesRep[SalesRepID],dPSalesRep[SalesRep])</f>
        <v>Timmy Kips</v>
      </c>
      <c r="O837" t="str">
        <f>_xlfn.XLOOKUP(fSales[[#This Row],[SalesRepID]],dPSalesRep[SalesRepID],dPSalesRep[Region])</f>
        <v>East</v>
      </c>
      <c r="P837" t="str">
        <f>_xlfn.XLOOKUP(fSales[[#This Row],[ProductID]],dProduct[ProductID],dProduct[Product])</f>
        <v>Banana</v>
      </c>
      <c r="Q837">
        <f>_xlfn.XLOOKUP(fSales[[#This Row],[ProductID]],dProduct[ProductID],dProduct[CratePrice])-_xlfn.XLOOKUP(fSales[[#This Row],[ProductID]],dProduct[ProductID],dProduct[CrateCost])</f>
        <v>5.7749999999999986</v>
      </c>
      <c r="R837">
        <f>_xlfn.XLOOKUP(fSales[[#This Row],[ProductID]],dProduct[ProductID],dProduct[CratePrice])</f>
        <v>17.5</v>
      </c>
      <c r="S837">
        <f>_xlfn.XLOOKUP(fSales[[#This Row],[ProductID]],dProduct[ProductID],dProduct[CrateCost])</f>
        <v>11.725000000000001</v>
      </c>
    </row>
    <row r="838" spans="7:19" x14ac:dyDescent="0.25">
      <c r="G838" s="2">
        <v>45871</v>
      </c>
      <c r="H838">
        <v>168</v>
      </c>
      <c r="I838" t="s">
        <v>28</v>
      </c>
      <c r="J838" t="s">
        <v>32</v>
      </c>
      <c r="K838">
        <f>_xlfn.XLOOKUP(fSales[[#This Row],[ProductID]],dProduct[ProductID],dProduct[CratePrice])*fSales[[#This Row],[Units]]</f>
        <v>7341.6</v>
      </c>
      <c r="L838">
        <f>fSales[[#This Row],[Total sales]]-_xlfn.XLOOKUP(fSales[[#This Row],[ProductID]],dProduct[ProductID],dProduct[CrateCost])*fSales[[#This Row],[Units]]</f>
        <v>3083.4720000000007</v>
      </c>
      <c r="M838">
        <f>(_xlfn.XLOOKUP(fSales[[#This Row],[ProductID]],dProduct[ProductID],dProduct[CratePrice])-_xlfn.XLOOKUP(fSales[[#This Row],[ProductID]],dProduct[ProductID],dProduct[CrateCost]))/_xlfn.XLOOKUP(fSales[[#This Row],[ProductID]],dProduct[ProductID],dProduct[CratePrice])</f>
        <v>0.42000000000000004</v>
      </c>
      <c r="N838" t="str">
        <f>_xlfn.XLOOKUP(fSales[[#This Row],[SalesRepID]],dPSalesRep[SalesRepID],dPSalesRep[SalesRep])</f>
        <v>Shihara Fazzaa</v>
      </c>
      <c r="O838" t="str">
        <f>_xlfn.XLOOKUP(fSales[[#This Row],[SalesRepID]],dPSalesRep[SalesRepID],dPSalesRep[Region])</f>
        <v>East</v>
      </c>
      <c r="P838" t="str">
        <f>_xlfn.XLOOKUP(fSales[[#This Row],[ProductID]],dProduct[ProductID],dProduct[Product])</f>
        <v>Cherry</v>
      </c>
      <c r="Q838">
        <f>_xlfn.XLOOKUP(fSales[[#This Row],[ProductID]],dProduct[ProductID],dProduct[CratePrice])-_xlfn.XLOOKUP(fSales[[#This Row],[ProductID]],dProduct[ProductID],dProduct[CrateCost])</f>
        <v>18.354000000000003</v>
      </c>
      <c r="R838">
        <f>_xlfn.XLOOKUP(fSales[[#This Row],[ProductID]],dProduct[ProductID],dProduct[CratePrice])</f>
        <v>43.7</v>
      </c>
      <c r="S838">
        <f>_xlfn.XLOOKUP(fSales[[#This Row],[ProductID]],dProduct[ProductID],dProduct[CrateCost])</f>
        <v>25.346</v>
      </c>
    </row>
    <row r="839" spans="7:19" x14ac:dyDescent="0.25">
      <c r="G839" s="2">
        <v>45873</v>
      </c>
      <c r="H839">
        <v>192</v>
      </c>
      <c r="I839" t="s">
        <v>34</v>
      </c>
      <c r="J839" t="s">
        <v>37</v>
      </c>
      <c r="K839">
        <f>_xlfn.XLOOKUP(fSales[[#This Row],[ProductID]],dProduct[ProductID],dProduct[CratePrice])*fSales[[#This Row],[Units]]</f>
        <v>3360</v>
      </c>
      <c r="L839">
        <f>fSales[[#This Row],[Total sales]]-_xlfn.XLOOKUP(fSales[[#This Row],[ProductID]],dProduct[ProductID],dProduct[CrateCost])*fSales[[#This Row],[Units]]</f>
        <v>1108.7999999999997</v>
      </c>
      <c r="M839">
        <f>(_xlfn.XLOOKUP(fSales[[#This Row],[ProductID]],dProduct[ProductID],dProduct[CratePrice])-_xlfn.XLOOKUP(fSales[[#This Row],[ProductID]],dProduct[ProductID],dProduct[CrateCost]))/_xlfn.XLOOKUP(fSales[[#This Row],[ProductID]],dProduct[ProductID],dProduct[CratePrice])</f>
        <v>0.3299999999999999</v>
      </c>
      <c r="N839" t="str">
        <f>_xlfn.XLOOKUP(fSales[[#This Row],[SalesRepID]],dPSalesRep[SalesRepID],dPSalesRep[SalesRep])</f>
        <v>Chantel Mims</v>
      </c>
      <c r="O839" t="str">
        <f>_xlfn.XLOOKUP(fSales[[#This Row],[SalesRepID]],dPSalesRep[SalesRepID],dPSalesRep[Region])</f>
        <v>NW</v>
      </c>
      <c r="P839" t="str">
        <f>_xlfn.XLOOKUP(fSales[[#This Row],[ProductID]],dProduct[ProductID],dProduct[Product])</f>
        <v>Banana</v>
      </c>
      <c r="Q839">
        <f>_xlfn.XLOOKUP(fSales[[#This Row],[ProductID]],dProduct[ProductID],dProduct[CratePrice])-_xlfn.XLOOKUP(fSales[[#This Row],[ProductID]],dProduct[ProductID],dProduct[CrateCost])</f>
        <v>5.7749999999999986</v>
      </c>
      <c r="R839">
        <f>_xlfn.XLOOKUP(fSales[[#This Row],[ProductID]],dProduct[ProductID],dProduct[CratePrice])</f>
        <v>17.5</v>
      </c>
      <c r="S839">
        <f>_xlfn.XLOOKUP(fSales[[#This Row],[ProductID]],dProduct[ProductID],dProduct[CrateCost])</f>
        <v>11.725000000000001</v>
      </c>
    </row>
    <row r="840" spans="7:19" x14ac:dyDescent="0.25">
      <c r="G840" s="2">
        <v>45874</v>
      </c>
      <c r="H840">
        <v>108</v>
      </c>
      <c r="I840" t="s">
        <v>28</v>
      </c>
      <c r="J840" t="s">
        <v>22</v>
      </c>
      <c r="K840">
        <f>_xlfn.XLOOKUP(fSales[[#This Row],[ProductID]],dProduct[ProductID],dProduct[CratePrice])*fSales[[#This Row],[Units]]</f>
        <v>4719.6000000000004</v>
      </c>
      <c r="L840">
        <f>fSales[[#This Row],[Total sales]]-_xlfn.XLOOKUP(fSales[[#This Row],[ProductID]],dProduct[ProductID],dProduct[CrateCost])*fSales[[#This Row],[Units]]</f>
        <v>1982.2320000000004</v>
      </c>
      <c r="M840">
        <f>(_xlfn.XLOOKUP(fSales[[#This Row],[ProductID]],dProduct[ProductID],dProduct[CratePrice])-_xlfn.XLOOKUP(fSales[[#This Row],[ProductID]],dProduct[ProductID],dProduct[CrateCost]))/_xlfn.XLOOKUP(fSales[[#This Row],[ProductID]],dProduct[ProductID],dProduct[CratePrice])</f>
        <v>0.42000000000000004</v>
      </c>
      <c r="N840" t="str">
        <f>_xlfn.XLOOKUP(fSales[[#This Row],[SalesRepID]],dPSalesRep[SalesRepID],dPSalesRep[SalesRep])</f>
        <v>Timmy Kips</v>
      </c>
      <c r="O840" t="str">
        <f>_xlfn.XLOOKUP(fSales[[#This Row],[SalesRepID]],dPSalesRep[SalesRepID],dPSalesRep[Region])</f>
        <v>East</v>
      </c>
      <c r="P840" t="str">
        <f>_xlfn.XLOOKUP(fSales[[#This Row],[ProductID]],dProduct[ProductID],dProduct[Product])</f>
        <v>Cherry</v>
      </c>
      <c r="Q840">
        <f>_xlfn.XLOOKUP(fSales[[#This Row],[ProductID]],dProduct[ProductID],dProduct[CratePrice])-_xlfn.XLOOKUP(fSales[[#This Row],[ProductID]],dProduct[ProductID],dProduct[CrateCost])</f>
        <v>18.354000000000003</v>
      </c>
      <c r="R840">
        <f>_xlfn.XLOOKUP(fSales[[#This Row],[ProductID]],dProduct[ProductID],dProduct[CratePrice])</f>
        <v>43.7</v>
      </c>
      <c r="S840">
        <f>_xlfn.XLOOKUP(fSales[[#This Row],[ProductID]],dProduct[ProductID],dProduct[CrateCost])</f>
        <v>25.346</v>
      </c>
    </row>
    <row r="841" spans="7:19" x14ac:dyDescent="0.25">
      <c r="G841" s="2">
        <v>45876</v>
      </c>
      <c r="H841">
        <v>192</v>
      </c>
      <c r="I841" t="s">
        <v>19</v>
      </c>
      <c r="J841" t="s">
        <v>52</v>
      </c>
      <c r="K841">
        <f>_xlfn.XLOOKUP(fSales[[#This Row],[ProductID]],dProduct[ProductID],dProduct[CratePrice])*fSales[[#This Row],[Units]]</f>
        <v>6720</v>
      </c>
      <c r="L841">
        <f>fSales[[#This Row],[Total sales]]-_xlfn.XLOOKUP(fSales[[#This Row],[ProductID]],dProduct[ProductID],dProduct[CrateCost])*fSales[[#This Row],[Units]]</f>
        <v>3763.2</v>
      </c>
      <c r="M841">
        <f>(_xlfn.XLOOKUP(fSales[[#This Row],[ProductID]],dProduct[ProductID],dProduct[CratePrice])-_xlfn.XLOOKUP(fSales[[#This Row],[ProductID]],dProduct[ProductID],dProduct[CrateCost]))/_xlfn.XLOOKUP(fSales[[#This Row],[ProductID]],dProduct[ProductID],dProduct[CratePrice])</f>
        <v>0.56000000000000005</v>
      </c>
      <c r="N841" t="str">
        <f>_xlfn.XLOOKUP(fSales[[#This Row],[SalesRepID]],dPSalesRep[SalesRepID],dPSalesRep[SalesRep])</f>
        <v>Smitty Rad</v>
      </c>
      <c r="O841" t="str">
        <f>_xlfn.XLOOKUP(fSales[[#This Row],[SalesRepID]],dPSalesRep[SalesRepID],dPSalesRep[Region])</f>
        <v>MidWest</v>
      </c>
      <c r="P841" t="str">
        <f>_xlfn.XLOOKUP(fSales[[#This Row],[ProductID]],dProduct[ProductID],dProduct[Product])</f>
        <v>Apple</v>
      </c>
      <c r="Q841">
        <f>_xlfn.XLOOKUP(fSales[[#This Row],[ProductID]],dProduct[ProductID],dProduct[CratePrice])-_xlfn.XLOOKUP(fSales[[#This Row],[ProductID]],dProduct[ProductID],dProduct[CrateCost])</f>
        <v>19.600000000000001</v>
      </c>
      <c r="R841">
        <f>_xlfn.XLOOKUP(fSales[[#This Row],[ProductID]],dProduct[ProductID],dProduct[CratePrice])</f>
        <v>35</v>
      </c>
      <c r="S841">
        <f>_xlfn.XLOOKUP(fSales[[#This Row],[ProductID]],dProduct[ProductID],dProduct[CrateCost])</f>
        <v>15.4</v>
      </c>
    </row>
    <row r="842" spans="7:19" x14ac:dyDescent="0.25">
      <c r="G842" s="2">
        <v>45877</v>
      </c>
      <c r="H842">
        <v>168</v>
      </c>
      <c r="I842" t="s">
        <v>19</v>
      </c>
      <c r="J842" t="s">
        <v>22</v>
      </c>
      <c r="K842">
        <f>_xlfn.XLOOKUP(fSales[[#This Row],[ProductID]],dProduct[ProductID],dProduct[CratePrice])*fSales[[#This Row],[Units]]</f>
        <v>5880</v>
      </c>
      <c r="L842">
        <f>fSales[[#This Row],[Total sales]]-_xlfn.XLOOKUP(fSales[[#This Row],[ProductID]],dProduct[ProductID],dProduct[CrateCost])*fSales[[#This Row],[Units]]</f>
        <v>3292.7999999999997</v>
      </c>
      <c r="M842">
        <f>(_xlfn.XLOOKUP(fSales[[#This Row],[ProductID]],dProduct[ProductID],dProduct[CratePrice])-_xlfn.XLOOKUP(fSales[[#This Row],[ProductID]],dProduct[ProductID],dProduct[CrateCost]))/_xlfn.XLOOKUP(fSales[[#This Row],[ProductID]],dProduct[ProductID],dProduct[CratePrice])</f>
        <v>0.56000000000000005</v>
      </c>
      <c r="N842" t="str">
        <f>_xlfn.XLOOKUP(fSales[[#This Row],[SalesRepID]],dPSalesRep[SalesRepID],dPSalesRep[SalesRep])</f>
        <v>Timmy Kips</v>
      </c>
      <c r="O842" t="str">
        <f>_xlfn.XLOOKUP(fSales[[#This Row],[SalesRepID]],dPSalesRep[SalesRepID],dPSalesRep[Region])</f>
        <v>East</v>
      </c>
      <c r="P842" t="str">
        <f>_xlfn.XLOOKUP(fSales[[#This Row],[ProductID]],dProduct[ProductID],dProduct[Product])</f>
        <v>Apple</v>
      </c>
      <c r="Q842">
        <f>_xlfn.XLOOKUP(fSales[[#This Row],[ProductID]],dProduct[ProductID],dProduct[CratePrice])-_xlfn.XLOOKUP(fSales[[#This Row],[ProductID]],dProduct[ProductID],dProduct[CrateCost])</f>
        <v>19.600000000000001</v>
      </c>
      <c r="R842">
        <f>_xlfn.XLOOKUP(fSales[[#This Row],[ProductID]],dProduct[ProductID],dProduct[CratePrice])</f>
        <v>35</v>
      </c>
      <c r="S842">
        <f>_xlfn.XLOOKUP(fSales[[#This Row],[ProductID]],dProduct[ProductID],dProduct[CrateCost])</f>
        <v>15.4</v>
      </c>
    </row>
    <row r="843" spans="7:19" x14ac:dyDescent="0.25">
      <c r="G843" s="2">
        <v>45877</v>
      </c>
      <c r="H843">
        <v>276</v>
      </c>
      <c r="I843" t="s">
        <v>21</v>
      </c>
      <c r="J843" t="s">
        <v>32</v>
      </c>
      <c r="K843">
        <f>_xlfn.XLOOKUP(fSales[[#This Row],[ProductID]],dProduct[ProductID],dProduct[CratePrice])*fSales[[#This Row],[Units]]</f>
        <v>6210</v>
      </c>
      <c r="L843">
        <f>fSales[[#This Row],[Total sales]]-_xlfn.XLOOKUP(fSales[[#This Row],[ProductID]],dProduct[ProductID],dProduct[CrateCost])*fSales[[#This Row],[Units]]</f>
        <v>2732.3999999999996</v>
      </c>
      <c r="M843">
        <f>(_xlfn.XLOOKUP(fSales[[#This Row],[ProductID]],dProduct[ProductID],dProduct[CratePrice])-_xlfn.XLOOKUP(fSales[[#This Row],[ProductID]],dProduct[ProductID],dProduct[CrateCost]))/_xlfn.XLOOKUP(fSales[[#This Row],[ProductID]],dProduct[ProductID],dProduct[CratePrice])</f>
        <v>0.43999999999999995</v>
      </c>
      <c r="N843" t="str">
        <f>_xlfn.XLOOKUP(fSales[[#This Row],[SalesRepID]],dPSalesRep[SalesRepID],dPSalesRep[SalesRep])</f>
        <v>Shihara Fazzaa</v>
      </c>
      <c r="O843" t="str">
        <f>_xlfn.XLOOKUP(fSales[[#This Row],[SalesRepID]],dPSalesRep[SalesRepID],dPSalesRep[Region])</f>
        <v>East</v>
      </c>
      <c r="P843" t="str">
        <f>_xlfn.XLOOKUP(fSales[[#This Row],[ProductID]],dProduct[ProductID],dProduct[Product])</f>
        <v>Kiwi</v>
      </c>
      <c r="Q843">
        <f>_xlfn.XLOOKUP(fSales[[#This Row],[ProductID]],dProduct[ProductID],dProduct[CratePrice])-_xlfn.XLOOKUP(fSales[[#This Row],[ProductID]],dProduct[ProductID],dProduct[CrateCost])</f>
        <v>9.8999999999999986</v>
      </c>
      <c r="R843">
        <f>_xlfn.XLOOKUP(fSales[[#This Row],[ProductID]],dProduct[ProductID],dProduct[CratePrice])</f>
        <v>22.5</v>
      </c>
      <c r="S843">
        <f>_xlfn.XLOOKUP(fSales[[#This Row],[ProductID]],dProduct[ProductID],dProduct[CrateCost])</f>
        <v>12.600000000000001</v>
      </c>
    </row>
    <row r="844" spans="7:19" x14ac:dyDescent="0.25">
      <c r="G844" s="2">
        <v>45878</v>
      </c>
      <c r="H844">
        <v>120</v>
      </c>
      <c r="I844" t="s">
        <v>21</v>
      </c>
      <c r="J844" t="s">
        <v>37</v>
      </c>
      <c r="K844">
        <f>_xlfn.XLOOKUP(fSales[[#This Row],[ProductID]],dProduct[ProductID],dProduct[CratePrice])*fSales[[#This Row],[Units]]</f>
        <v>2700</v>
      </c>
      <c r="L844">
        <f>fSales[[#This Row],[Total sales]]-_xlfn.XLOOKUP(fSales[[#This Row],[ProductID]],dProduct[ProductID],dProduct[CrateCost])*fSales[[#This Row],[Units]]</f>
        <v>1187.9999999999998</v>
      </c>
      <c r="M844">
        <f>(_xlfn.XLOOKUP(fSales[[#This Row],[ProductID]],dProduct[ProductID],dProduct[CratePrice])-_xlfn.XLOOKUP(fSales[[#This Row],[ProductID]],dProduct[ProductID],dProduct[CrateCost]))/_xlfn.XLOOKUP(fSales[[#This Row],[ProductID]],dProduct[ProductID],dProduct[CratePrice])</f>
        <v>0.43999999999999995</v>
      </c>
      <c r="N844" t="str">
        <f>_xlfn.XLOOKUP(fSales[[#This Row],[SalesRepID]],dPSalesRep[SalesRepID],dPSalesRep[SalesRep])</f>
        <v>Chantel Mims</v>
      </c>
      <c r="O844" t="str">
        <f>_xlfn.XLOOKUP(fSales[[#This Row],[SalesRepID]],dPSalesRep[SalesRepID],dPSalesRep[Region])</f>
        <v>NW</v>
      </c>
      <c r="P844" t="str">
        <f>_xlfn.XLOOKUP(fSales[[#This Row],[ProductID]],dProduct[ProductID],dProduct[Product])</f>
        <v>Kiwi</v>
      </c>
      <c r="Q844">
        <f>_xlfn.XLOOKUP(fSales[[#This Row],[ProductID]],dProduct[ProductID],dProduct[CratePrice])-_xlfn.XLOOKUP(fSales[[#This Row],[ProductID]],dProduct[ProductID],dProduct[CrateCost])</f>
        <v>9.8999999999999986</v>
      </c>
      <c r="R844">
        <f>_xlfn.XLOOKUP(fSales[[#This Row],[ProductID]],dProduct[ProductID],dProduct[CratePrice])</f>
        <v>22.5</v>
      </c>
      <c r="S844">
        <f>_xlfn.XLOOKUP(fSales[[#This Row],[ProductID]],dProduct[ProductID],dProduct[CrateCost])</f>
        <v>12.600000000000001</v>
      </c>
    </row>
    <row r="845" spans="7:19" x14ac:dyDescent="0.25">
      <c r="G845" s="2">
        <v>45878</v>
      </c>
      <c r="H845">
        <v>132</v>
      </c>
      <c r="I845" t="s">
        <v>28</v>
      </c>
      <c r="J845" t="s">
        <v>22</v>
      </c>
      <c r="K845">
        <f>_xlfn.XLOOKUP(fSales[[#This Row],[ProductID]],dProduct[ProductID],dProduct[CratePrice])*fSales[[#This Row],[Units]]</f>
        <v>5768.4000000000005</v>
      </c>
      <c r="L845">
        <f>fSales[[#This Row],[Total sales]]-_xlfn.XLOOKUP(fSales[[#This Row],[ProductID]],dProduct[ProductID],dProduct[CrateCost])*fSales[[#This Row],[Units]]</f>
        <v>2422.7280000000005</v>
      </c>
      <c r="M845">
        <f>(_xlfn.XLOOKUP(fSales[[#This Row],[ProductID]],dProduct[ProductID],dProduct[CratePrice])-_xlfn.XLOOKUP(fSales[[#This Row],[ProductID]],dProduct[ProductID],dProduct[CrateCost]))/_xlfn.XLOOKUP(fSales[[#This Row],[ProductID]],dProduct[ProductID],dProduct[CratePrice])</f>
        <v>0.42000000000000004</v>
      </c>
      <c r="N845" t="str">
        <f>_xlfn.XLOOKUP(fSales[[#This Row],[SalesRepID]],dPSalesRep[SalesRepID],dPSalesRep[SalesRep])</f>
        <v>Timmy Kips</v>
      </c>
      <c r="O845" t="str">
        <f>_xlfn.XLOOKUP(fSales[[#This Row],[SalesRepID]],dPSalesRep[SalesRepID],dPSalesRep[Region])</f>
        <v>East</v>
      </c>
      <c r="P845" t="str">
        <f>_xlfn.XLOOKUP(fSales[[#This Row],[ProductID]],dProduct[ProductID],dProduct[Product])</f>
        <v>Cherry</v>
      </c>
      <c r="Q845">
        <f>_xlfn.XLOOKUP(fSales[[#This Row],[ProductID]],dProduct[ProductID],dProduct[CratePrice])-_xlfn.XLOOKUP(fSales[[#This Row],[ProductID]],dProduct[ProductID],dProduct[CrateCost])</f>
        <v>18.354000000000003</v>
      </c>
      <c r="R845">
        <f>_xlfn.XLOOKUP(fSales[[#This Row],[ProductID]],dProduct[ProductID],dProduct[CratePrice])</f>
        <v>43.7</v>
      </c>
      <c r="S845">
        <f>_xlfn.XLOOKUP(fSales[[#This Row],[ProductID]],dProduct[ProductID],dProduct[CrateCost])</f>
        <v>25.346</v>
      </c>
    </row>
    <row r="846" spans="7:19" x14ac:dyDescent="0.25">
      <c r="G846" s="2">
        <v>45879</v>
      </c>
      <c r="H846">
        <v>180</v>
      </c>
      <c r="I846" t="s">
        <v>28</v>
      </c>
      <c r="J846" t="s">
        <v>52</v>
      </c>
      <c r="K846">
        <f>_xlfn.XLOOKUP(fSales[[#This Row],[ProductID]],dProduct[ProductID],dProduct[CratePrice])*fSales[[#This Row],[Units]]</f>
        <v>7866.0000000000009</v>
      </c>
      <c r="L846">
        <f>fSales[[#This Row],[Total sales]]-_xlfn.XLOOKUP(fSales[[#This Row],[ProductID]],dProduct[ProductID],dProduct[CrateCost])*fSales[[#This Row],[Units]]</f>
        <v>3303.7200000000012</v>
      </c>
      <c r="M846">
        <f>(_xlfn.XLOOKUP(fSales[[#This Row],[ProductID]],dProduct[ProductID],dProduct[CratePrice])-_xlfn.XLOOKUP(fSales[[#This Row],[ProductID]],dProduct[ProductID],dProduct[CrateCost]))/_xlfn.XLOOKUP(fSales[[#This Row],[ProductID]],dProduct[ProductID],dProduct[CratePrice])</f>
        <v>0.42000000000000004</v>
      </c>
      <c r="N846" t="str">
        <f>_xlfn.XLOOKUP(fSales[[#This Row],[SalesRepID]],dPSalesRep[SalesRepID],dPSalesRep[SalesRep])</f>
        <v>Smitty Rad</v>
      </c>
      <c r="O846" t="str">
        <f>_xlfn.XLOOKUP(fSales[[#This Row],[SalesRepID]],dPSalesRep[SalesRepID],dPSalesRep[Region])</f>
        <v>MidWest</v>
      </c>
      <c r="P846" t="str">
        <f>_xlfn.XLOOKUP(fSales[[#This Row],[ProductID]],dProduct[ProductID],dProduct[Product])</f>
        <v>Cherry</v>
      </c>
      <c r="Q846">
        <f>_xlfn.XLOOKUP(fSales[[#This Row],[ProductID]],dProduct[ProductID],dProduct[CratePrice])-_xlfn.XLOOKUP(fSales[[#This Row],[ProductID]],dProduct[ProductID],dProduct[CrateCost])</f>
        <v>18.354000000000003</v>
      </c>
      <c r="R846">
        <f>_xlfn.XLOOKUP(fSales[[#This Row],[ProductID]],dProduct[ProductID],dProduct[CratePrice])</f>
        <v>43.7</v>
      </c>
      <c r="S846">
        <f>_xlfn.XLOOKUP(fSales[[#This Row],[ProductID]],dProduct[ProductID],dProduct[CrateCost])</f>
        <v>25.346</v>
      </c>
    </row>
    <row r="847" spans="7:19" x14ac:dyDescent="0.25">
      <c r="G847" s="2">
        <v>45881</v>
      </c>
      <c r="H847">
        <v>84</v>
      </c>
      <c r="I847" t="s">
        <v>28</v>
      </c>
      <c r="J847" t="s">
        <v>52</v>
      </c>
      <c r="K847">
        <f>_xlfn.XLOOKUP(fSales[[#This Row],[ProductID]],dProduct[ProductID],dProduct[CratePrice])*fSales[[#This Row],[Units]]</f>
        <v>3670.8</v>
      </c>
      <c r="L847">
        <f>fSales[[#This Row],[Total sales]]-_xlfn.XLOOKUP(fSales[[#This Row],[ProductID]],dProduct[ProductID],dProduct[CrateCost])*fSales[[#This Row],[Units]]</f>
        <v>1541.7360000000003</v>
      </c>
      <c r="M847">
        <f>(_xlfn.XLOOKUP(fSales[[#This Row],[ProductID]],dProduct[ProductID],dProduct[CratePrice])-_xlfn.XLOOKUP(fSales[[#This Row],[ProductID]],dProduct[ProductID],dProduct[CrateCost]))/_xlfn.XLOOKUP(fSales[[#This Row],[ProductID]],dProduct[ProductID],dProduct[CratePrice])</f>
        <v>0.42000000000000004</v>
      </c>
      <c r="N847" t="str">
        <f>_xlfn.XLOOKUP(fSales[[#This Row],[SalesRepID]],dPSalesRep[SalesRepID],dPSalesRep[SalesRep])</f>
        <v>Smitty Rad</v>
      </c>
      <c r="O847" t="str">
        <f>_xlfn.XLOOKUP(fSales[[#This Row],[SalesRepID]],dPSalesRep[SalesRepID],dPSalesRep[Region])</f>
        <v>MidWest</v>
      </c>
      <c r="P847" t="str">
        <f>_xlfn.XLOOKUP(fSales[[#This Row],[ProductID]],dProduct[ProductID],dProduct[Product])</f>
        <v>Cherry</v>
      </c>
      <c r="Q847">
        <f>_xlfn.XLOOKUP(fSales[[#This Row],[ProductID]],dProduct[ProductID],dProduct[CratePrice])-_xlfn.XLOOKUP(fSales[[#This Row],[ProductID]],dProduct[ProductID],dProduct[CrateCost])</f>
        <v>18.354000000000003</v>
      </c>
      <c r="R847">
        <f>_xlfn.XLOOKUP(fSales[[#This Row],[ProductID]],dProduct[ProductID],dProduct[CratePrice])</f>
        <v>43.7</v>
      </c>
      <c r="S847">
        <f>_xlfn.XLOOKUP(fSales[[#This Row],[ProductID]],dProduct[ProductID],dProduct[CrateCost])</f>
        <v>25.346</v>
      </c>
    </row>
    <row r="848" spans="7:19" x14ac:dyDescent="0.25">
      <c r="G848" s="2">
        <v>45881</v>
      </c>
      <c r="H848">
        <v>132</v>
      </c>
      <c r="I848" t="s">
        <v>28</v>
      </c>
      <c r="J848" t="s">
        <v>52</v>
      </c>
      <c r="K848">
        <f>_xlfn.XLOOKUP(fSales[[#This Row],[ProductID]],dProduct[ProductID],dProduct[CratePrice])*fSales[[#This Row],[Units]]</f>
        <v>5768.4000000000005</v>
      </c>
      <c r="L848">
        <f>fSales[[#This Row],[Total sales]]-_xlfn.XLOOKUP(fSales[[#This Row],[ProductID]],dProduct[ProductID],dProduct[CrateCost])*fSales[[#This Row],[Units]]</f>
        <v>2422.7280000000005</v>
      </c>
      <c r="M848">
        <f>(_xlfn.XLOOKUP(fSales[[#This Row],[ProductID]],dProduct[ProductID],dProduct[CratePrice])-_xlfn.XLOOKUP(fSales[[#This Row],[ProductID]],dProduct[ProductID],dProduct[CrateCost]))/_xlfn.XLOOKUP(fSales[[#This Row],[ProductID]],dProduct[ProductID],dProduct[CratePrice])</f>
        <v>0.42000000000000004</v>
      </c>
      <c r="N848" t="str">
        <f>_xlfn.XLOOKUP(fSales[[#This Row],[SalesRepID]],dPSalesRep[SalesRepID],dPSalesRep[SalesRep])</f>
        <v>Smitty Rad</v>
      </c>
      <c r="O848" t="str">
        <f>_xlfn.XLOOKUP(fSales[[#This Row],[SalesRepID]],dPSalesRep[SalesRepID],dPSalesRep[Region])</f>
        <v>MidWest</v>
      </c>
      <c r="P848" t="str">
        <f>_xlfn.XLOOKUP(fSales[[#This Row],[ProductID]],dProduct[ProductID],dProduct[Product])</f>
        <v>Cherry</v>
      </c>
      <c r="Q848">
        <f>_xlfn.XLOOKUP(fSales[[#This Row],[ProductID]],dProduct[ProductID],dProduct[CratePrice])-_xlfn.XLOOKUP(fSales[[#This Row],[ProductID]],dProduct[ProductID],dProduct[CrateCost])</f>
        <v>18.354000000000003</v>
      </c>
      <c r="R848">
        <f>_xlfn.XLOOKUP(fSales[[#This Row],[ProductID]],dProduct[ProductID],dProduct[CratePrice])</f>
        <v>43.7</v>
      </c>
      <c r="S848">
        <f>_xlfn.XLOOKUP(fSales[[#This Row],[ProductID]],dProduct[ProductID],dProduct[CrateCost])</f>
        <v>25.346</v>
      </c>
    </row>
    <row r="849" spans="7:19" x14ac:dyDescent="0.25">
      <c r="G849" s="2">
        <v>45881</v>
      </c>
      <c r="H849">
        <v>48</v>
      </c>
      <c r="I849" t="s">
        <v>19</v>
      </c>
      <c r="J849" t="s">
        <v>32</v>
      </c>
      <c r="K849">
        <f>_xlfn.XLOOKUP(fSales[[#This Row],[ProductID]],dProduct[ProductID],dProduct[CratePrice])*fSales[[#This Row],[Units]]</f>
        <v>1680</v>
      </c>
      <c r="L849">
        <f>fSales[[#This Row],[Total sales]]-_xlfn.XLOOKUP(fSales[[#This Row],[ProductID]],dProduct[ProductID],dProduct[CrateCost])*fSales[[#This Row],[Units]]</f>
        <v>940.8</v>
      </c>
      <c r="M849">
        <f>(_xlfn.XLOOKUP(fSales[[#This Row],[ProductID]],dProduct[ProductID],dProduct[CratePrice])-_xlfn.XLOOKUP(fSales[[#This Row],[ProductID]],dProduct[ProductID],dProduct[CrateCost]))/_xlfn.XLOOKUP(fSales[[#This Row],[ProductID]],dProduct[ProductID],dProduct[CratePrice])</f>
        <v>0.56000000000000005</v>
      </c>
      <c r="N849" t="str">
        <f>_xlfn.XLOOKUP(fSales[[#This Row],[SalesRepID]],dPSalesRep[SalesRepID],dPSalesRep[SalesRep])</f>
        <v>Shihara Fazzaa</v>
      </c>
      <c r="O849" t="str">
        <f>_xlfn.XLOOKUP(fSales[[#This Row],[SalesRepID]],dPSalesRep[SalesRepID],dPSalesRep[Region])</f>
        <v>East</v>
      </c>
      <c r="P849" t="str">
        <f>_xlfn.XLOOKUP(fSales[[#This Row],[ProductID]],dProduct[ProductID],dProduct[Product])</f>
        <v>Apple</v>
      </c>
      <c r="Q849">
        <f>_xlfn.XLOOKUP(fSales[[#This Row],[ProductID]],dProduct[ProductID],dProduct[CratePrice])-_xlfn.XLOOKUP(fSales[[#This Row],[ProductID]],dProduct[ProductID],dProduct[CrateCost])</f>
        <v>19.600000000000001</v>
      </c>
      <c r="R849">
        <f>_xlfn.XLOOKUP(fSales[[#This Row],[ProductID]],dProduct[ProductID],dProduct[CratePrice])</f>
        <v>35</v>
      </c>
      <c r="S849">
        <f>_xlfn.XLOOKUP(fSales[[#This Row],[ProductID]],dProduct[ProductID],dProduct[CrateCost])</f>
        <v>15.4</v>
      </c>
    </row>
    <row r="850" spans="7:19" x14ac:dyDescent="0.25">
      <c r="G850" s="2">
        <v>45881</v>
      </c>
      <c r="H850">
        <v>132</v>
      </c>
      <c r="I850" t="s">
        <v>28</v>
      </c>
      <c r="J850" t="s">
        <v>37</v>
      </c>
      <c r="K850">
        <f>_xlfn.XLOOKUP(fSales[[#This Row],[ProductID]],dProduct[ProductID],dProduct[CratePrice])*fSales[[#This Row],[Units]]</f>
        <v>5768.4000000000005</v>
      </c>
      <c r="L850">
        <f>fSales[[#This Row],[Total sales]]-_xlfn.XLOOKUP(fSales[[#This Row],[ProductID]],dProduct[ProductID],dProduct[CrateCost])*fSales[[#This Row],[Units]]</f>
        <v>2422.7280000000005</v>
      </c>
      <c r="M850">
        <f>(_xlfn.XLOOKUP(fSales[[#This Row],[ProductID]],dProduct[ProductID],dProduct[CratePrice])-_xlfn.XLOOKUP(fSales[[#This Row],[ProductID]],dProduct[ProductID],dProduct[CrateCost]))/_xlfn.XLOOKUP(fSales[[#This Row],[ProductID]],dProduct[ProductID],dProduct[CratePrice])</f>
        <v>0.42000000000000004</v>
      </c>
      <c r="N850" t="str">
        <f>_xlfn.XLOOKUP(fSales[[#This Row],[SalesRepID]],dPSalesRep[SalesRepID],dPSalesRep[SalesRep])</f>
        <v>Chantel Mims</v>
      </c>
      <c r="O850" t="str">
        <f>_xlfn.XLOOKUP(fSales[[#This Row],[SalesRepID]],dPSalesRep[SalesRepID],dPSalesRep[Region])</f>
        <v>NW</v>
      </c>
      <c r="P850" t="str">
        <f>_xlfn.XLOOKUP(fSales[[#This Row],[ProductID]],dProduct[ProductID],dProduct[Product])</f>
        <v>Cherry</v>
      </c>
      <c r="Q850">
        <f>_xlfn.XLOOKUP(fSales[[#This Row],[ProductID]],dProduct[ProductID],dProduct[CratePrice])-_xlfn.XLOOKUP(fSales[[#This Row],[ProductID]],dProduct[ProductID],dProduct[CrateCost])</f>
        <v>18.354000000000003</v>
      </c>
      <c r="R850">
        <f>_xlfn.XLOOKUP(fSales[[#This Row],[ProductID]],dProduct[ProductID],dProduct[CratePrice])</f>
        <v>43.7</v>
      </c>
      <c r="S850">
        <f>_xlfn.XLOOKUP(fSales[[#This Row],[ProductID]],dProduct[ProductID],dProduct[CrateCost])</f>
        <v>25.346</v>
      </c>
    </row>
    <row r="851" spans="7:19" x14ac:dyDescent="0.25">
      <c r="G851" s="2">
        <v>45883</v>
      </c>
      <c r="H851">
        <v>276</v>
      </c>
      <c r="I851" t="s">
        <v>19</v>
      </c>
      <c r="J851" t="s">
        <v>32</v>
      </c>
      <c r="K851">
        <f>_xlfn.XLOOKUP(fSales[[#This Row],[ProductID]],dProduct[ProductID],dProduct[CratePrice])*fSales[[#This Row],[Units]]</f>
        <v>9660</v>
      </c>
      <c r="L851">
        <f>fSales[[#This Row],[Total sales]]-_xlfn.XLOOKUP(fSales[[#This Row],[ProductID]],dProduct[ProductID],dProduct[CrateCost])*fSales[[#This Row],[Units]]</f>
        <v>5409.5999999999995</v>
      </c>
      <c r="M851">
        <f>(_xlfn.XLOOKUP(fSales[[#This Row],[ProductID]],dProduct[ProductID],dProduct[CratePrice])-_xlfn.XLOOKUP(fSales[[#This Row],[ProductID]],dProduct[ProductID],dProduct[CrateCost]))/_xlfn.XLOOKUP(fSales[[#This Row],[ProductID]],dProduct[ProductID],dProduct[CratePrice])</f>
        <v>0.56000000000000005</v>
      </c>
      <c r="N851" t="str">
        <f>_xlfn.XLOOKUP(fSales[[#This Row],[SalesRepID]],dPSalesRep[SalesRepID],dPSalesRep[SalesRep])</f>
        <v>Shihara Fazzaa</v>
      </c>
      <c r="O851" t="str">
        <f>_xlfn.XLOOKUP(fSales[[#This Row],[SalesRepID]],dPSalesRep[SalesRepID],dPSalesRep[Region])</f>
        <v>East</v>
      </c>
      <c r="P851" t="str">
        <f>_xlfn.XLOOKUP(fSales[[#This Row],[ProductID]],dProduct[ProductID],dProduct[Product])</f>
        <v>Apple</v>
      </c>
      <c r="Q851">
        <f>_xlfn.XLOOKUP(fSales[[#This Row],[ProductID]],dProduct[ProductID],dProduct[CratePrice])-_xlfn.XLOOKUP(fSales[[#This Row],[ProductID]],dProduct[ProductID],dProduct[CrateCost])</f>
        <v>19.600000000000001</v>
      </c>
      <c r="R851">
        <f>_xlfn.XLOOKUP(fSales[[#This Row],[ProductID]],dProduct[ProductID],dProduct[CratePrice])</f>
        <v>35</v>
      </c>
      <c r="S851">
        <f>_xlfn.XLOOKUP(fSales[[#This Row],[ProductID]],dProduct[ProductID],dProduct[CrateCost])</f>
        <v>15.4</v>
      </c>
    </row>
    <row r="852" spans="7:19" x14ac:dyDescent="0.25">
      <c r="G852" s="2">
        <v>45883</v>
      </c>
      <c r="H852">
        <v>240</v>
      </c>
      <c r="I852" t="s">
        <v>28</v>
      </c>
      <c r="J852" t="s">
        <v>37</v>
      </c>
      <c r="K852">
        <f>_xlfn.XLOOKUP(fSales[[#This Row],[ProductID]],dProduct[ProductID],dProduct[CratePrice])*fSales[[#This Row],[Units]]</f>
        <v>10488</v>
      </c>
      <c r="L852">
        <f>fSales[[#This Row],[Total sales]]-_xlfn.XLOOKUP(fSales[[#This Row],[ProductID]],dProduct[ProductID],dProduct[CrateCost])*fSales[[#This Row],[Units]]</f>
        <v>4404.96</v>
      </c>
      <c r="M852">
        <f>(_xlfn.XLOOKUP(fSales[[#This Row],[ProductID]],dProduct[ProductID],dProduct[CratePrice])-_xlfn.XLOOKUP(fSales[[#This Row],[ProductID]],dProduct[ProductID],dProduct[CrateCost]))/_xlfn.XLOOKUP(fSales[[#This Row],[ProductID]],dProduct[ProductID],dProduct[CratePrice])</f>
        <v>0.42000000000000004</v>
      </c>
      <c r="N852" t="str">
        <f>_xlfn.XLOOKUP(fSales[[#This Row],[SalesRepID]],dPSalesRep[SalesRepID],dPSalesRep[SalesRep])</f>
        <v>Chantel Mims</v>
      </c>
      <c r="O852" t="str">
        <f>_xlfn.XLOOKUP(fSales[[#This Row],[SalesRepID]],dPSalesRep[SalesRepID],dPSalesRep[Region])</f>
        <v>NW</v>
      </c>
      <c r="P852" t="str">
        <f>_xlfn.XLOOKUP(fSales[[#This Row],[ProductID]],dProduct[ProductID],dProduct[Product])</f>
        <v>Cherry</v>
      </c>
      <c r="Q852">
        <f>_xlfn.XLOOKUP(fSales[[#This Row],[ProductID]],dProduct[ProductID],dProduct[CratePrice])-_xlfn.XLOOKUP(fSales[[#This Row],[ProductID]],dProduct[ProductID],dProduct[CrateCost])</f>
        <v>18.354000000000003</v>
      </c>
      <c r="R852">
        <f>_xlfn.XLOOKUP(fSales[[#This Row],[ProductID]],dProduct[ProductID],dProduct[CratePrice])</f>
        <v>43.7</v>
      </c>
      <c r="S852">
        <f>_xlfn.XLOOKUP(fSales[[#This Row],[ProductID]],dProduct[ProductID],dProduct[CrateCost])</f>
        <v>25.346</v>
      </c>
    </row>
    <row r="853" spans="7:19" x14ac:dyDescent="0.25">
      <c r="G853" s="2">
        <v>45883</v>
      </c>
      <c r="H853">
        <v>276</v>
      </c>
      <c r="I853" t="s">
        <v>34</v>
      </c>
      <c r="J853" t="s">
        <v>22</v>
      </c>
      <c r="K853">
        <f>_xlfn.XLOOKUP(fSales[[#This Row],[ProductID]],dProduct[ProductID],dProduct[CratePrice])*fSales[[#This Row],[Units]]</f>
        <v>4830</v>
      </c>
      <c r="L853">
        <f>fSales[[#This Row],[Total sales]]-_xlfn.XLOOKUP(fSales[[#This Row],[ProductID]],dProduct[ProductID],dProduct[CrateCost])*fSales[[#This Row],[Units]]</f>
        <v>1593.8999999999996</v>
      </c>
      <c r="M853">
        <f>(_xlfn.XLOOKUP(fSales[[#This Row],[ProductID]],dProduct[ProductID],dProduct[CratePrice])-_xlfn.XLOOKUP(fSales[[#This Row],[ProductID]],dProduct[ProductID],dProduct[CrateCost]))/_xlfn.XLOOKUP(fSales[[#This Row],[ProductID]],dProduct[ProductID],dProduct[CratePrice])</f>
        <v>0.3299999999999999</v>
      </c>
      <c r="N853" t="str">
        <f>_xlfn.XLOOKUP(fSales[[#This Row],[SalesRepID]],dPSalesRep[SalesRepID],dPSalesRep[SalesRep])</f>
        <v>Timmy Kips</v>
      </c>
      <c r="O853" t="str">
        <f>_xlfn.XLOOKUP(fSales[[#This Row],[SalesRepID]],dPSalesRep[SalesRepID],dPSalesRep[Region])</f>
        <v>East</v>
      </c>
      <c r="P853" t="str">
        <f>_xlfn.XLOOKUP(fSales[[#This Row],[ProductID]],dProduct[ProductID],dProduct[Product])</f>
        <v>Banana</v>
      </c>
      <c r="Q853">
        <f>_xlfn.XLOOKUP(fSales[[#This Row],[ProductID]],dProduct[ProductID],dProduct[CratePrice])-_xlfn.XLOOKUP(fSales[[#This Row],[ProductID]],dProduct[ProductID],dProduct[CrateCost])</f>
        <v>5.7749999999999986</v>
      </c>
      <c r="R853">
        <f>_xlfn.XLOOKUP(fSales[[#This Row],[ProductID]],dProduct[ProductID],dProduct[CratePrice])</f>
        <v>17.5</v>
      </c>
      <c r="S853">
        <f>_xlfn.XLOOKUP(fSales[[#This Row],[ProductID]],dProduct[ProductID],dProduct[CrateCost])</f>
        <v>11.725000000000001</v>
      </c>
    </row>
    <row r="854" spans="7:19" x14ac:dyDescent="0.25">
      <c r="G854" s="2">
        <v>45884</v>
      </c>
      <c r="H854">
        <v>180</v>
      </c>
      <c r="I854" t="s">
        <v>21</v>
      </c>
      <c r="J854" t="s">
        <v>22</v>
      </c>
      <c r="K854">
        <f>_xlfn.XLOOKUP(fSales[[#This Row],[ProductID]],dProduct[ProductID],dProduct[CratePrice])*fSales[[#This Row],[Units]]</f>
        <v>4050</v>
      </c>
      <c r="L854">
        <f>fSales[[#This Row],[Total sales]]-_xlfn.XLOOKUP(fSales[[#This Row],[ProductID]],dProduct[ProductID],dProduct[CrateCost])*fSales[[#This Row],[Units]]</f>
        <v>1781.9999999999995</v>
      </c>
      <c r="M854">
        <f>(_xlfn.XLOOKUP(fSales[[#This Row],[ProductID]],dProduct[ProductID],dProduct[CratePrice])-_xlfn.XLOOKUP(fSales[[#This Row],[ProductID]],dProduct[ProductID],dProduct[CrateCost]))/_xlfn.XLOOKUP(fSales[[#This Row],[ProductID]],dProduct[ProductID],dProduct[CratePrice])</f>
        <v>0.43999999999999995</v>
      </c>
      <c r="N854" t="str">
        <f>_xlfn.XLOOKUP(fSales[[#This Row],[SalesRepID]],dPSalesRep[SalesRepID],dPSalesRep[SalesRep])</f>
        <v>Timmy Kips</v>
      </c>
      <c r="O854" t="str">
        <f>_xlfn.XLOOKUP(fSales[[#This Row],[SalesRepID]],dPSalesRep[SalesRepID],dPSalesRep[Region])</f>
        <v>East</v>
      </c>
      <c r="P854" t="str">
        <f>_xlfn.XLOOKUP(fSales[[#This Row],[ProductID]],dProduct[ProductID],dProduct[Product])</f>
        <v>Kiwi</v>
      </c>
      <c r="Q854">
        <f>_xlfn.XLOOKUP(fSales[[#This Row],[ProductID]],dProduct[ProductID],dProduct[CratePrice])-_xlfn.XLOOKUP(fSales[[#This Row],[ProductID]],dProduct[ProductID],dProduct[CrateCost])</f>
        <v>9.8999999999999986</v>
      </c>
      <c r="R854">
        <f>_xlfn.XLOOKUP(fSales[[#This Row],[ProductID]],dProduct[ProductID],dProduct[CratePrice])</f>
        <v>22.5</v>
      </c>
      <c r="S854">
        <f>_xlfn.XLOOKUP(fSales[[#This Row],[ProductID]],dProduct[ProductID],dProduct[CrateCost])</f>
        <v>12.600000000000001</v>
      </c>
    </row>
    <row r="855" spans="7:19" x14ac:dyDescent="0.25">
      <c r="G855" s="2">
        <v>45884</v>
      </c>
      <c r="H855">
        <v>96</v>
      </c>
      <c r="I855" t="s">
        <v>19</v>
      </c>
      <c r="J855" t="s">
        <v>32</v>
      </c>
      <c r="K855">
        <f>_xlfn.XLOOKUP(fSales[[#This Row],[ProductID]],dProduct[ProductID],dProduct[CratePrice])*fSales[[#This Row],[Units]]</f>
        <v>3360</v>
      </c>
      <c r="L855">
        <f>fSales[[#This Row],[Total sales]]-_xlfn.XLOOKUP(fSales[[#This Row],[ProductID]],dProduct[ProductID],dProduct[CrateCost])*fSales[[#This Row],[Units]]</f>
        <v>1881.6</v>
      </c>
      <c r="M855">
        <f>(_xlfn.XLOOKUP(fSales[[#This Row],[ProductID]],dProduct[ProductID],dProduct[CratePrice])-_xlfn.XLOOKUP(fSales[[#This Row],[ProductID]],dProduct[ProductID],dProduct[CrateCost]))/_xlfn.XLOOKUP(fSales[[#This Row],[ProductID]],dProduct[ProductID],dProduct[CratePrice])</f>
        <v>0.56000000000000005</v>
      </c>
      <c r="N855" t="str">
        <f>_xlfn.XLOOKUP(fSales[[#This Row],[SalesRepID]],dPSalesRep[SalesRepID],dPSalesRep[SalesRep])</f>
        <v>Shihara Fazzaa</v>
      </c>
      <c r="O855" t="str">
        <f>_xlfn.XLOOKUP(fSales[[#This Row],[SalesRepID]],dPSalesRep[SalesRepID],dPSalesRep[Region])</f>
        <v>East</v>
      </c>
      <c r="P855" t="str">
        <f>_xlfn.XLOOKUP(fSales[[#This Row],[ProductID]],dProduct[ProductID],dProduct[Product])</f>
        <v>Apple</v>
      </c>
      <c r="Q855">
        <f>_xlfn.XLOOKUP(fSales[[#This Row],[ProductID]],dProduct[ProductID],dProduct[CratePrice])-_xlfn.XLOOKUP(fSales[[#This Row],[ProductID]],dProduct[ProductID],dProduct[CrateCost])</f>
        <v>19.600000000000001</v>
      </c>
      <c r="R855">
        <f>_xlfn.XLOOKUP(fSales[[#This Row],[ProductID]],dProduct[ProductID],dProduct[CratePrice])</f>
        <v>35</v>
      </c>
      <c r="S855">
        <f>_xlfn.XLOOKUP(fSales[[#This Row],[ProductID]],dProduct[ProductID],dProduct[CrateCost])</f>
        <v>15.4</v>
      </c>
    </row>
    <row r="856" spans="7:19" x14ac:dyDescent="0.25">
      <c r="G856" s="2">
        <v>45885</v>
      </c>
      <c r="H856">
        <v>144</v>
      </c>
      <c r="I856" t="s">
        <v>26</v>
      </c>
      <c r="J856" t="s">
        <v>52</v>
      </c>
      <c r="K856">
        <f>_xlfn.XLOOKUP(fSales[[#This Row],[ProductID]],dProduct[ProductID],dProduct[CratePrice])*fSales[[#This Row],[Units]]</f>
        <v>4284</v>
      </c>
      <c r="L856">
        <f>fSales[[#This Row],[Total sales]]-_xlfn.XLOOKUP(fSales[[#This Row],[ProductID]],dProduct[ProductID],dProduct[CrateCost])*fSales[[#This Row],[Units]]</f>
        <v>1799.2800000000002</v>
      </c>
      <c r="M856">
        <f>(_xlfn.XLOOKUP(fSales[[#This Row],[ProductID]],dProduct[ProductID],dProduct[CratePrice])-_xlfn.XLOOKUP(fSales[[#This Row],[ProductID]],dProduct[ProductID],dProduct[CrateCost]))/_xlfn.XLOOKUP(fSales[[#This Row],[ProductID]],dProduct[ProductID],dProduct[CratePrice])</f>
        <v>0.42000000000000004</v>
      </c>
      <c r="N856" t="str">
        <f>_xlfn.XLOOKUP(fSales[[#This Row],[SalesRepID]],dPSalesRep[SalesRepID],dPSalesRep[SalesRep])</f>
        <v>Smitty Rad</v>
      </c>
      <c r="O856" t="str">
        <f>_xlfn.XLOOKUP(fSales[[#This Row],[SalesRepID]],dPSalesRep[SalesRepID],dPSalesRep[Region])</f>
        <v>MidWest</v>
      </c>
      <c r="P856" t="str">
        <f>_xlfn.XLOOKUP(fSales[[#This Row],[ProductID]],dProduct[ProductID],dProduct[Product])</f>
        <v>Orange</v>
      </c>
      <c r="Q856">
        <f>_xlfn.XLOOKUP(fSales[[#This Row],[ProductID]],dProduct[ProductID],dProduct[CratePrice])-_xlfn.XLOOKUP(fSales[[#This Row],[ProductID]],dProduct[ProductID],dProduct[CrateCost])</f>
        <v>12.495000000000001</v>
      </c>
      <c r="R856">
        <f>_xlfn.XLOOKUP(fSales[[#This Row],[ProductID]],dProduct[ProductID],dProduct[CratePrice])</f>
        <v>29.75</v>
      </c>
      <c r="S856">
        <f>_xlfn.XLOOKUP(fSales[[#This Row],[ProductID]],dProduct[ProductID],dProduct[CrateCost])</f>
        <v>17.254999999999999</v>
      </c>
    </row>
    <row r="857" spans="7:19" x14ac:dyDescent="0.25">
      <c r="G857" s="2">
        <v>45886</v>
      </c>
      <c r="H857">
        <v>36</v>
      </c>
      <c r="I857" t="s">
        <v>28</v>
      </c>
      <c r="J857" t="s">
        <v>37</v>
      </c>
      <c r="K857">
        <f>_xlfn.XLOOKUP(fSales[[#This Row],[ProductID]],dProduct[ProductID],dProduct[CratePrice])*fSales[[#This Row],[Units]]</f>
        <v>1573.2</v>
      </c>
      <c r="L857">
        <f>fSales[[#This Row],[Total sales]]-_xlfn.XLOOKUP(fSales[[#This Row],[ProductID]],dProduct[ProductID],dProduct[CrateCost])*fSales[[#This Row],[Units]]</f>
        <v>660.74400000000003</v>
      </c>
      <c r="M857">
        <f>(_xlfn.XLOOKUP(fSales[[#This Row],[ProductID]],dProduct[ProductID],dProduct[CratePrice])-_xlfn.XLOOKUP(fSales[[#This Row],[ProductID]],dProduct[ProductID],dProduct[CrateCost]))/_xlfn.XLOOKUP(fSales[[#This Row],[ProductID]],dProduct[ProductID],dProduct[CratePrice])</f>
        <v>0.42000000000000004</v>
      </c>
      <c r="N857" t="str">
        <f>_xlfn.XLOOKUP(fSales[[#This Row],[SalesRepID]],dPSalesRep[SalesRepID],dPSalesRep[SalesRep])</f>
        <v>Chantel Mims</v>
      </c>
      <c r="O857" t="str">
        <f>_xlfn.XLOOKUP(fSales[[#This Row],[SalesRepID]],dPSalesRep[SalesRepID],dPSalesRep[Region])</f>
        <v>NW</v>
      </c>
      <c r="P857" t="str">
        <f>_xlfn.XLOOKUP(fSales[[#This Row],[ProductID]],dProduct[ProductID],dProduct[Product])</f>
        <v>Cherry</v>
      </c>
      <c r="Q857">
        <f>_xlfn.XLOOKUP(fSales[[#This Row],[ProductID]],dProduct[ProductID],dProduct[CratePrice])-_xlfn.XLOOKUP(fSales[[#This Row],[ProductID]],dProduct[ProductID],dProduct[CrateCost])</f>
        <v>18.354000000000003</v>
      </c>
      <c r="R857">
        <f>_xlfn.XLOOKUP(fSales[[#This Row],[ProductID]],dProduct[ProductID],dProduct[CratePrice])</f>
        <v>43.7</v>
      </c>
      <c r="S857">
        <f>_xlfn.XLOOKUP(fSales[[#This Row],[ProductID]],dProduct[ProductID],dProduct[CrateCost])</f>
        <v>25.346</v>
      </c>
    </row>
    <row r="858" spans="7:19" x14ac:dyDescent="0.25">
      <c r="G858" s="2">
        <v>45887</v>
      </c>
      <c r="H858">
        <v>276</v>
      </c>
      <c r="I858" t="s">
        <v>34</v>
      </c>
      <c r="J858" t="s">
        <v>52</v>
      </c>
      <c r="K858">
        <f>_xlfn.XLOOKUP(fSales[[#This Row],[ProductID]],dProduct[ProductID],dProduct[CratePrice])*fSales[[#This Row],[Units]]</f>
        <v>4830</v>
      </c>
      <c r="L858">
        <f>fSales[[#This Row],[Total sales]]-_xlfn.XLOOKUP(fSales[[#This Row],[ProductID]],dProduct[ProductID],dProduct[CrateCost])*fSales[[#This Row],[Units]]</f>
        <v>1593.8999999999996</v>
      </c>
      <c r="M858">
        <f>(_xlfn.XLOOKUP(fSales[[#This Row],[ProductID]],dProduct[ProductID],dProduct[CratePrice])-_xlfn.XLOOKUP(fSales[[#This Row],[ProductID]],dProduct[ProductID],dProduct[CrateCost]))/_xlfn.XLOOKUP(fSales[[#This Row],[ProductID]],dProduct[ProductID],dProduct[CratePrice])</f>
        <v>0.3299999999999999</v>
      </c>
      <c r="N858" t="str">
        <f>_xlfn.XLOOKUP(fSales[[#This Row],[SalesRepID]],dPSalesRep[SalesRepID],dPSalesRep[SalesRep])</f>
        <v>Smitty Rad</v>
      </c>
      <c r="O858" t="str">
        <f>_xlfn.XLOOKUP(fSales[[#This Row],[SalesRepID]],dPSalesRep[SalesRepID],dPSalesRep[Region])</f>
        <v>MidWest</v>
      </c>
      <c r="P858" t="str">
        <f>_xlfn.XLOOKUP(fSales[[#This Row],[ProductID]],dProduct[ProductID],dProduct[Product])</f>
        <v>Banana</v>
      </c>
      <c r="Q858">
        <f>_xlfn.XLOOKUP(fSales[[#This Row],[ProductID]],dProduct[ProductID],dProduct[CratePrice])-_xlfn.XLOOKUP(fSales[[#This Row],[ProductID]],dProduct[ProductID],dProduct[CrateCost])</f>
        <v>5.7749999999999986</v>
      </c>
      <c r="R858">
        <f>_xlfn.XLOOKUP(fSales[[#This Row],[ProductID]],dProduct[ProductID],dProduct[CratePrice])</f>
        <v>17.5</v>
      </c>
      <c r="S858">
        <f>_xlfn.XLOOKUP(fSales[[#This Row],[ProductID]],dProduct[ProductID],dProduct[CrateCost])</f>
        <v>11.725000000000001</v>
      </c>
    </row>
    <row r="859" spans="7:19" x14ac:dyDescent="0.25">
      <c r="G859" s="2">
        <v>45889</v>
      </c>
      <c r="H859">
        <v>156</v>
      </c>
      <c r="I859" t="s">
        <v>34</v>
      </c>
      <c r="J859" t="s">
        <v>37</v>
      </c>
      <c r="K859">
        <f>_xlfn.XLOOKUP(fSales[[#This Row],[ProductID]],dProduct[ProductID],dProduct[CratePrice])*fSales[[#This Row],[Units]]</f>
        <v>2730</v>
      </c>
      <c r="L859">
        <f>fSales[[#This Row],[Total sales]]-_xlfn.XLOOKUP(fSales[[#This Row],[ProductID]],dProduct[ProductID],dProduct[CrateCost])*fSales[[#This Row],[Units]]</f>
        <v>900.89999999999986</v>
      </c>
      <c r="M859">
        <f>(_xlfn.XLOOKUP(fSales[[#This Row],[ProductID]],dProduct[ProductID],dProduct[CratePrice])-_xlfn.XLOOKUP(fSales[[#This Row],[ProductID]],dProduct[ProductID],dProduct[CrateCost]))/_xlfn.XLOOKUP(fSales[[#This Row],[ProductID]],dProduct[ProductID],dProduct[CratePrice])</f>
        <v>0.3299999999999999</v>
      </c>
      <c r="N859" t="str">
        <f>_xlfn.XLOOKUP(fSales[[#This Row],[SalesRepID]],dPSalesRep[SalesRepID],dPSalesRep[SalesRep])</f>
        <v>Chantel Mims</v>
      </c>
      <c r="O859" t="str">
        <f>_xlfn.XLOOKUP(fSales[[#This Row],[SalesRepID]],dPSalesRep[SalesRepID],dPSalesRep[Region])</f>
        <v>NW</v>
      </c>
      <c r="P859" t="str">
        <f>_xlfn.XLOOKUP(fSales[[#This Row],[ProductID]],dProduct[ProductID],dProduct[Product])</f>
        <v>Banana</v>
      </c>
      <c r="Q859">
        <f>_xlfn.XLOOKUP(fSales[[#This Row],[ProductID]],dProduct[ProductID],dProduct[CratePrice])-_xlfn.XLOOKUP(fSales[[#This Row],[ProductID]],dProduct[ProductID],dProduct[CrateCost])</f>
        <v>5.7749999999999986</v>
      </c>
      <c r="R859">
        <f>_xlfn.XLOOKUP(fSales[[#This Row],[ProductID]],dProduct[ProductID],dProduct[CratePrice])</f>
        <v>17.5</v>
      </c>
      <c r="S859">
        <f>_xlfn.XLOOKUP(fSales[[#This Row],[ProductID]],dProduct[ProductID],dProduct[CrateCost])</f>
        <v>11.725000000000001</v>
      </c>
    </row>
    <row r="860" spans="7:19" x14ac:dyDescent="0.25">
      <c r="G860" s="2">
        <v>45889</v>
      </c>
      <c r="H860">
        <v>240</v>
      </c>
      <c r="I860" t="s">
        <v>28</v>
      </c>
      <c r="J860" t="s">
        <v>22</v>
      </c>
      <c r="K860">
        <f>_xlfn.XLOOKUP(fSales[[#This Row],[ProductID]],dProduct[ProductID],dProduct[CratePrice])*fSales[[#This Row],[Units]]</f>
        <v>10488</v>
      </c>
      <c r="L860">
        <f>fSales[[#This Row],[Total sales]]-_xlfn.XLOOKUP(fSales[[#This Row],[ProductID]],dProduct[ProductID],dProduct[CrateCost])*fSales[[#This Row],[Units]]</f>
        <v>4404.96</v>
      </c>
      <c r="M860">
        <f>(_xlfn.XLOOKUP(fSales[[#This Row],[ProductID]],dProduct[ProductID],dProduct[CratePrice])-_xlfn.XLOOKUP(fSales[[#This Row],[ProductID]],dProduct[ProductID],dProduct[CrateCost]))/_xlfn.XLOOKUP(fSales[[#This Row],[ProductID]],dProduct[ProductID],dProduct[CratePrice])</f>
        <v>0.42000000000000004</v>
      </c>
      <c r="N860" t="str">
        <f>_xlfn.XLOOKUP(fSales[[#This Row],[SalesRepID]],dPSalesRep[SalesRepID],dPSalesRep[SalesRep])</f>
        <v>Timmy Kips</v>
      </c>
      <c r="O860" t="str">
        <f>_xlfn.XLOOKUP(fSales[[#This Row],[SalesRepID]],dPSalesRep[SalesRepID],dPSalesRep[Region])</f>
        <v>East</v>
      </c>
      <c r="P860" t="str">
        <f>_xlfn.XLOOKUP(fSales[[#This Row],[ProductID]],dProduct[ProductID],dProduct[Product])</f>
        <v>Cherry</v>
      </c>
      <c r="Q860">
        <f>_xlfn.XLOOKUP(fSales[[#This Row],[ProductID]],dProduct[ProductID],dProduct[CratePrice])-_xlfn.XLOOKUP(fSales[[#This Row],[ProductID]],dProduct[ProductID],dProduct[CrateCost])</f>
        <v>18.354000000000003</v>
      </c>
      <c r="R860">
        <f>_xlfn.XLOOKUP(fSales[[#This Row],[ProductID]],dProduct[ProductID],dProduct[CratePrice])</f>
        <v>43.7</v>
      </c>
      <c r="S860">
        <f>_xlfn.XLOOKUP(fSales[[#This Row],[ProductID]],dProduct[ProductID],dProduct[CrateCost])</f>
        <v>25.346</v>
      </c>
    </row>
    <row r="861" spans="7:19" x14ac:dyDescent="0.25">
      <c r="G861" s="2">
        <v>45891</v>
      </c>
      <c r="H861">
        <v>48</v>
      </c>
      <c r="I861" t="s">
        <v>21</v>
      </c>
      <c r="J861" t="s">
        <v>32</v>
      </c>
      <c r="K861">
        <f>_xlfn.XLOOKUP(fSales[[#This Row],[ProductID]],dProduct[ProductID],dProduct[CratePrice])*fSales[[#This Row],[Units]]</f>
        <v>1080</v>
      </c>
      <c r="L861">
        <f>fSales[[#This Row],[Total sales]]-_xlfn.XLOOKUP(fSales[[#This Row],[ProductID]],dProduct[ProductID],dProduct[CrateCost])*fSales[[#This Row],[Units]]</f>
        <v>475.19999999999993</v>
      </c>
      <c r="M861">
        <f>(_xlfn.XLOOKUP(fSales[[#This Row],[ProductID]],dProduct[ProductID],dProduct[CratePrice])-_xlfn.XLOOKUP(fSales[[#This Row],[ProductID]],dProduct[ProductID],dProduct[CrateCost]))/_xlfn.XLOOKUP(fSales[[#This Row],[ProductID]],dProduct[ProductID],dProduct[CratePrice])</f>
        <v>0.43999999999999995</v>
      </c>
      <c r="N861" t="str">
        <f>_xlfn.XLOOKUP(fSales[[#This Row],[SalesRepID]],dPSalesRep[SalesRepID],dPSalesRep[SalesRep])</f>
        <v>Shihara Fazzaa</v>
      </c>
      <c r="O861" t="str">
        <f>_xlfn.XLOOKUP(fSales[[#This Row],[SalesRepID]],dPSalesRep[SalesRepID],dPSalesRep[Region])</f>
        <v>East</v>
      </c>
      <c r="P861" t="str">
        <f>_xlfn.XLOOKUP(fSales[[#This Row],[ProductID]],dProduct[ProductID],dProduct[Product])</f>
        <v>Kiwi</v>
      </c>
      <c r="Q861">
        <f>_xlfn.XLOOKUP(fSales[[#This Row],[ProductID]],dProduct[ProductID],dProduct[CratePrice])-_xlfn.XLOOKUP(fSales[[#This Row],[ProductID]],dProduct[ProductID],dProduct[CrateCost])</f>
        <v>9.8999999999999986</v>
      </c>
      <c r="R861">
        <f>_xlfn.XLOOKUP(fSales[[#This Row],[ProductID]],dProduct[ProductID],dProduct[CratePrice])</f>
        <v>22.5</v>
      </c>
      <c r="S861">
        <f>_xlfn.XLOOKUP(fSales[[#This Row],[ProductID]],dProduct[ProductID],dProduct[CrateCost])</f>
        <v>12.600000000000001</v>
      </c>
    </row>
    <row r="862" spans="7:19" x14ac:dyDescent="0.25">
      <c r="G862" s="2">
        <v>45891</v>
      </c>
      <c r="H862">
        <v>216</v>
      </c>
      <c r="I862" t="s">
        <v>26</v>
      </c>
      <c r="J862" t="s">
        <v>32</v>
      </c>
      <c r="K862">
        <f>_xlfn.XLOOKUP(fSales[[#This Row],[ProductID]],dProduct[ProductID],dProduct[CratePrice])*fSales[[#This Row],[Units]]</f>
        <v>6426</v>
      </c>
      <c r="L862">
        <f>fSales[[#This Row],[Total sales]]-_xlfn.XLOOKUP(fSales[[#This Row],[ProductID]],dProduct[ProductID],dProduct[CrateCost])*fSales[[#This Row],[Units]]</f>
        <v>2698.92</v>
      </c>
      <c r="M862">
        <f>(_xlfn.XLOOKUP(fSales[[#This Row],[ProductID]],dProduct[ProductID],dProduct[CratePrice])-_xlfn.XLOOKUP(fSales[[#This Row],[ProductID]],dProduct[ProductID],dProduct[CrateCost]))/_xlfn.XLOOKUP(fSales[[#This Row],[ProductID]],dProduct[ProductID],dProduct[CratePrice])</f>
        <v>0.42000000000000004</v>
      </c>
      <c r="N862" t="str">
        <f>_xlfn.XLOOKUP(fSales[[#This Row],[SalesRepID]],dPSalesRep[SalesRepID],dPSalesRep[SalesRep])</f>
        <v>Shihara Fazzaa</v>
      </c>
      <c r="O862" t="str">
        <f>_xlfn.XLOOKUP(fSales[[#This Row],[SalesRepID]],dPSalesRep[SalesRepID],dPSalesRep[Region])</f>
        <v>East</v>
      </c>
      <c r="P862" t="str">
        <f>_xlfn.XLOOKUP(fSales[[#This Row],[ProductID]],dProduct[ProductID],dProduct[Product])</f>
        <v>Orange</v>
      </c>
      <c r="Q862">
        <f>_xlfn.XLOOKUP(fSales[[#This Row],[ProductID]],dProduct[ProductID],dProduct[CratePrice])-_xlfn.XLOOKUP(fSales[[#This Row],[ProductID]],dProduct[ProductID],dProduct[CrateCost])</f>
        <v>12.495000000000001</v>
      </c>
      <c r="R862">
        <f>_xlfn.XLOOKUP(fSales[[#This Row],[ProductID]],dProduct[ProductID],dProduct[CratePrice])</f>
        <v>29.75</v>
      </c>
      <c r="S862">
        <f>_xlfn.XLOOKUP(fSales[[#This Row],[ProductID]],dProduct[ProductID],dProduct[CrateCost])</f>
        <v>17.254999999999999</v>
      </c>
    </row>
    <row r="863" spans="7:19" x14ac:dyDescent="0.25">
      <c r="G863" s="2">
        <v>45891</v>
      </c>
      <c r="H863">
        <v>288</v>
      </c>
      <c r="I863" t="s">
        <v>34</v>
      </c>
      <c r="J863" t="s">
        <v>32</v>
      </c>
      <c r="K863">
        <f>_xlfn.XLOOKUP(fSales[[#This Row],[ProductID]],dProduct[ProductID],dProduct[CratePrice])*fSales[[#This Row],[Units]]</f>
        <v>5040</v>
      </c>
      <c r="L863">
        <f>fSales[[#This Row],[Total sales]]-_xlfn.XLOOKUP(fSales[[#This Row],[ProductID]],dProduct[ProductID],dProduct[CrateCost])*fSales[[#This Row],[Units]]</f>
        <v>1663.1999999999998</v>
      </c>
      <c r="M863">
        <f>(_xlfn.XLOOKUP(fSales[[#This Row],[ProductID]],dProduct[ProductID],dProduct[CratePrice])-_xlfn.XLOOKUP(fSales[[#This Row],[ProductID]],dProduct[ProductID],dProduct[CrateCost]))/_xlfn.XLOOKUP(fSales[[#This Row],[ProductID]],dProduct[ProductID],dProduct[CratePrice])</f>
        <v>0.3299999999999999</v>
      </c>
      <c r="N863" t="str">
        <f>_xlfn.XLOOKUP(fSales[[#This Row],[SalesRepID]],dPSalesRep[SalesRepID],dPSalesRep[SalesRep])</f>
        <v>Shihara Fazzaa</v>
      </c>
      <c r="O863" t="str">
        <f>_xlfn.XLOOKUP(fSales[[#This Row],[SalesRepID]],dPSalesRep[SalesRepID],dPSalesRep[Region])</f>
        <v>East</v>
      </c>
      <c r="P863" t="str">
        <f>_xlfn.XLOOKUP(fSales[[#This Row],[ProductID]],dProduct[ProductID],dProduct[Product])</f>
        <v>Banana</v>
      </c>
      <c r="Q863">
        <f>_xlfn.XLOOKUP(fSales[[#This Row],[ProductID]],dProduct[ProductID],dProduct[CratePrice])-_xlfn.XLOOKUP(fSales[[#This Row],[ProductID]],dProduct[ProductID],dProduct[CrateCost])</f>
        <v>5.7749999999999986</v>
      </c>
      <c r="R863">
        <f>_xlfn.XLOOKUP(fSales[[#This Row],[ProductID]],dProduct[ProductID],dProduct[CratePrice])</f>
        <v>17.5</v>
      </c>
      <c r="S863">
        <f>_xlfn.XLOOKUP(fSales[[#This Row],[ProductID]],dProduct[ProductID],dProduct[CrateCost])</f>
        <v>11.725000000000001</v>
      </c>
    </row>
    <row r="864" spans="7:19" x14ac:dyDescent="0.25">
      <c r="G864" s="2">
        <v>45892</v>
      </c>
      <c r="H864">
        <v>204</v>
      </c>
      <c r="I864" t="s">
        <v>28</v>
      </c>
      <c r="J864" t="s">
        <v>29</v>
      </c>
      <c r="K864">
        <f>_xlfn.XLOOKUP(fSales[[#This Row],[ProductID]],dProduct[ProductID],dProduct[CratePrice])*fSales[[#This Row],[Units]]</f>
        <v>8914.8000000000011</v>
      </c>
      <c r="L864">
        <f>fSales[[#This Row],[Total sales]]-_xlfn.XLOOKUP(fSales[[#This Row],[ProductID]],dProduct[ProductID],dProduct[CrateCost])*fSales[[#This Row],[Units]]</f>
        <v>3744.2160000000013</v>
      </c>
      <c r="M864">
        <f>(_xlfn.XLOOKUP(fSales[[#This Row],[ProductID]],dProduct[ProductID],dProduct[CratePrice])-_xlfn.XLOOKUP(fSales[[#This Row],[ProductID]],dProduct[ProductID],dProduct[CrateCost]))/_xlfn.XLOOKUP(fSales[[#This Row],[ProductID]],dProduct[ProductID],dProduct[CratePrice])</f>
        <v>0.42000000000000004</v>
      </c>
      <c r="N864" t="str">
        <f>_xlfn.XLOOKUP(fSales[[#This Row],[SalesRepID]],dPSalesRep[SalesRepID],dPSalesRep[SalesRep])</f>
        <v>Sioux Best</v>
      </c>
      <c r="O864" t="str">
        <f>_xlfn.XLOOKUP(fSales[[#This Row],[SalesRepID]],dPSalesRep[SalesRepID],dPSalesRep[Region])</f>
        <v>West</v>
      </c>
      <c r="P864" t="str">
        <f>_xlfn.XLOOKUP(fSales[[#This Row],[ProductID]],dProduct[ProductID],dProduct[Product])</f>
        <v>Cherry</v>
      </c>
      <c r="Q864">
        <f>_xlfn.XLOOKUP(fSales[[#This Row],[ProductID]],dProduct[ProductID],dProduct[CratePrice])-_xlfn.XLOOKUP(fSales[[#This Row],[ProductID]],dProduct[ProductID],dProduct[CrateCost])</f>
        <v>18.354000000000003</v>
      </c>
      <c r="R864">
        <f>_xlfn.XLOOKUP(fSales[[#This Row],[ProductID]],dProduct[ProductID],dProduct[CratePrice])</f>
        <v>43.7</v>
      </c>
      <c r="S864">
        <f>_xlfn.XLOOKUP(fSales[[#This Row],[ProductID]],dProduct[ProductID],dProduct[CrateCost])</f>
        <v>25.346</v>
      </c>
    </row>
    <row r="865" spans="7:19" x14ac:dyDescent="0.25">
      <c r="G865" s="2">
        <v>45892</v>
      </c>
      <c r="H865">
        <v>132</v>
      </c>
      <c r="I865" t="s">
        <v>34</v>
      </c>
      <c r="J865" t="s">
        <v>29</v>
      </c>
      <c r="K865">
        <f>_xlfn.XLOOKUP(fSales[[#This Row],[ProductID]],dProduct[ProductID],dProduct[CratePrice])*fSales[[#This Row],[Units]]</f>
        <v>2310</v>
      </c>
      <c r="L865">
        <f>fSales[[#This Row],[Total sales]]-_xlfn.XLOOKUP(fSales[[#This Row],[ProductID]],dProduct[ProductID],dProduct[CrateCost])*fSales[[#This Row],[Units]]</f>
        <v>762.29999999999973</v>
      </c>
      <c r="M865">
        <f>(_xlfn.XLOOKUP(fSales[[#This Row],[ProductID]],dProduct[ProductID],dProduct[CratePrice])-_xlfn.XLOOKUP(fSales[[#This Row],[ProductID]],dProduct[ProductID],dProduct[CrateCost]))/_xlfn.XLOOKUP(fSales[[#This Row],[ProductID]],dProduct[ProductID],dProduct[CratePrice])</f>
        <v>0.3299999999999999</v>
      </c>
      <c r="N865" t="str">
        <f>_xlfn.XLOOKUP(fSales[[#This Row],[SalesRepID]],dPSalesRep[SalesRepID],dPSalesRep[SalesRep])</f>
        <v>Sioux Best</v>
      </c>
      <c r="O865" t="str">
        <f>_xlfn.XLOOKUP(fSales[[#This Row],[SalesRepID]],dPSalesRep[SalesRepID],dPSalesRep[Region])</f>
        <v>West</v>
      </c>
      <c r="P865" t="str">
        <f>_xlfn.XLOOKUP(fSales[[#This Row],[ProductID]],dProduct[ProductID],dProduct[Product])</f>
        <v>Banana</v>
      </c>
      <c r="Q865">
        <f>_xlfn.XLOOKUP(fSales[[#This Row],[ProductID]],dProduct[ProductID],dProduct[CratePrice])-_xlfn.XLOOKUP(fSales[[#This Row],[ProductID]],dProduct[ProductID],dProduct[CrateCost])</f>
        <v>5.7749999999999986</v>
      </c>
      <c r="R865">
        <f>_xlfn.XLOOKUP(fSales[[#This Row],[ProductID]],dProduct[ProductID],dProduct[CratePrice])</f>
        <v>17.5</v>
      </c>
      <c r="S865">
        <f>_xlfn.XLOOKUP(fSales[[#This Row],[ProductID]],dProduct[ProductID],dProduct[CrateCost])</f>
        <v>11.725000000000001</v>
      </c>
    </row>
    <row r="866" spans="7:19" x14ac:dyDescent="0.25">
      <c r="G866" s="2">
        <v>45892</v>
      </c>
      <c r="H866">
        <v>60</v>
      </c>
      <c r="I866" t="s">
        <v>26</v>
      </c>
      <c r="J866" t="s">
        <v>22</v>
      </c>
      <c r="K866">
        <f>_xlfn.XLOOKUP(fSales[[#This Row],[ProductID]],dProduct[ProductID],dProduct[CratePrice])*fSales[[#This Row],[Units]]</f>
        <v>1785</v>
      </c>
      <c r="L866">
        <f>fSales[[#This Row],[Total sales]]-_xlfn.XLOOKUP(fSales[[#This Row],[ProductID]],dProduct[ProductID],dProduct[CrateCost])*fSales[[#This Row],[Units]]</f>
        <v>749.7</v>
      </c>
      <c r="M866">
        <f>(_xlfn.XLOOKUP(fSales[[#This Row],[ProductID]],dProduct[ProductID],dProduct[CratePrice])-_xlfn.XLOOKUP(fSales[[#This Row],[ProductID]],dProduct[ProductID],dProduct[CrateCost]))/_xlfn.XLOOKUP(fSales[[#This Row],[ProductID]],dProduct[ProductID],dProduct[CratePrice])</f>
        <v>0.42000000000000004</v>
      </c>
      <c r="N866" t="str">
        <f>_xlfn.XLOOKUP(fSales[[#This Row],[SalesRepID]],dPSalesRep[SalesRepID],dPSalesRep[SalesRep])</f>
        <v>Timmy Kips</v>
      </c>
      <c r="O866" t="str">
        <f>_xlfn.XLOOKUP(fSales[[#This Row],[SalesRepID]],dPSalesRep[SalesRepID],dPSalesRep[Region])</f>
        <v>East</v>
      </c>
      <c r="P866" t="str">
        <f>_xlfn.XLOOKUP(fSales[[#This Row],[ProductID]],dProduct[ProductID],dProduct[Product])</f>
        <v>Orange</v>
      </c>
      <c r="Q866">
        <f>_xlfn.XLOOKUP(fSales[[#This Row],[ProductID]],dProduct[ProductID],dProduct[CratePrice])-_xlfn.XLOOKUP(fSales[[#This Row],[ProductID]],dProduct[ProductID],dProduct[CrateCost])</f>
        <v>12.495000000000001</v>
      </c>
      <c r="R866">
        <f>_xlfn.XLOOKUP(fSales[[#This Row],[ProductID]],dProduct[ProductID],dProduct[CratePrice])</f>
        <v>29.75</v>
      </c>
      <c r="S866">
        <f>_xlfn.XLOOKUP(fSales[[#This Row],[ProductID]],dProduct[ProductID],dProduct[CrateCost])</f>
        <v>17.254999999999999</v>
      </c>
    </row>
    <row r="867" spans="7:19" x14ac:dyDescent="0.25">
      <c r="G867" s="2">
        <v>45892</v>
      </c>
      <c r="H867">
        <v>300</v>
      </c>
      <c r="I867" t="s">
        <v>34</v>
      </c>
      <c r="J867" t="s">
        <v>37</v>
      </c>
      <c r="K867">
        <f>_xlfn.XLOOKUP(fSales[[#This Row],[ProductID]],dProduct[ProductID],dProduct[CratePrice])*fSales[[#This Row],[Units]]</f>
        <v>5250</v>
      </c>
      <c r="L867">
        <f>fSales[[#This Row],[Total sales]]-_xlfn.XLOOKUP(fSales[[#This Row],[ProductID]],dProduct[ProductID],dProduct[CrateCost])*fSales[[#This Row],[Units]]</f>
        <v>1732.4999999999995</v>
      </c>
      <c r="M867">
        <f>(_xlfn.XLOOKUP(fSales[[#This Row],[ProductID]],dProduct[ProductID],dProduct[CratePrice])-_xlfn.XLOOKUP(fSales[[#This Row],[ProductID]],dProduct[ProductID],dProduct[CrateCost]))/_xlfn.XLOOKUP(fSales[[#This Row],[ProductID]],dProduct[ProductID],dProduct[CratePrice])</f>
        <v>0.3299999999999999</v>
      </c>
      <c r="N867" t="str">
        <f>_xlfn.XLOOKUP(fSales[[#This Row],[SalesRepID]],dPSalesRep[SalesRepID],dPSalesRep[SalesRep])</f>
        <v>Chantel Mims</v>
      </c>
      <c r="O867" t="str">
        <f>_xlfn.XLOOKUP(fSales[[#This Row],[SalesRepID]],dPSalesRep[SalesRepID],dPSalesRep[Region])</f>
        <v>NW</v>
      </c>
      <c r="P867" t="str">
        <f>_xlfn.XLOOKUP(fSales[[#This Row],[ProductID]],dProduct[ProductID],dProduct[Product])</f>
        <v>Banana</v>
      </c>
      <c r="Q867">
        <f>_xlfn.XLOOKUP(fSales[[#This Row],[ProductID]],dProduct[ProductID],dProduct[CratePrice])-_xlfn.XLOOKUP(fSales[[#This Row],[ProductID]],dProduct[ProductID],dProduct[CrateCost])</f>
        <v>5.7749999999999986</v>
      </c>
      <c r="R867">
        <f>_xlfn.XLOOKUP(fSales[[#This Row],[ProductID]],dProduct[ProductID],dProduct[CratePrice])</f>
        <v>17.5</v>
      </c>
      <c r="S867">
        <f>_xlfn.XLOOKUP(fSales[[#This Row],[ProductID]],dProduct[ProductID],dProduct[CrateCost])</f>
        <v>11.725000000000001</v>
      </c>
    </row>
    <row r="868" spans="7:19" x14ac:dyDescent="0.25">
      <c r="G868" s="2">
        <v>45892</v>
      </c>
      <c r="H868">
        <v>204</v>
      </c>
      <c r="I868" t="s">
        <v>34</v>
      </c>
      <c r="J868" t="s">
        <v>37</v>
      </c>
      <c r="K868">
        <f>_xlfn.XLOOKUP(fSales[[#This Row],[ProductID]],dProduct[ProductID],dProduct[CratePrice])*fSales[[#This Row],[Units]]</f>
        <v>3570</v>
      </c>
      <c r="L868">
        <f>fSales[[#This Row],[Total sales]]-_xlfn.XLOOKUP(fSales[[#This Row],[ProductID]],dProduct[ProductID],dProduct[CrateCost])*fSales[[#This Row],[Units]]</f>
        <v>1178.0999999999999</v>
      </c>
      <c r="M868">
        <f>(_xlfn.XLOOKUP(fSales[[#This Row],[ProductID]],dProduct[ProductID],dProduct[CratePrice])-_xlfn.XLOOKUP(fSales[[#This Row],[ProductID]],dProduct[ProductID],dProduct[CrateCost]))/_xlfn.XLOOKUP(fSales[[#This Row],[ProductID]],dProduct[ProductID],dProduct[CratePrice])</f>
        <v>0.3299999999999999</v>
      </c>
      <c r="N868" t="str">
        <f>_xlfn.XLOOKUP(fSales[[#This Row],[SalesRepID]],dPSalesRep[SalesRepID],dPSalesRep[SalesRep])</f>
        <v>Chantel Mims</v>
      </c>
      <c r="O868" t="str">
        <f>_xlfn.XLOOKUP(fSales[[#This Row],[SalesRepID]],dPSalesRep[SalesRepID],dPSalesRep[Region])</f>
        <v>NW</v>
      </c>
      <c r="P868" t="str">
        <f>_xlfn.XLOOKUP(fSales[[#This Row],[ProductID]],dProduct[ProductID],dProduct[Product])</f>
        <v>Banana</v>
      </c>
      <c r="Q868">
        <f>_xlfn.XLOOKUP(fSales[[#This Row],[ProductID]],dProduct[ProductID],dProduct[CratePrice])-_xlfn.XLOOKUP(fSales[[#This Row],[ProductID]],dProduct[ProductID],dProduct[CrateCost])</f>
        <v>5.7749999999999986</v>
      </c>
      <c r="R868">
        <f>_xlfn.XLOOKUP(fSales[[#This Row],[ProductID]],dProduct[ProductID],dProduct[CratePrice])</f>
        <v>17.5</v>
      </c>
      <c r="S868">
        <f>_xlfn.XLOOKUP(fSales[[#This Row],[ProductID]],dProduct[ProductID],dProduct[CrateCost])</f>
        <v>11.725000000000001</v>
      </c>
    </row>
    <row r="869" spans="7:19" x14ac:dyDescent="0.25">
      <c r="G869" s="2">
        <v>45894</v>
      </c>
      <c r="H869">
        <v>132</v>
      </c>
      <c r="I869" t="s">
        <v>19</v>
      </c>
      <c r="J869" t="s">
        <v>32</v>
      </c>
      <c r="K869">
        <f>_xlfn.XLOOKUP(fSales[[#This Row],[ProductID]],dProduct[ProductID],dProduct[CratePrice])*fSales[[#This Row],[Units]]</f>
        <v>4620</v>
      </c>
      <c r="L869">
        <f>fSales[[#This Row],[Total sales]]-_xlfn.XLOOKUP(fSales[[#This Row],[ProductID]],dProduct[ProductID],dProduct[CrateCost])*fSales[[#This Row],[Units]]</f>
        <v>2587.1999999999998</v>
      </c>
      <c r="M869">
        <f>(_xlfn.XLOOKUP(fSales[[#This Row],[ProductID]],dProduct[ProductID],dProduct[CratePrice])-_xlfn.XLOOKUP(fSales[[#This Row],[ProductID]],dProduct[ProductID],dProduct[CrateCost]))/_xlfn.XLOOKUP(fSales[[#This Row],[ProductID]],dProduct[ProductID],dProduct[CratePrice])</f>
        <v>0.56000000000000005</v>
      </c>
      <c r="N869" t="str">
        <f>_xlfn.XLOOKUP(fSales[[#This Row],[SalesRepID]],dPSalesRep[SalesRepID],dPSalesRep[SalesRep])</f>
        <v>Shihara Fazzaa</v>
      </c>
      <c r="O869" t="str">
        <f>_xlfn.XLOOKUP(fSales[[#This Row],[SalesRepID]],dPSalesRep[SalesRepID],dPSalesRep[Region])</f>
        <v>East</v>
      </c>
      <c r="P869" t="str">
        <f>_xlfn.XLOOKUP(fSales[[#This Row],[ProductID]],dProduct[ProductID],dProduct[Product])</f>
        <v>Apple</v>
      </c>
      <c r="Q869">
        <f>_xlfn.XLOOKUP(fSales[[#This Row],[ProductID]],dProduct[ProductID],dProduct[CratePrice])-_xlfn.XLOOKUP(fSales[[#This Row],[ProductID]],dProduct[ProductID],dProduct[CrateCost])</f>
        <v>19.600000000000001</v>
      </c>
      <c r="R869">
        <f>_xlfn.XLOOKUP(fSales[[#This Row],[ProductID]],dProduct[ProductID],dProduct[CratePrice])</f>
        <v>35</v>
      </c>
      <c r="S869">
        <f>_xlfn.XLOOKUP(fSales[[#This Row],[ProductID]],dProduct[ProductID],dProduct[CrateCost])</f>
        <v>15.4</v>
      </c>
    </row>
    <row r="870" spans="7:19" x14ac:dyDescent="0.25">
      <c r="G870" s="2">
        <v>45894</v>
      </c>
      <c r="H870">
        <v>264</v>
      </c>
      <c r="I870" t="s">
        <v>21</v>
      </c>
      <c r="J870" t="s">
        <v>37</v>
      </c>
      <c r="K870">
        <f>_xlfn.XLOOKUP(fSales[[#This Row],[ProductID]],dProduct[ProductID],dProduct[CratePrice])*fSales[[#This Row],[Units]]</f>
        <v>5940</v>
      </c>
      <c r="L870">
        <f>fSales[[#This Row],[Total sales]]-_xlfn.XLOOKUP(fSales[[#This Row],[ProductID]],dProduct[ProductID],dProduct[CrateCost])*fSales[[#This Row],[Units]]</f>
        <v>2613.5999999999995</v>
      </c>
      <c r="M870">
        <f>(_xlfn.XLOOKUP(fSales[[#This Row],[ProductID]],dProduct[ProductID],dProduct[CratePrice])-_xlfn.XLOOKUP(fSales[[#This Row],[ProductID]],dProduct[ProductID],dProduct[CrateCost]))/_xlfn.XLOOKUP(fSales[[#This Row],[ProductID]],dProduct[ProductID],dProduct[CratePrice])</f>
        <v>0.43999999999999995</v>
      </c>
      <c r="N870" t="str">
        <f>_xlfn.XLOOKUP(fSales[[#This Row],[SalesRepID]],dPSalesRep[SalesRepID],dPSalesRep[SalesRep])</f>
        <v>Chantel Mims</v>
      </c>
      <c r="O870" t="str">
        <f>_xlfn.XLOOKUP(fSales[[#This Row],[SalesRepID]],dPSalesRep[SalesRepID],dPSalesRep[Region])</f>
        <v>NW</v>
      </c>
      <c r="P870" t="str">
        <f>_xlfn.XLOOKUP(fSales[[#This Row],[ProductID]],dProduct[ProductID],dProduct[Product])</f>
        <v>Kiwi</v>
      </c>
      <c r="Q870">
        <f>_xlfn.XLOOKUP(fSales[[#This Row],[ProductID]],dProduct[ProductID],dProduct[CratePrice])-_xlfn.XLOOKUP(fSales[[#This Row],[ProductID]],dProduct[ProductID],dProduct[CrateCost])</f>
        <v>9.8999999999999986</v>
      </c>
      <c r="R870">
        <f>_xlfn.XLOOKUP(fSales[[#This Row],[ProductID]],dProduct[ProductID],dProduct[CratePrice])</f>
        <v>22.5</v>
      </c>
      <c r="S870">
        <f>_xlfn.XLOOKUP(fSales[[#This Row],[ProductID]],dProduct[ProductID],dProduct[CrateCost])</f>
        <v>12.600000000000001</v>
      </c>
    </row>
    <row r="871" spans="7:19" x14ac:dyDescent="0.25">
      <c r="G871" s="2">
        <v>45895</v>
      </c>
      <c r="H871">
        <v>288</v>
      </c>
      <c r="I871" t="s">
        <v>26</v>
      </c>
      <c r="J871" t="s">
        <v>52</v>
      </c>
      <c r="K871">
        <f>_xlfn.XLOOKUP(fSales[[#This Row],[ProductID]],dProduct[ProductID],dProduct[CratePrice])*fSales[[#This Row],[Units]]</f>
        <v>8568</v>
      </c>
      <c r="L871">
        <f>fSales[[#This Row],[Total sales]]-_xlfn.XLOOKUP(fSales[[#This Row],[ProductID]],dProduct[ProductID],dProduct[CrateCost])*fSales[[#This Row],[Units]]</f>
        <v>3598.5600000000004</v>
      </c>
      <c r="M871">
        <f>(_xlfn.XLOOKUP(fSales[[#This Row],[ProductID]],dProduct[ProductID],dProduct[CratePrice])-_xlfn.XLOOKUP(fSales[[#This Row],[ProductID]],dProduct[ProductID],dProduct[CrateCost]))/_xlfn.XLOOKUP(fSales[[#This Row],[ProductID]],dProduct[ProductID],dProduct[CratePrice])</f>
        <v>0.42000000000000004</v>
      </c>
      <c r="N871" t="str">
        <f>_xlfn.XLOOKUP(fSales[[#This Row],[SalesRepID]],dPSalesRep[SalesRepID],dPSalesRep[SalesRep])</f>
        <v>Smitty Rad</v>
      </c>
      <c r="O871" t="str">
        <f>_xlfn.XLOOKUP(fSales[[#This Row],[SalesRepID]],dPSalesRep[SalesRepID],dPSalesRep[Region])</f>
        <v>MidWest</v>
      </c>
      <c r="P871" t="str">
        <f>_xlfn.XLOOKUP(fSales[[#This Row],[ProductID]],dProduct[ProductID],dProduct[Product])</f>
        <v>Orange</v>
      </c>
      <c r="Q871">
        <f>_xlfn.XLOOKUP(fSales[[#This Row],[ProductID]],dProduct[ProductID],dProduct[CratePrice])-_xlfn.XLOOKUP(fSales[[#This Row],[ProductID]],dProduct[ProductID],dProduct[CrateCost])</f>
        <v>12.495000000000001</v>
      </c>
      <c r="R871">
        <f>_xlfn.XLOOKUP(fSales[[#This Row],[ProductID]],dProduct[ProductID],dProduct[CratePrice])</f>
        <v>29.75</v>
      </c>
      <c r="S871">
        <f>_xlfn.XLOOKUP(fSales[[#This Row],[ProductID]],dProduct[ProductID],dProduct[CrateCost])</f>
        <v>17.254999999999999</v>
      </c>
    </row>
    <row r="872" spans="7:19" x14ac:dyDescent="0.25">
      <c r="G872" s="2">
        <v>45895</v>
      </c>
      <c r="H872">
        <v>108</v>
      </c>
      <c r="I872" t="s">
        <v>28</v>
      </c>
      <c r="J872" t="s">
        <v>52</v>
      </c>
      <c r="K872">
        <f>_xlfn.XLOOKUP(fSales[[#This Row],[ProductID]],dProduct[ProductID],dProduct[CratePrice])*fSales[[#This Row],[Units]]</f>
        <v>4719.6000000000004</v>
      </c>
      <c r="L872">
        <f>fSales[[#This Row],[Total sales]]-_xlfn.XLOOKUP(fSales[[#This Row],[ProductID]],dProduct[ProductID],dProduct[CrateCost])*fSales[[#This Row],[Units]]</f>
        <v>1982.2320000000004</v>
      </c>
      <c r="M872">
        <f>(_xlfn.XLOOKUP(fSales[[#This Row],[ProductID]],dProduct[ProductID],dProduct[CratePrice])-_xlfn.XLOOKUP(fSales[[#This Row],[ProductID]],dProduct[ProductID],dProduct[CrateCost]))/_xlfn.XLOOKUP(fSales[[#This Row],[ProductID]],dProduct[ProductID],dProduct[CratePrice])</f>
        <v>0.42000000000000004</v>
      </c>
      <c r="N872" t="str">
        <f>_xlfn.XLOOKUP(fSales[[#This Row],[SalesRepID]],dPSalesRep[SalesRepID],dPSalesRep[SalesRep])</f>
        <v>Smitty Rad</v>
      </c>
      <c r="O872" t="str">
        <f>_xlfn.XLOOKUP(fSales[[#This Row],[SalesRepID]],dPSalesRep[SalesRepID],dPSalesRep[Region])</f>
        <v>MidWest</v>
      </c>
      <c r="P872" t="str">
        <f>_xlfn.XLOOKUP(fSales[[#This Row],[ProductID]],dProduct[ProductID],dProduct[Product])</f>
        <v>Cherry</v>
      </c>
      <c r="Q872">
        <f>_xlfn.XLOOKUP(fSales[[#This Row],[ProductID]],dProduct[ProductID],dProduct[CratePrice])-_xlfn.XLOOKUP(fSales[[#This Row],[ProductID]],dProduct[ProductID],dProduct[CrateCost])</f>
        <v>18.354000000000003</v>
      </c>
      <c r="R872">
        <f>_xlfn.XLOOKUP(fSales[[#This Row],[ProductID]],dProduct[ProductID],dProduct[CratePrice])</f>
        <v>43.7</v>
      </c>
      <c r="S872">
        <f>_xlfn.XLOOKUP(fSales[[#This Row],[ProductID]],dProduct[ProductID],dProduct[CrateCost])</f>
        <v>25.346</v>
      </c>
    </row>
    <row r="873" spans="7:19" x14ac:dyDescent="0.25">
      <c r="G873" s="2">
        <v>45896</v>
      </c>
      <c r="H873">
        <v>204</v>
      </c>
      <c r="I873" t="s">
        <v>21</v>
      </c>
      <c r="J873" t="s">
        <v>29</v>
      </c>
      <c r="K873">
        <f>_xlfn.XLOOKUP(fSales[[#This Row],[ProductID]],dProduct[ProductID],dProduct[CratePrice])*fSales[[#This Row],[Units]]</f>
        <v>4590</v>
      </c>
      <c r="L873">
        <f>fSales[[#This Row],[Total sales]]-_xlfn.XLOOKUP(fSales[[#This Row],[ProductID]],dProduct[ProductID],dProduct[CrateCost])*fSales[[#This Row],[Units]]</f>
        <v>2019.6</v>
      </c>
      <c r="M873">
        <f>(_xlfn.XLOOKUP(fSales[[#This Row],[ProductID]],dProduct[ProductID],dProduct[CratePrice])-_xlfn.XLOOKUP(fSales[[#This Row],[ProductID]],dProduct[ProductID],dProduct[CrateCost]))/_xlfn.XLOOKUP(fSales[[#This Row],[ProductID]],dProduct[ProductID],dProduct[CratePrice])</f>
        <v>0.43999999999999995</v>
      </c>
      <c r="N873" t="str">
        <f>_xlfn.XLOOKUP(fSales[[#This Row],[SalesRepID]],dPSalesRep[SalesRepID],dPSalesRep[SalesRep])</f>
        <v>Sioux Best</v>
      </c>
      <c r="O873" t="str">
        <f>_xlfn.XLOOKUP(fSales[[#This Row],[SalesRepID]],dPSalesRep[SalesRepID],dPSalesRep[Region])</f>
        <v>West</v>
      </c>
      <c r="P873" t="str">
        <f>_xlfn.XLOOKUP(fSales[[#This Row],[ProductID]],dProduct[ProductID],dProduct[Product])</f>
        <v>Kiwi</v>
      </c>
      <c r="Q873">
        <f>_xlfn.XLOOKUP(fSales[[#This Row],[ProductID]],dProduct[ProductID],dProduct[CratePrice])-_xlfn.XLOOKUP(fSales[[#This Row],[ProductID]],dProduct[ProductID],dProduct[CrateCost])</f>
        <v>9.8999999999999986</v>
      </c>
      <c r="R873">
        <f>_xlfn.XLOOKUP(fSales[[#This Row],[ProductID]],dProduct[ProductID],dProduct[CratePrice])</f>
        <v>22.5</v>
      </c>
      <c r="S873">
        <f>_xlfn.XLOOKUP(fSales[[#This Row],[ProductID]],dProduct[ProductID],dProduct[CrateCost])</f>
        <v>12.600000000000001</v>
      </c>
    </row>
    <row r="874" spans="7:19" x14ac:dyDescent="0.25">
      <c r="G874" s="2">
        <v>45896</v>
      </c>
      <c r="H874">
        <v>288</v>
      </c>
      <c r="I874" t="s">
        <v>19</v>
      </c>
      <c r="J874" t="s">
        <v>32</v>
      </c>
      <c r="K874">
        <f>_xlfn.XLOOKUP(fSales[[#This Row],[ProductID]],dProduct[ProductID],dProduct[CratePrice])*fSales[[#This Row],[Units]]</f>
        <v>10080</v>
      </c>
      <c r="L874">
        <f>fSales[[#This Row],[Total sales]]-_xlfn.XLOOKUP(fSales[[#This Row],[ProductID]],dProduct[ProductID],dProduct[CrateCost])*fSales[[#This Row],[Units]]</f>
        <v>5644.8</v>
      </c>
      <c r="M874">
        <f>(_xlfn.XLOOKUP(fSales[[#This Row],[ProductID]],dProduct[ProductID],dProduct[CratePrice])-_xlfn.XLOOKUP(fSales[[#This Row],[ProductID]],dProduct[ProductID],dProduct[CrateCost]))/_xlfn.XLOOKUP(fSales[[#This Row],[ProductID]],dProduct[ProductID],dProduct[CratePrice])</f>
        <v>0.56000000000000005</v>
      </c>
      <c r="N874" t="str">
        <f>_xlfn.XLOOKUP(fSales[[#This Row],[SalesRepID]],dPSalesRep[SalesRepID],dPSalesRep[SalesRep])</f>
        <v>Shihara Fazzaa</v>
      </c>
      <c r="O874" t="str">
        <f>_xlfn.XLOOKUP(fSales[[#This Row],[SalesRepID]],dPSalesRep[SalesRepID],dPSalesRep[Region])</f>
        <v>East</v>
      </c>
      <c r="P874" t="str">
        <f>_xlfn.XLOOKUP(fSales[[#This Row],[ProductID]],dProduct[ProductID],dProduct[Product])</f>
        <v>Apple</v>
      </c>
      <c r="Q874">
        <f>_xlfn.XLOOKUP(fSales[[#This Row],[ProductID]],dProduct[ProductID],dProduct[CratePrice])-_xlfn.XLOOKUP(fSales[[#This Row],[ProductID]],dProduct[ProductID],dProduct[CrateCost])</f>
        <v>19.600000000000001</v>
      </c>
      <c r="R874">
        <f>_xlfn.XLOOKUP(fSales[[#This Row],[ProductID]],dProduct[ProductID],dProduct[CratePrice])</f>
        <v>35</v>
      </c>
      <c r="S874">
        <f>_xlfn.XLOOKUP(fSales[[#This Row],[ProductID]],dProduct[ProductID],dProduct[CrateCost])</f>
        <v>15.4</v>
      </c>
    </row>
    <row r="875" spans="7:19" x14ac:dyDescent="0.25">
      <c r="G875" s="2">
        <v>45896</v>
      </c>
      <c r="H875">
        <v>276</v>
      </c>
      <c r="I875" t="s">
        <v>21</v>
      </c>
      <c r="J875" t="s">
        <v>37</v>
      </c>
      <c r="K875">
        <f>_xlfn.XLOOKUP(fSales[[#This Row],[ProductID]],dProduct[ProductID],dProduct[CratePrice])*fSales[[#This Row],[Units]]</f>
        <v>6210</v>
      </c>
      <c r="L875">
        <f>fSales[[#This Row],[Total sales]]-_xlfn.XLOOKUP(fSales[[#This Row],[ProductID]],dProduct[ProductID],dProduct[CrateCost])*fSales[[#This Row],[Units]]</f>
        <v>2732.3999999999996</v>
      </c>
      <c r="M875">
        <f>(_xlfn.XLOOKUP(fSales[[#This Row],[ProductID]],dProduct[ProductID],dProduct[CratePrice])-_xlfn.XLOOKUP(fSales[[#This Row],[ProductID]],dProduct[ProductID],dProduct[CrateCost]))/_xlfn.XLOOKUP(fSales[[#This Row],[ProductID]],dProduct[ProductID],dProduct[CratePrice])</f>
        <v>0.43999999999999995</v>
      </c>
      <c r="N875" t="str">
        <f>_xlfn.XLOOKUP(fSales[[#This Row],[SalesRepID]],dPSalesRep[SalesRepID],dPSalesRep[SalesRep])</f>
        <v>Chantel Mims</v>
      </c>
      <c r="O875" t="str">
        <f>_xlfn.XLOOKUP(fSales[[#This Row],[SalesRepID]],dPSalesRep[SalesRepID],dPSalesRep[Region])</f>
        <v>NW</v>
      </c>
      <c r="P875" t="str">
        <f>_xlfn.XLOOKUP(fSales[[#This Row],[ProductID]],dProduct[ProductID],dProduct[Product])</f>
        <v>Kiwi</v>
      </c>
      <c r="Q875">
        <f>_xlfn.XLOOKUP(fSales[[#This Row],[ProductID]],dProduct[ProductID],dProduct[CratePrice])-_xlfn.XLOOKUP(fSales[[#This Row],[ProductID]],dProduct[ProductID],dProduct[CrateCost])</f>
        <v>9.8999999999999986</v>
      </c>
      <c r="R875">
        <f>_xlfn.XLOOKUP(fSales[[#This Row],[ProductID]],dProduct[ProductID],dProduct[CratePrice])</f>
        <v>22.5</v>
      </c>
      <c r="S875">
        <f>_xlfn.XLOOKUP(fSales[[#This Row],[ProductID]],dProduct[ProductID],dProduct[CrateCost])</f>
        <v>12.600000000000001</v>
      </c>
    </row>
    <row r="876" spans="7:19" x14ac:dyDescent="0.25">
      <c r="G876" s="2">
        <v>45898</v>
      </c>
      <c r="H876">
        <v>228</v>
      </c>
      <c r="I876" t="s">
        <v>34</v>
      </c>
      <c r="J876" t="s">
        <v>29</v>
      </c>
      <c r="K876">
        <f>_xlfn.XLOOKUP(fSales[[#This Row],[ProductID]],dProduct[ProductID],dProduct[CratePrice])*fSales[[#This Row],[Units]]</f>
        <v>3990</v>
      </c>
      <c r="L876">
        <f>fSales[[#This Row],[Total sales]]-_xlfn.XLOOKUP(fSales[[#This Row],[ProductID]],dProduct[ProductID],dProduct[CrateCost])*fSales[[#This Row],[Units]]</f>
        <v>1316.6999999999998</v>
      </c>
      <c r="M876">
        <f>(_xlfn.XLOOKUP(fSales[[#This Row],[ProductID]],dProduct[ProductID],dProduct[CratePrice])-_xlfn.XLOOKUP(fSales[[#This Row],[ProductID]],dProduct[ProductID],dProduct[CrateCost]))/_xlfn.XLOOKUP(fSales[[#This Row],[ProductID]],dProduct[ProductID],dProduct[CratePrice])</f>
        <v>0.3299999999999999</v>
      </c>
      <c r="N876" t="str">
        <f>_xlfn.XLOOKUP(fSales[[#This Row],[SalesRepID]],dPSalesRep[SalesRepID],dPSalesRep[SalesRep])</f>
        <v>Sioux Best</v>
      </c>
      <c r="O876" t="str">
        <f>_xlfn.XLOOKUP(fSales[[#This Row],[SalesRepID]],dPSalesRep[SalesRepID],dPSalesRep[Region])</f>
        <v>West</v>
      </c>
      <c r="P876" t="str">
        <f>_xlfn.XLOOKUP(fSales[[#This Row],[ProductID]],dProduct[ProductID],dProduct[Product])</f>
        <v>Banana</v>
      </c>
      <c r="Q876">
        <f>_xlfn.XLOOKUP(fSales[[#This Row],[ProductID]],dProduct[ProductID],dProduct[CratePrice])-_xlfn.XLOOKUP(fSales[[#This Row],[ProductID]],dProduct[ProductID],dProduct[CrateCost])</f>
        <v>5.7749999999999986</v>
      </c>
      <c r="R876">
        <f>_xlfn.XLOOKUP(fSales[[#This Row],[ProductID]],dProduct[ProductID],dProduct[CratePrice])</f>
        <v>17.5</v>
      </c>
      <c r="S876">
        <f>_xlfn.XLOOKUP(fSales[[#This Row],[ProductID]],dProduct[ProductID],dProduct[CrateCost])</f>
        <v>11.725000000000001</v>
      </c>
    </row>
    <row r="877" spans="7:19" x14ac:dyDescent="0.25">
      <c r="G877" s="2">
        <v>45898</v>
      </c>
      <c r="H877">
        <v>288</v>
      </c>
      <c r="I877" t="s">
        <v>19</v>
      </c>
      <c r="J877" t="s">
        <v>29</v>
      </c>
      <c r="K877">
        <f>_xlfn.XLOOKUP(fSales[[#This Row],[ProductID]],dProduct[ProductID],dProduct[CratePrice])*fSales[[#This Row],[Units]]</f>
        <v>10080</v>
      </c>
      <c r="L877">
        <f>fSales[[#This Row],[Total sales]]-_xlfn.XLOOKUP(fSales[[#This Row],[ProductID]],dProduct[ProductID],dProduct[CrateCost])*fSales[[#This Row],[Units]]</f>
        <v>5644.8</v>
      </c>
      <c r="M877">
        <f>(_xlfn.XLOOKUP(fSales[[#This Row],[ProductID]],dProduct[ProductID],dProduct[CratePrice])-_xlfn.XLOOKUP(fSales[[#This Row],[ProductID]],dProduct[ProductID],dProduct[CrateCost]))/_xlfn.XLOOKUP(fSales[[#This Row],[ProductID]],dProduct[ProductID],dProduct[CratePrice])</f>
        <v>0.56000000000000005</v>
      </c>
      <c r="N877" t="str">
        <f>_xlfn.XLOOKUP(fSales[[#This Row],[SalesRepID]],dPSalesRep[SalesRepID],dPSalesRep[SalesRep])</f>
        <v>Sioux Best</v>
      </c>
      <c r="O877" t="str">
        <f>_xlfn.XLOOKUP(fSales[[#This Row],[SalesRepID]],dPSalesRep[SalesRepID],dPSalesRep[Region])</f>
        <v>West</v>
      </c>
      <c r="P877" t="str">
        <f>_xlfn.XLOOKUP(fSales[[#This Row],[ProductID]],dProduct[ProductID],dProduct[Product])</f>
        <v>Apple</v>
      </c>
      <c r="Q877">
        <f>_xlfn.XLOOKUP(fSales[[#This Row],[ProductID]],dProduct[ProductID],dProduct[CratePrice])-_xlfn.XLOOKUP(fSales[[#This Row],[ProductID]],dProduct[ProductID],dProduct[CrateCost])</f>
        <v>19.600000000000001</v>
      </c>
      <c r="R877">
        <f>_xlfn.XLOOKUP(fSales[[#This Row],[ProductID]],dProduct[ProductID],dProduct[CratePrice])</f>
        <v>35</v>
      </c>
      <c r="S877">
        <f>_xlfn.XLOOKUP(fSales[[#This Row],[ProductID]],dProduct[ProductID],dProduct[CrateCost])</f>
        <v>15.4</v>
      </c>
    </row>
    <row r="878" spans="7:19" x14ac:dyDescent="0.25">
      <c r="G878" s="2">
        <v>45899</v>
      </c>
      <c r="H878">
        <v>204</v>
      </c>
      <c r="I878" t="s">
        <v>21</v>
      </c>
      <c r="J878" t="s">
        <v>32</v>
      </c>
      <c r="K878">
        <f>_xlfn.XLOOKUP(fSales[[#This Row],[ProductID]],dProduct[ProductID],dProduct[CratePrice])*fSales[[#This Row],[Units]]</f>
        <v>4590</v>
      </c>
      <c r="L878">
        <f>fSales[[#This Row],[Total sales]]-_xlfn.XLOOKUP(fSales[[#This Row],[ProductID]],dProduct[ProductID],dProduct[CrateCost])*fSales[[#This Row],[Units]]</f>
        <v>2019.6</v>
      </c>
      <c r="M878">
        <f>(_xlfn.XLOOKUP(fSales[[#This Row],[ProductID]],dProduct[ProductID],dProduct[CratePrice])-_xlfn.XLOOKUP(fSales[[#This Row],[ProductID]],dProduct[ProductID],dProduct[CrateCost]))/_xlfn.XLOOKUP(fSales[[#This Row],[ProductID]],dProduct[ProductID],dProduct[CratePrice])</f>
        <v>0.43999999999999995</v>
      </c>
      <c r="N878" t="str">
        <f>_xlfn.XLOOKUP(fSales[[#This Row],[SalesRepID]],dPSalesRep[SalesRepID],dPSalesRep[SalesRep])</f>
        <v>Shihara Fazzaa</v>
      </c>
      <c r="O878" t="str">
        <f>_xlfn.XLOOKUP(fSales[[#This Row],[SalesRepID]],dPSalesRep[SalesRepID],dPSalesRep[Region])</f>
        <v>East</v>
      </c>
      <c r="P878" t="str">
        <f>_xlfn.XLOOKUP(fSales[[#This Row],[ProductID]],dProduct[ProductID],dProduct[Product])</f>
        <v>Kiwi</v>
      </c>
      <c r="Q878">
        <f>_xlfn.XLOOKUP(fSales[[#This Row],[ProductID]],dProduct[ProductID],dProduct[CratePrice])-_xlfn.XLOOKUP(fSales[[#This Row],[ProductID]],dProduct[ProductID],dProduct[CrateCost])</f>
        <v>9.8999999999999986</v>
      </c>
      <c r="R878">
        <f>_xlfn.XLOOKUP(fSales[[#This Row],[ProductID]],dProduct[ProductID],dProduct[CratePrice])</f>
        <v>22.5</v>
      </c>
      <c r="S878">
        <f>_xlfn.XLOOKUP(fSales[[#This Row],[ProductID]],dProduct[ProductID],dProduct[CrateCost])</f>
        <v>12.600000000000001</v>
      </c>
    </row>
    <row r="879" spans="7:19" x14ac:dyDescent="0.25">
      <c r="G879" s="2">
        <v>45899</v>
      </c>
      <c r="H879">
        <v>72</v>
      </c>
      <c r="I879" t="s">
        <v>26</v>
      </c>
      <c r="J879" t="s">
        <v>22</v>
      </c>
      <c r="K879">
        <f>_xlfn.XLOOKUP(fSales[[#This Row],[ProductID]],dProduct[ProductID],dProduct[CratePrice])*fSales[[#This Row],[Units]]</f>
        <v>2142</v>
      </c>
      <c r="L879">
        <f>fSales[[#This Row],[Total sales]]-_xlfn.XLOOKUP(fSales[[#This Row],[ProductID]],dProduct[ProductID],dProduct[CrateCost])*fSales[[#This Row],[Units]]</f>
        <v>899.6400000000001</v>
      </c>
      <c r="M879">
        <f>(_xlfn.XLOOKUP(fSales[[#This Row],[ProductID]],dProduct[ProductID],dProduct[CratePrice])-_xlfn.XLOOKUP(fSales[[#This Row],[ProductID]],dProduct[ProductID],dProduct[CrateCost]))/_xlfn.XLOOKUP(fSales[[#This Row],[ProductID]],dProduct[ProductID],dProduct[CratePrice])</f>
        <v>0.42000000000000004</v>
      </c>
      <c r="N879" t="str">
        <f>_xlfn.XLOOKUP(fSales[[#This Row],[SalesRepID]],dPSalesRep[SalesRepID],dPSalesRep[SalesRep])</f>
        <v>Timmy Kips</v>
      </c>
      <c r="O879" t="str">
        <f>_xlfn.XLOOKUP(fSales[[#This Row],[SalesRepID]],dPSalesRep[SalesRepID],dPSalesRep[Region])</f>
        <v>East</v>
      </c>
      <c r="P879" t="str">
        <f>_xlfn.XLOOKUP(fSales[[#This Row],[ProductID]],dProduct[ProductID],dProduct[Product])</f>
        <v>Orange</v>
      </c>
      <c r="Q879">
        <f>_xlfn.XLOOKUP(fSales[[#This Row],[ProductID]],dProduct[ProductID],dProduct[CratePrice])-_xlfn.XLOOKUP(fSales[[#This Row],[ProductID]],dProduct[ProductID],dProduct[CrateCost])</f>
        <v>12.495000000000001</v>
      </c>
      <c r="R879">
        <f>_xlfn.XLOOKUP(fSales[[#This Row],[ProductID]],dProduct[ProductID],dProduct[CratePrice])</f>
        <v>29.75</v>
      </c>
      <c r="S879">
        <f>_xlfn.XLOOKUP(fSales[[#This Row],[ProductID]],dProduct[ProductID],dProduct[CrateCost])</f>
        <v>17.254999999999999</v>
      </c>
    </row>
    <row r="880" spans="7:19" x14ac:dyDescent="0.25">
      <c r="G880" s="2">
        <v>45900</v>
      </c>
      <c r="H880">
        <v>48</v>
      </c>
      <c r="I880" t="s">
        <v>34</v>
      </c>
      <c r="J880" t="s">
        <v>52</v>
      </c>
      <c r="K880">
        <f>_xlfn.XLOOKUP(fSales[[#This Row],[ProductID]],dProduct[ProductID],dProduct[CratePrice])*fSales[[#This Row],[Units]]</f>
        <v>840</v>
      </c>
      <c r="L880">
        <f>fSales[[#This Row],[Total sales]]-_xlfn.XLOOKUP(fSales[[#This Row],[ProductID]],dProduct[ProductID],dProduct[CrateCost])*fSales[[#This Row],[Units]]</f>
        <v>277.19999999999993</v>
      </c>
      <c r="M880">
        <f>(_xlfn.XLOOKUP(fSales[[#This Row],[ProductID]],dProduct[ProductID],dProduct[CratePrice])-_xlfn.XLOOKUP(fSales[[#This Row],[ProductID]],dProduct[ProductID],dProduct[CrateCost]))/_xlfn.XLOOKUP(fSales[[#This Row],[ProductID]],dProduct[ProductID],dProduct[CratePrice])</f>
        <v>0.3299999999999999</v>
      </c>
      <c r="N880" t="str">
        <f>_xlfn.XLOOKUP(fSales[[#This Row],[SalesRepID]],dPSalesRep[SalesRepID],dPSalesRep[SalesRep])</f>
        <v>Smitty Rad</v>
      </c>
      <c r="O880" t="str">
        <f>_xlfn.XLOOKUP(fSales[[#This Row],[SalesRepID]],dPSalesRep[SalesRepID],dPSalesRep[Region])</f>
        <v>MidWest</v>
      </c>
      <c r="P880" t="str">
        <f>_xlfn.XLOOKUP(fSales[[#This Row],[ProductID]],dProduct[ProductID],dProduct[Product])</f>
        <v>Banana</v>
      </c>
      <c r="Q880">
        <f>_xlfn.XLOOKUP(fSales[[#This Row],[ProductID]],dProduct[ProductID],dProduct[CratePrice])-_xlfn.XLOOKUP(fSales[[#This Row],[ProductID]],dProduct[ProductID],dProduct[CrateCost])</f>
        <v>5.7749999999999986</v>
      </c>
      <c r="R880">
        <f>_xlfn.XLOOKUP(fSales[[#This Row],[ProductID]],dProduct[ProductID],dProduct[CratePrice])</f>
        <v>17.5</v>
      </c>
      <c r="S880">
        <f>_xlfn.XLOOKUP(fSales[[#This Row],[ProductID]],dProduct[ProductID],dProduct[CrateCost])</f>
        <v>11.725000000000001</v>
      </c>
    </row>
    <row r="881" spans="7:19" x14ac:dyDescent="0.25">
      <c r="G881" s="2">
        <v>45900</v>
      </c>
      <c r="H881">
        <v>252</v>
      </c>
      <c r="I881" t="s">
        <v>26</v>
      </c>
      <c r="J881" t="s">
        <v>52</v>
      </c>
      <c r="K881">
        <f>_xlfn.XLOOKUP(fSales[[#This Row],[ProductID]],dProduct[ProductID],dProduct[CratePrice])*fSales[[#This Row],[Units]]</f>
        <v>7497</v>
      </c>
      <c r="L881">
        <f>fSales[[#This Row],[Total sales]]-_xlfn.XLOOKUP(fSales[[#This Row],[ProductID]],dProduct[ProductID],dProduct[CrateCost])*fSales[[#This Row],[Units]]</f>
        <v>3148.7400000000007</v>
      </c>
      <c r="M881">
        <f>(_xlfn.XLOOKUP(fSales[[#This Row],[ProductID]],dProduct[ProductID],dProduct[CratePrice])-_xlfn.XLOOKUP(fSales[[#This Row],[ProductID]],dProduct[ProductID],dProduct[CrateCost]))/_xlfn.XLOOKUP(fSales[[#This Row],[ProductID]],dProduct[ProductID],dProduct[CratePrice])</f>
        <v>0.42000000000000004</v>
      </c>
      <c r="N881" t="str">
        <f>_xlfn.XLOOKUP(fSales[[#This Row],[SalesRepID]],dPSalesRep[SalesRepID],dPSalesRep[SalesRep])</f>
        <v>Smitty Rad</v>
      </c>
      <c r="O881" t="str">
        <f>_xlfn.XLOOKUP(fSales[[#This Row],[SalesRepID]],dPSalesRep[SalesRepID],dPSalesRep[Region])</f>
        <v>MidWest</v>
      </c>
      <c r="P881" t="str">
        <f>_xlfn.XLOOKUP(fSales[[#This Row],[ProductID]],dProduct[ProductID],dProduct[Product])</f>
        <v>Orange</v>
      </c>
      <c r="Q881">
        <f>_xlfn.XLOOKUP(fSales[[#This Row],[ProductID]],dProduct[ProductID],dProduct[CratePrice])-_xlfn.XLOOKUP(fSales[[#This Row],[ProductID]],dProduct[ProductID],dProduct[CrateCost])</f>
        <v>12.495000000000001</v>
      </c>
      <c r="R881">
        <f>_xlfn.XLOOKUP(fSales[[#This Row],[ProductID]],dProduct[ProductID],dProduct[CratePrice])</f>
        <v>29.75</v>
      </c>
      <c r="S881">
        <f>_xlfn.XLOOKUP(fSales[[#This Row],[ProductID]],dProduct[ProductID],dProduct[CrateCost])</f>
        <v>17.254999999999999</v>
      </c>
    </row>
    <row r="882" spans="7:19" x14ac:dyDescent="0.25">
      <c r="G882" s="2">
        <v>45900</v>
      </c>
      <c r="H882">
        <v>72</v>
      </c>
      <c r="I882" t="s">
        <v>21</v>
      </c>
      <c r="J882" t="s">
        <v>32</v>
      </c>
      <c r="K882">
        <f>_xlfn.XLOOKUP(fSales[[#This Row],[ProductID]],dProduct[ProductID],dProduct[CratePrice])*fSales[[#This Row],[Units]]</f>
        <v>1620</v>
      </c>
      <c r="L882">
        <f>fSales[[#This Row],[Total sales]]-_xlfn.XLOOKUP(fSales[[#This Row],[ProductID]],dProduct[ProductID],dProduct[CrateCost])*fSales[[#This Row],[Units]]</f>
        <v>712.8</v>
      </c>
      <c r="M882">
        <f>(_xlfn.XLOOKUP(fSales[[#This Row],[ProductID]],dProduct[ProductID],dProduct[CratePrice])-_xlfn.XLOOKUP(fSales[[#This Row],[ProductID]],dProduct[ProductID],dProduct[CrateCost]))/_xlfn.XLOOKUP(fSales[[#This Row],[ProductID]],dProduct[ProductID],dProduct[CratePrice])</f>
        <v>0.43999999999999995</v>
      </c>
      <c r="N882" t="str">
        <f>_xlfn.XLOOKUP(fSales[[#This Row],[SalesRepID]],dPSalesRep[SalesRepID],dPSalesRep[SalesRep])</f>
        <v>Shihara Fazzaa</v>
      </c>
      <c r="O882" t="str">
        <f>_xlfn.XLOOKUP(fSales[[#This Row],[SalesRepID]],dPSalesRep[SalesRepID],dPSalesRep[Region])</f>
        <v>East</v>
      </c>
      <c r="P882" t="str">
        <f>_xlfn.XLOOKUP(fSales[[#This Row],[ProductID]],dProduct[ProductID],dProduct[Product])</f>
        <v>Kiwi</v>
      </c>
      <c r="Q882">
        <f>_xlfn.XLOOKUP(fSales[[#This Row],[ProductID]],dProduct[ProductID],dProduct[CratePrice])-_xlfn.XLOOKUP(fSales[[#This Row],[ProductID]],dProduct[ProductID],dProduct[CrateCost])</f>
        <v>9.8999999999999986</v>
      </c>
      <c r="R882">
        <f>_xlfn.XLOOKUP(fSales[[#This Row],[ProductID]],dProduct[ProductID],dProduct[CratePrice])</f>
        <v>22.5</v>
      </c>
      <c r="S882">
        <f>_xlfn.XLOOKUP(fSales[[#This Row],[ProductID]],dProduct[ProductID],dProduct[CrateCost])</f>
        <v>12.600000000000001</v>
      </c>
    </row>
    <row r="883" spans="7:19" x14ac:dyDescent="0.25">
      <c r="G883" s="2">
        <v>45901</v>
      </c>
      <c r="H883">
        <v>216</v>
      </c>
      <c r="I883" t="s">
        <v>21</v>
      </c>
      <c r="J883" t="s">
        <v>32</v>
      </c>
      <c r="K883">
        <f>_xlfn.XLOOKUP(fSales[[#This Row],[ProductID]],dProduct[ProductID],dProduct[CratePrice])*fSales[[#This Row],[Units]]</f>
        <v>4860</v>
      </c>
      <c r="L883">
        <f>fSales[[#This Row],[Total sales]]-_xlfn.XLOOKUP(fSales[[#This Row],[ProductID]],dProduct[ProductID],dProduct[CrateCost])*fSales[[#This Row],[Units]]</f>
        <v>2138.3999999999996</v>
      </c>
      <c r="M883">
        <f>(_xlfn.XLOOKUP(fSales[[#This Row],[ProductID]],dProduct[ProductID],dProduct[CratePrice])-_xlfn.XLOOKUP(fSales[[#This Row],[ProductID]],dProduct[ProductID],dProduct[CrateCost]))/_xlfn.XLOOKUP(fSales[[#This Row],[ProductID]],dProduct[ProductID],dProduct[CratePrice])</f>
        <v>0.43999999999999995</v>
      </c>
      <c r="N883" t="str">
        <f>_xlfn.XLOOKUP(fSales[[#This Row],[SalesRepID]],dPSalesRep[SalesRepID],dPSalesRep[SalesRep])</f>
        <v>Shihara Fazzaa</v>
      </c>
      <c r="O883" t="str">
        <f>_xlfn.XLOOKUP(fSales[[#This Row],[SalesRepID]],dPSalesRep[SalesRepID],dPSalesRep[Region])</f>
        <v>East</v>
      </c>
      <c r="P883" t="str">
        <f>_xlfn.XLOOKUP(fSales[[#This Row],[ProductID]],dProduct[ProductID],dProduct[Product])</f>
        <v>Kiwi</v>
      </c>
      <c r="Q883">
        <f>_xlfn.XLOOKUP(fSales[[#This Row],[ProductID]],dProduct[ProductID],dProduct[CratePrice])-_xlfn.XLOOKUP(fSales[[#This Row],[ProductID]],dProduct[ProductID],dProduct[CrateCost])</f>
        <v>9.8999999999999986</v>
      </c>
      <c r="R883">
        <f>_xlfn.XLOOKUP(fSales[[#This Row],[ProductID]],dProduct[ProductID],dProduct[CratePrice])</f>
        <v>22.5</v>
      </c>
      <c r="S883">
        <f>_xlfn.XLOOKUP(fSales[[#This Row],[ProductID]],dProduct[ProductID],dProduct[CrateCost])</f>
        <v>12.600000000000001</v>
      </c>
    </row>
    <row r="884" spans="7:19" x14ac:dyDescent="0.25">
      <c r="G884" s="2">
        <v>45910</v>
      </c>
      <c r="H884">
        <v>276</v>
      </c>
      <c r="I884" t="s">
        <v>19</v>
      </c>
      <c r="J884" t="s">
        <v>32</v>
      </c>
      <c r="K884">
        <f>_xlfn.XLOOKUP(fSales[[#This Row],[ProductID]],dProduct[ProductID],dProduct[CratePrice])*fSales[[#This Row],[Units]]</f>
        <v>9660</v>
      </c>
      <c r="L884">
        <f>fSales[[#This Row],[Total sales]]-_xlfn.XLOOKUP(fSales[[#This Row],[ProductID]],dProduct[ProductID],dProduct[CrateCost])*fSales[[#This Row],[Units]]</f>
        <v>5409.5999999999995</v>
      </c>
      <c r="M884">
        <f>(_xlfn.XLOOKUP(fSales[[#This Row],[ProductID]],dProduct[ProductID],dProduct[CratePrice])-_xlfn.XLOOKUP(fSales[[#This Row],[ProductID]],dProduct[ProductID],dProduct[CrateCost]))/_xlfn.XLOOKUP(fSales[[#This Row],[ProductID]],dProduct[ProductID],dProduct[CratePrice])</f>
        <v>0.56000000000000005</v>
      </c>
      <c r="N884" t="str">
        <f>_xlfn.XLOOKUP(fSales[[#This Row],[SalesRepID]],dPSalesRep[SalesRepID],dPSalesRep[SalesRep])</f>
        <v>Shihara Fazzaa</v>
      </c>
      <c r="O884" t="str">
        <f>_xlfn.XLOOKUP(fSales[[#This Row],[SalesRepID]],dPSalesRep[SalesRepID],dPSalesRep[Region])</f>
        <v>East</v>
      </c>
      <c r="P884" t="str">
        <f>_xlfn.XLOOKUP(fSales[[#This Row],[ProductID]],dProduct[ProductID],dProduct[Product])</f>
        <v>Apple</v>
      </c>
      <c r="Q884">
        <f>_xlfn.XLOOKUP(fSales[[#This Row],[ProductID]],dProduct[ProductID],dProduct[CratePrice])-_xlfn.XLOOKUP(fSales[[#This Row],[ProductID]],dProduct[ProductID],dProduct[CrateCost])</f>
        <v>19.600000000000001</v>
      </c>
      <c r="R884">
        <f>_xlfn.XLOOKUP(fSales[[#This Row],[ProductID]],dProduct[ProductID],dProduct[CratePrice])</f>
        <v>35</v>
      </c>
      <c r="S884">
        <f>_xlfn.XLOOKUP(fSales[[#This Row],[ProductID]],dProduct[ProductID],dProduct[CrateCost])</f>
        <v>15.4</v>
      </c>
    </row>
    <row r="885" spans="7:19" x14ac:dyDescent="0.25">
      <c r="G885" s="2">
        <v>45910</v>
      </c>
      <c r="H885">
        <v>168</v>
      </c>
      <c r="I885" t="s">
        <v>28</v>
      </c>
      <c r="J885" t="s">
        <v>22</v>
      </c>
      <c r="K885">
        <f>_xlfn.XLOOKUP(fSales[[#This Row],[ProductID]],dProduct[ProductID],dProduct[CratePrice])*fSales[[#This Row],[Units]]</f>
        <v>7341.6</v>
      </c>
      <c r="L885">
        <f>fSales[[#This Row],[Total sales]]-_xlfn.XLOOKUP(fSales[[#This Row],[ProductID]],dProduct[ProductID],dProduct[CrateCost])*fSales[[#This Row],[Units]]</f>
        <v>3083.4720000000007</v>
      </c>
      <c r="M885">
        <f>(_xlfn.XLOOKUP(fSales[[#This Row],[ProductID]],dProduct[ProductID],dProduct[CratePrice])-_xlfn.XLOOKUP(fSales[[#This Row],[ProductID]],dProduct[ProductID],dProduct[CrateCost]))/_xlfn.XLOOKUP(fSales[[#This Row],[ProductID]],dProduct[ProductID],dProduct[CratePrice])</f>
        <v>0.42000000000000004</v>
      </c>
      <c r="N885" t="str">
        <f>_xlfn.XLOOKUP(fSales[[#This Row],[SalesRepID]],dPSalesRep[SalesRepID],dPSalesRep[SalesRep])</f>
        <v>Timmy Kips</v>
      </c>
      <c r="O885" t="str">
        <f>_xlfn.XLOOKUP(fSales[[#This Row],[SalesRepID]],dPSalesRep[SalesRepID],dPSalesRep[Region])</f>
        <v>East</v>
      </c>
      <c r="P885" t="str">
        <f>_xlfn.XLOOKUP(fSales[[#This Row],[ProductID]],dProduct[ProductID],dProduct[Product])</f>
        <v>Cherry</v>
      </c>
      <c r="Q885">
        <f>_xlfn.XLOOKUP(fSales[[#This Row],[ProductID]],dProduct[ProductID],dProduct[CratePrice])-_xlfn.XLOOKUP(fSales[[#This Row],[ProductID]],dProduct[ProductID],dProduct[CrateCost])</f>
        <v>18.354000000000003</v>
      </c>
      <c r="R885">
        <f>_xlfn.XLOOKUP(fSales[[#This Row],[ProductID]],dProduct[ProductID],dProduct[CratePrice])</f>
        <v>43.7</v>
      </c>
      <c r="S885">
        <f>_xlfn.XLOOKUP(fSales[[#This Row],[ProductID]],dProduct[ProductID],dProduct[CrateCost])</f>
        <v>25.346</v>
      </c>
    </row>
    <row r="886" spans="7:19" x14ac:dyDescent="0.25">
      <c r="G886" s="2">
        <v>45910</v>
      </c>
      <c r="H886">
        <v>180</v>
      </c>
      <c r="I886" t="s">
        <v>34</v>
      </c>
      <c r="J886" t="s">
        <v>29</v>
      </c>
      <c r="K886">
        <f>_xlfn.XLOOKUP(fSales[[#This Row],[ProductID]],dProduct[ProductID],dProduct[CratePrice])*fSales[[#This Row],[Units]]</f>
        <v>3150</v>
      </c>
      <c r="L886">
        <f>fSales[[#This Row],[Total sales]]-_xlfn.XLOOKUP(fSales[[#This Row],[ProductID]],dProduct[ProductID],dProduct[CrateCost])*fSales[[#This Row],[Units]]</f>
        <v>1039.4999999999995</v>
      </c>
      <c r="M886">
        <f>(_xlfn.XLOOKUP(fSales[[#This Row],[ProductID]],dProduct[ProductID],dProduct[CratePrice])-_xlfn.XLOOKUP(fSales[[#This Row],[ProductID]],dProduct[ProductID],dProduct[CrateCost]))/_xlfn.XLOOKUP(fSales[[#This Row],[ProductID]],dProduct[ProductID],dProduct[CratePrice])</f>
        <v>0.3299999999999999</v>
      </c>
      <c r="N886" t="str">
        <f>_xlfn.XLOOKUP(fSales[[#This Row],[SalesRepID]],dPSalesRep[SalesRepID],dPSalesRep[SalesRep])</f>
        <v>Sioux Best</v>
      </c>
      <c r="O886" t="str">
        <f>_xlfn.XLOOKUP(fSales[[#This Row],[SalesRepID]],dPSalesRep[SalesRepID],dPSalesRep[Region])</f>
        <v>West</v>
      </c>
      <c r="P886" t="str">
        <f>_xlfn.XLOOKUP(fSales[[#This Row],[ProductID]],dProduct[ProductID],dProduct[Product])</f>
        <v>Banana</v>
      </c>
      <c r="Q886">
        <f>_xlfn.XLOOKUP(fSales[[#This Row],[ProductID]],dProduct[ProductID],dProduct[CratePrice])-_xlfn.XLOOKUP(fSales[[#This Row],[ProductID]],dProduct[ProductID],dProduct[CrateCost])</f>
        <v>5.7749999999999986</v>
      </c>
      <c r="R886">
        <f>_xlfn.XLOOKUP(fSales[[#This Row],[ProductID]],dProduct[ProductID],dProduct[CratePrice])</f>
        <v>17.5</v>
      </c>
      <c r="S886">
        <f>_xlfn.XLOOKUP(fSales[[#This Row],[ProductID]],dProduct[ProductID],dProduct[CrateCost])</f>
        <v>11.725000000000001</v>
      </c>
    </row>
    <row r="887" spans="7:19" x14ac:dyDescent="0.25">
      <c r="G887" s="2">
        <v>45910</v>
      </c>
      <c r="H887">
        <v>264</v>
      </c>
      <c r="I887" t="s">
        <v>26</v>
      </c>
      <c r="J887" t="s">
        <v>22</v>
      </c>
      <c r="K887">
        <f>_xlfn.XLOOKUP(fSales[[#This Row],[ProductID]],dProduct[ProductID],dProduct[CratePrice])*fSales[[#This Row],[Units]]</f>
        <v>7854</v>
      </c>
      <c r="L887">
        <f>fSales[[#This Row],[Total sales]]-_xlfn.XLOOKUP(fSales[[#This Row],[ProductID]],dProduct[ProductID],dProduct[CrateCost])*fSales[[#This Row],[Units]]</f>
        <v>3298.6800000000003</v>
      </c>
      <c r="M887">
        <f>(_xlfn.XLOOKUP(fSales[[#This Row],[ProductID]],dProduct[ProductID],dProduct[CratePrice])-_xlfn.XLOOKUP(fSales[[#This Row],[ProductID]],dProduct[ProductID],dProduct[CrateCost]))/_xlfn.XLOOKUP(fSales[[#This Row],[ProductID]],dProduct[ProductID],dProduct[CratePrice])</f>
        <v>0.42000000000000004</v>
      </c>
      <c r="N887" t="str">
        <f>_xlfn.XLOOKUP(fSales[[#This Row],[SalesRepID]],dPSalesRep[SalesRepID],dPSalesRep[SalesRep])</f>
        <v>Timmy Kips</v>
      </c>
      <c r="O887" t="str">
        <f>_xlfn.XLOOKUP(fSales[[#This Row],[SalesRepID]],dPSalesRep[SalesRepID],dPSalesRep[Region])</f>
        <v>East</v>
      </c>
      <c r="P887" t="str">
        <f>_xlfn.XLOOKUP(fSales[[#This Row],[ProductID]],dProduct[ProductID],dProduct[Product])</f>
        <v>Orange</v>
      </c>
      <c r="Q887">
        <f>_xlfn.XLOOKUP(fSales[[#This Row],[ProductID]],dProduct[ProductID],dProduct[CratePrice])-_xlfn.XLOOKUP(fSales[[#This Row],[ProductID]],dProduct[ProductID],dProduct[CrateCost])</f>
        <v>12.495000000000001</v>
      </c>
      <c r="R887">
        <f>_xlfn.XLOOKUP(fSales[[#This Row],[ProductID]],dProduct[ProductID],dProduct[CratePrice])</f>
        <v>29.75</v>
      </c>
      <c r="S887">
        <f>_xlfn.XLOOKUP(fSales[[#This Row],[ProductID]],dProduct[ProductID],dProduct[CrateCost])</f>
        <v>17.254999999999999</v>
      </c>
    </row>
    <row r="888" spans="7:19" x14ac:dyDescent="0.25">
      <c r="G888" s="2">
        <v>45912</v>
      </c>
      <c r="H888">
        <v>84</v>
      </c>
      <c r="I888" t="s">
        <v>28</v>
      </c>
      <c r="J888" t="s">
        <v>29</v>
      </c>
      <c r="K888">
        <f>_xlfn.XLOOKUP(fSales[[#This Row],[ProductID]],dProduct[ProductID],dProduct[CratePrice])*fSales[[#This Row],[Units]]</f>
        <v>3670.8</v>
      </c>
      <c r="L888">
        <f>fSales[[#This Row],[Total sales]]-_xlfn.XLOOKUP(fSales[[#This Row],[ProductID]],dProduct[ProductID],dProduct[CrateCost])*fSales[[#This Row],[Units]]</f>
        <v>1541.7360000000003</v>
      </c>
      <c r="M888">
        <f>(_xlfn.XLOOKUP(fSales[[#This Row],[ProductID]],dProduct[ProductID],dProduct[CratePrice])-_xlfn.XLOOKUP(fSales[[#This Row],[ProductID]],dProduct[ProductID],dProduct[CrateCost]))/_xlfn.XLOOKUP(fSales[[#This Row],[ProductID]],dProduct[ProductID],dProduct[CratePrice])</f>
        <v>0.42000000000000004</v>
      </c>
      <c r="N888" t="str">
        <f>_xlfn.XLOOKUP(fSales[[#This Row],[SalesRepID]],dPSalesRep[SalesRepID],dPSalesRep[SalesRep])</f>
        <v>Sioux Best</v>
      </c>
      <c r="O888" t="str">
        <f>_xlfn.XLOOKUP(fSales[[#This Row],[SalesRepID]],dPSalesRep[SalesRepID],dPSalesRep[Region])</f>
        <v>West</v>
      </c>
      <c r="P888" t="str">
        <f>_xlfn.XLOOKUP(fSales[[#This Row],[ProductID]],dProduct[ProductID],dProduct[Product])</f>
        <v>Cherry</v>
      </c>
      <c r="Q888">
        <f>_xlfn.XLOOKUP(fSales[[#This Row],[ProductID]],dProduct[ProductID],dProduct[CratePrice])-_xlfn.XLOOKUP(fSales[[#This Row],[ProductID]],dProduct[ProductID],dProduct[CrateCost])</f>
        <v>18.354000000000003</v>
      </c>
      <c r="R888">
        <f>_xlfn.XLOOKUP(fSales[[#This Row],[ProductID]],dProduct[ProductID],dProduct[CratePrice])</f>
        <v>43.7</v>
      </c>
      <c r="S888">
        <f>_xlfn.XLOOKUP(fSales[[#This Row],[ProductID]],dProduct[ProductID],dProduct[CrateCost])</f>
        <v>25.346</v>
      </c>
    </row>
    <row r="889" spans="7:19" x14ac:dyDescent="0.25">
      <c r="G889" s="2">
        <v>45914</v>
      </c>
      <c r="H889">
        <v>96</v>
      </c>
      <c r="I889" t="s">
        <v>19</v>
      </c>
      <c r="J889" t="s">
        <v>32</v>
      </c>
      <c r="K889">
        <f>_xlfn.XLOOKUP(fSales[[#This Row],[ProductID]],dProduct[ProductID],dProduct[CratePrice])*fSales[[#This Row],[Units]]</f>
        <v>3360</v>
      </c>
      <c r="L889">
        <f>fSales[[#This Row],[Total sales]]-_xlfn.XLOOKUP(fSales[[#This Row],[ProductID]],dProduct[ProductID],dProduct[CrateCost])*fSales[[#This Row],[Units]]</f>
        <v>1881.6</v>
      </c>
      <c r="M889">
        <f>(_xlfn.XLOOKUP(fSales[[#This Row],[ProductID]],dProduct[ProductID],dProduct[CratePrice])-_xlfn.XLOOKUP(fSales[[#This Row],[ProductID]],dProduct[ProductID],dProduct[CrateCost]))/_xlfn.XLOOKUP(fSales[[#This Row],[ProductID]],dProduct[ProductID],dProduct[CratePrice])</f>
        <v>0.56000000000000005</v>
      </c>
      <c r="N889" t="str">
        <f>_xlfn.XLOOKUP(fSales[[#This Row],[SalesRepID]],dPSalesRep[SalesRepID],dPSalesRep[SalesRep])</f>
        <v>Shihara Fazzaa</v>
      </c>
      <c r="O889" t="str">
        <f>_xlfn.XLOOKUP(fSales[[#This Row],[SalesRepID]],dPSalesRep[SalesRepID],dPSalesRep[Region])</f>
        <v>East</v>
      </c>
      <c r="P889" t="str">
        <f>_xlfn.XLOOKUP(fSales[[#This Row],[ProductID]],dProduct[ProductID],dProduct[Product])</f>
        <v>Apple</v>
      </c>
      <c r="Q889">
        <f>_xlfn.XLOOKUP(fSales[[#This Row],[ProductID]],dProduct[ProductID],dProduct[CratePrice])-_xlfn.XLOOKUP(fSales[[#This Row],[ProductID]],dProduct[ProductID],dProduct[CrateCost])</f>
        <v>19.600000000000001</v>
      </c>
      <c r="R889">
        <f>_xlfn.XLOOKUP(fSales[[#This Row],[ProductID]],dProduct[ProductID],dProduct[CratePrice])</f>
        <v>35</v>
      </c>
      <c r="S889">
        <f>_xlfn.XLOOKUP(fSales[[#This Row],[ProductID]],dProduct[ProductID],dProduct[CrateCost])</f>
        <v>15.4</v>
      </c>
    </row>
    <row r="890" spans="7:19" x14ac:dyDescent="0.25">
      <c r="G890" s="2">
        <v>45915</v>
      </c>
      <c r="H890">
        <v>192</v>
      </c>
      <c r="I890" t="s">
        <v>34</v>
      </c>
      <c r="J890" t="s">
        <v>37</v>
      </c>
      <c r="K890">
        <f>_xlfn.XLOOKUP(fSales[[#This Row],[ProductID]],dProduct[ProductID],dProduct[CratePrice])*fSales[[#This Row],[Units]]</f>
        <v>3360</v>
      </c>
      <c r="L890">
        <f>fSales[[#This Row],[Total sales]]-_xlfn.XLOOKUP(fSales[[#This Row],[ProductID]],dProduct[ProductID],dProduct[CrateCost])*fSales[[#This Row],[Units]]</f>
        <v>1108.7999999999997</v>
      </c>
      <c r="M890">
        <f>(_xlfn.XLOOKUP(fSales[[#This Row],[ProductID]],dProduct[ProductID],dProduct[CratePrice])-_xlfn.XLOOKUP(fSales[[#This Row],[ProductID]],dProduct[ProductID],dProduct[CrateCost]))/_xlfn.XLOOKUP(fSales[[#This Row],[ProductID]],dProduct[ProductID],dProduct[CratePrice])</f>
        <v>0.3299999999999999</v>
      </c>
      <c r="N890" t="str">
        <f>_xlfn.XLOOKUP(fSales[[#This Row],[SalesRepID]],dPSalesRep[SalesRepID],dPSalesRep[SalesRep])</f>
        <v>Chantel Mims</v>
      </c>
      <c r="O890" t="str">
        <f>_xlfn.XLOOKUP(fSales[[#This Row],[SalesRepID]],dPSalesRep[SalesRepID],dPSalesRep[Region])</f>
        <v>NW</v>
      </c>
      <c r="P890" t="str">
        <f>_xlfn.XLOOKUP(fSales[[#This Row],[ProductID]],dProduct[ProductID],dProduct[Product])</f>
        <v>Banana</v>
      </c>
      <c r="Q890">
        <f>_xlfn.XLOOKUP(fSales[[#This Row],[ProductID]],dProduct[ProductID],dProduct[CratePrice])-_xlfn.XLOOKUP(fSales[[#This Row],[ProductID]],dProduct[ProductID],dProduct[CrateCost])</f>
        <v>5.7749999999999986</v>
      </c>
      <c r="R890">
        <f>_xlfn.XLOOKUP(fSales[[#This Row],[ProductID]],dProduct[ProductID],dProduct[CratePrice])</f>
        <v>17.5</v>
      </c>
      <c r="S890">
        <f>_xlfn.XLOOKUP(fSales[[#This Row],[ProductID]],dProduct[ProductID],dProduct[CrateCost])</f>
        <v>11.725000000000001</v>
      </c>
    </row>
    <row r="891" spans="7:19" x14ac:dyDescent="0.25">
      <c r="G891" s="2">
        <v>45915</v>
      </c>
      <c r="H891">
        <v>24</v>
      </c>
      <c r="I891" t="s">
        <v>21</v>
      </c>
      <c r="J891" t="s">
        <v>32</v>
      </c>
      <c r="K891">
        <f>_xlfn.XLOOKUP(fSales[[#This Row],[ProductID]],dProduct[ProductID],dProduct[CratePrice])*fSales[[#This Row],[Units]]</f>
        <v>540</v>
      </c>
      <c r="L891">
        <f>fSales[[#This Row],[Total sales]]-_xlfn.XLOOKUP(fSales[[#This Row],[ProductID]],dProduct[ProductID],dProduct[CrateCost])*fSales[[#This Row],[Units]]</f>
        <v>237.59999999999997</v>
      </c>
      <c r="M891">
        <f>(_xlfn.XLOOKUP(fSales[[#This Row],[ProductID]],dProduct[ProductID],dProduct[CratePrice])-_xlfn.XLOOKUP(fSales[[#This Row],[ProductID]],dProduct[ProductID],dProduct[CrateCost]))/_xlfn.XLOOKUP(fSales[[#This Row],[ProductID]],dProduct[ProductID],dProduct[CratePrice])</f>
        <v>0.43999999999999995</v>
      </c>
      <c r="N891" t="str">
        <f>_xlfn.XLOOKUP(fSales[[#This Row],[SalesRepID]],dPSalesRep[SalesRepID],dPSalesRep[SalesRep])</f>
        <v>Shihara Fazzaa</v>
      </c>
      <c r="O891" t="str">
        <f>_xlfn.XLOOKUP(fSales[[#This Row],[SalesRepID]],dPSalesRep[SalesRepID],dPSalesRep[Region])</f>
        <v>East</v>
      </c>
      <c r="P891" t="str">
        <f>_xlfn.XLOOKUP(fSales[[#This Row],[ProductID]],dProduct[ProductID],dProduct[Product])</f>
        <v>Kiwi</v>
      </c>
      <c r="Q891">
        <f>_xlfn.XLOOKUP(fSales[[#This Row],[ProductID]],dProduct[ProductID],dProduct[CratePrice])-_xlfn.XLOOKUP(fSales[[#This Row],[ProductID]],dProduct[ProductID],dProduct[CrateCost])</f>
        <v>9.8999999999999986</v>
      </c>
      <c r="R891">
        <f>_xlfn.XLOOKUP(fSales[[#This Row],[ProductID]],dProduct[ProductID],dProduct[CratePrice])</f>
        <v>22.5</v>
      </c>
      <c r="S891">
        <f>_xlfn.XLOOKUP(fSales[[#This Row],[ProductID]],dProduct[ProductID],dProduct[CrateCost])</f>
        <v>12.600000000000001</v>
      </c>
    </row>
    <row r="892" spans="7:19" x14ac:dyDescent="0.25">
      <c r="G892" s="2">
        <v>45915</v>
      </c>
      <c r="H892">
        <v>276</v>
      </c>
      <c r="I892" t="s">
        <v>19</v>
      </c>
      <c r="J892" t="s">
        <v>37</v>
      </c>
      <c r="K892">
        <f>_xlfn.XLOOKUP(fSales[[#This Row],[ProductID]],dProduct[ProductID],dProduct[CratePrice])*fSales[[#This Row],[Units]]</f>
        <v>9660</v>
      </c>
      <c r="L892">
        <f>fSales[[#This Row],[Total sales]]-_xlfn.XLOOKUP(fSales[[#This Row],[ProductID]],dProduct[ProductID],dProduct[CrateCost])*fSales[[#This Row],[Units]]</f>
        <v>5409.5999999999995</v>
      </c>
      <c r="M892">
        <f>(_xlfn.XLOOKUP(fSales[[#This Row],[ProductID]],dProduct[ProductID],dProduct[CratePrice])-_xlfn.XLOOKUP(fSales[[#This Row],[ProductID]],dProduct[ProductID],dProduct[CrateCost]))/_xlfn.XLOOKUP(fSales[[#This Row],[ProductID]],dProduct[ProductID],dProduct[CratePrice])</f>
        <v>0.56000000000000005</v>
      </c>
      <c r="N892" t="str">
        <f>_xlfn.XLOOKUP(fSales[[#This Row],[SalesRepID]],dPSalesRep[SalesRepID],dPSalesRep[SalesRep])</f>
        <v>Chantel Mims</v>
      </c>
      <c r="O892" t="str">
        <f>_xlfn.XLOOKUP(fSales[[#This Row],[SalesRepID]],dPSalesRep[SalesRepID],dPSalesRep[Region])</f>
        <v>NW</v>
      </c>
      <c r="P892" t="str">
        <f>_xlfn.XLOOKUP(fSales[[#This Row],[ProductID]],dProduct[ProductID],dProduct[Product])</f>
        <v>Apple</v>
      </c>
      <c r="Q892">
        <f>_xlfn.XLOOKUP(fSales[[#This Row],[ProductID]],dProduct[ProductID],dProduct[CratePrice])-_xlfn.XLOOKUP(fSales[[#This Row],[ProductID]],dProduct[ProductID],dProduct[CrateCost])</f>
        <v>19.600000000000001</v>
      </c>
      <c r="R892">
        <f>_xlfn.XLOOKUP(fSales[[#This Row],[ProductID]],dProduct[ProductID],dProduct[CratePrice])</f>
        <v>35</v>
      </c>
      <c r="S892">
        <f>_xlfn.XLOOKUP(fSales[[#This Row],[ProductID]],dProduct[ProductID],dProduct[CrateCost])</f>
        <v>15.4</v>
      </c>
    </row>
    <row r="893" spans="7:19" x14ac:dyDescent="0.25">
      <c r="G893" s="2">
        <v>45917</v>
      </c>
      <c r="H893">
        <v>192</v>
      </c>
      <c r="I893" t="s">
        <v>34</v>
      </c>
      <c r="J893" t="s">
        <v>52</v>
      </c>
      <c r="K893">
        <f>_xlfn.XLOOKUP(fSales[[#This Row],[ProductID]],dProduct[ProductID],dProduct[CratePrice])*fSales[[#This Row],[Units]]</f>
        <v>3360</v>
      </c>
      <c r="L893">
        <f>fSales[[#This Row],[Total sales]]-_xlfn.XLOOKUP(fSales[[#This Row],[ProductID]],dProduct[ProductID],dProduct[CrateCost])*fSales[[#This Row],[Units]]</f>
        <v>1108.7999999999997</v>
      </c>
      <c r="M893">
        <f>(_xlfn.XLOOKUP(fSales[[#This Row],[ProductID]],dProduct[ProductID],dProduct[CratePrice])-_xlfn.XLOOKUP(fSales[[#This Row],[ProductID]],dProduct[ProductID],dProduct[CrateCost]))/_xlfn.XLOOKUP(fSales[[#This Row],[ProductID]],dProduct[ProductID],dProduct[CratePrice])</f>
        <v>0.3299999999999999</v>
      </c>
      <c r="N893" t="str">
        <f>_xlfn.XLOOKUP(fSales[[#This Row],[SalesRepID]],dPSalesRep[SalesRepID],dPSalesRep[SalesRep])</f>
        <v>Smitty Rad</v>
      </c>
      <c r="O893" t="str">
        <f>_xlfn.XLOOKUP(fSales[[#This Row],[SalesRepID]],dPSalesRep[SalesRepID],dPSalesRep[Region])</f>
        <v>MidWest</v>
      </c>
      <c r="P893" t="str">
        <f>_xlfn.XLOOKUP(fSales[[#This Row],[ProductID]],dProduct[ProductID],dProduct[Product])</f>
        <v>Banana</v>
      </c>
      <c r="Q893">
        <f>_xlfn.XLOOKUP(fSales[[#This Row],[ProductID]],dProduct[ProductID],dProduct[CratePrice])-_xlfn.XLOOKUP(fSales[[#This Row],[ProductID]],dProduct[ProductID],dProduct[CrateCost])</f>
        <v>5.7749999999999986</v>
      </c>
      <c r="R893">
        <f>_xlfn.XLOOKUP(fSales[[#This Row],[ProductID]],dProduct[ProductID],dProduct[CratePrice])</f>
        <v>17.5</v>
      </c>
      <c r="S893">
        <f>_xlfn.XLOOKUP(fSales[[#This Row],[ProductID]],dProduct[ProductID],dProduct[CrateCost])</f>
        <v>11.725000000000001</v>
      </c>
    </row>
    <row r="894" spans="7:19" x14ac:dyDescent="0.25">
      <c r="G894" s="2">
        <v>45918</v>
      </c>
      <c r="H894">
        <v>24</v>
      </c>
      <c r="I894" t="s">
        <v>19</v>
      </c>
      <c r="J894" t="s">
        <v>32</v>
      </c>
      <c r="K894">
        <f>_xlfn.XLOOKUP(fSales[[#This Row],[ProductID]],dProduct[ProductID],dProduct[CratePrice])*fSales[[#This Row],[Units]]</f>
        <v>840</v>
      </c>
      <c r="L894">
        <f>fSales[[#This Row],[Total sales]]-_xlfn.XLOOKUP(fSales[[#This Row],[ProductID]],dProduct[ProductID],dProduct[CrateCost])*fSales[[#This Row],[Units]]</f>
        <v>470.4</v>
      </c>
      <c r="M894">
        <f>(_xlfn.XLOOKUP(fSales[[#This Row],[ProductID]],dProduct[ProductID],dProduct[CratePrice])-_xlfn.XLOOKUP(fSales[[#This Row],[ProductID]],dProduct[ProductID],dProduct[CrateCost]))/_xlfn.XLOOKUP(fSales[[#This Row],[ProductID]],dProduct[ProductID],dProduct[CratePrice])</f>
        <v>0.56000000000000005</v>
      </c>
      <c r="N894" t="str">
        <f>_xlfn.XLOOKUP(fSales[[#This Row],[SalesRepID]],dPSalesRep[SalesRepID],dPSalesRep[SalesRep])</f>
        <v>Shihara Fazzaa</v>
      </c>
      <c r="O894" t="str">
        <f>_xlfn.XLOOKUP(fSales[[#This Row],[SalesRepID]],dPSalesRep[SalesRepID],dPSalesRep[Region])</f>
        <v>East</v>
      </c>
      <c r="P894" t="str">
        <f>_xlfn.XLOOKUP(fSales[[#This Row],[ProductID]],dProduct[ProductID],dProduct[Product])</f>
        <v>Apple</v>
      </c>
      <c r="Q894">
        <f>_xlfn.XLOOKUP(fSales[[#This Row],[ProductID]],dProduct[ProductID],dProduct[CratePrice])-_xlfn.XLOOKUP(fSales[[#This Row],[ProductID]],dProduct[ProductID],dProduct[CrateCost])</f>
        <v>19.600000000000001</v>
      </c>
      <c r="R894">
        <f>_xlfn.XLOOKUP(fSales[[#This Row],[ProductID]],dProduct[ProductID],dProduct[CratePrice])</f>
        <v>35</v>
      </c>
      <c r="S894">
        <f>_xlfn.XLOOKUP(fSales[[#This Row],[ProductID]],dProduct[ProductID],dProduct[CrateCost])</f>
        <v>15.4</v>
      </c>
    </row>
    <row r="895" spans="7:19" x14ac:dyDescent="0.25">
      <c r="G895" s="2">
        <v>45918</v>
      </c>
      <c r="H895">
        <v>288</v>
      </c>
      <c r="I895" t="s">
        <v>34</v>
      </c>
      <c r="J895" t="s">
        <v>37</v>
      </c>
      <c r="K895">
        <f>_xlfn.XLOOKUP(fSales[[#This Row],[ProductID]],dProduct[ProductID],dProduct[CratePrice])*fSales[[#This Row],[Units]]</f>
        <v>5040</v>
      </c>
      <c r="L895">
        <f>fSales[[#This Row],[Total sales]]-_xlfn.XLOOKUP(fSales[[#This Row],[ProductID]],dProduct[ProductID],dProduct[CrateCost])*fSales[[#This Row],[Units]]</f>
        <v>1663.1999999999998</v>
      </c>
      <c r="M895">
        <f>(_xlfn.XLOOKUP(fSales[[#This Row],[ProductID]],dProduct[ProductID],dProduct[CratePrice])-_xlfn.XLOOKUP(fSales[[#This Row],[ProductID]],dProduct[ProductID],dProduct[CrateCost]))/_xlfn.XLOOKUP(fSales[[#This Row],[ProductID]],dProduct[ProductID],dProduct[CratePrice])</f>
        <v>0.3299999999999999</v>
      </c>
      <c r="N895" t="str">
        <f>_xlfn.XLOOKUP(fSales[[#This Row],[SalesRepID]],dPSalesRep[SalesRepID],dPSalesRep[SalesRep])</f>
        <v>Chantel Mims</v>
      </c>
      <c r="O895" t="str">
        <f>_xlfn.XLOOKUP(fSales[[#This Row],[SalesRepID]],dPSalesRep[SalesRepID],dPSalesRep[Region])</f>
        <v>NW</v>
      </c>
      <c r="P895" t="str">
        <f>_xlfn.XLOOKUP(fSales[[#This Row],[ProductID]],dProduct[ProductID],dProduct[Product])</f>
        <v>Banana</v>
      </c>
      <c r="Q895">
        <f>_xlfn.XLOOKUP(fSales[[#This Row],[ProductID]],dProduct[ProductID],dProduct[CratePrice])-_xlfn.XLOOKUP(fSales[[#This Row],[ProductID]],dProduct[ProductID],dProduct[CrateCost])</f>
        <v>5.7749999999999986</v>
      </c>
      <c r="R895">
        <f>_xlfn.XLOOKUP(fSales[[#This Row],[ProductID]],dProduct[ProductID],dProduct[CratePrice])</f>
        <v>17.5</v>
      </c>
      <c r="S895">
        <f>_xlfn.XLOOKUP(fSales[[#This Row],[ProductID]],dProduct[ProductID],dProduct[CrateCost])</f>
        <v>11.725000000000001</v>
      </c>
    </row>
    <row r="896" spans="7:19" x14ac:dyDescent="0.25">
      <c r="G896" s="2">
        <v>45918</v>
      </c>
      <c r="H896">
        <v>120</v>
      </c>
      <c r="I896" t="s">
        <v>28</v>
      </c>
      <c r="J896" t="s">
        <v>32</v>
      </c>
      <c r="K896">
        <f>_xlfn.XLOOKUP(fSales[[#This Row],[ProductID]],dProduct[ProductID],dProduct[CratePrice])*fSales[[#This Row],[Units]]</f>
        <v>5244</v>
      </c>
      <c r="L896">
        <f>fSales[[#This Row],[Total sales]]-_xlfn.XLOOKUP(fSales[[#This Row],[ProductID]],dProduct[ProductID],dProduct[CrateCost])*fSales[[#This Row],[Units]]</f>
        <v>2202.48</v>
      </c>
      <c r="M896">
        <f>(_xlfn.XLOOKUP(fSales[[#This Row],[ProductID]],dProduct[ProductID],dProduct[CratePrice])-_xlfn.XLOOKUP(fSales[[#This Row],[ProductID]],dProduct[ProductID],dProduct[CrateCost]))/_xlfn.XLOOKUP(fSales[[#This Row],[ProductID]],dProduct[ProductID],dProduct[CratePrice])</f>
        <v>0.42000000000000004</v>
      </c>
      <c r="N896" t="str">
        <f>_xlfn.XLOOKUP(fSales[[#This Row],[SalesRepID]],dPSalesRep[SalesRepID],dPSalesRep[SalesRep])</f>
        <v>Shihara Fazzaa</v>
      </c>
      <c r="O896" t="str">
        <f>_xlfn.XLOOKUP(fSales[[#This Row],[SalesRepID]],dPSalesRep[SalesRepID],dPSalesRep[Region])</f>
        <v>East</v>
      </c>
      <c r="P896" t="str">
        <f>_xlfn.XLOOKUP(fSales[[#This Row],[ProductID]],dProduct[ProductID],dProduct[Product])</f>
        <v>Cherry</v>
      </c>
      <c r="Q896">
        <f>_xlfn.XLOOKUP(fSales[[#This Row],[ProductID]],dProduct[ProductID],dProduct[CratePrice])-_xlfn.XLOOKUP(fSales[[#This Row],[ProductID]],dProduct[ProductID],dProduct[CrateCost])</f>
        <v>18.354000000000003</v>
      </c>
      <c r="R896">
        <f>_xlfn.XLOOKUP(fSales[[#This Row],[ProductID]],dProduct[ProductID],dProduct[CratePrice])</f>
        <v>43.7</v>
      </c>
      <c r="S896">
        <f>_xlfn.XLOOKUP(fSales[[#This Row],[ProductID]],dProduct[ProductID],dProduct[CrateCost])</f>
        <v>25.346</v>
      </c>
    </row>
    <row r="897" spans="7:19" x14ac:dyDescent="0.25">
      <c r="G897" s="2">
        <v>45919</v>
      </c>
      <c r="H897">
        <v>240</v>
      </c>
      <c r="I897" t="s">
        <v>19</v>
      </c>
      <c r="J897" t="s">
        <v>32</v>
      </c>
      <c r="K897">
        <f>_xlfn.XLOOKUP(fSales[[#This Row],[ProductID]],dProduct[ProductID],dProduct[CratePrice])*fSales[[#This Row],[Units]]</f>
        <v>8400</v>
      </c>
      <c r="L897">
        <f>fSales[[#This Row],[Total sales]]-_xlfn.XLOOKUP(fSales[[#This Row],[ProductID]],dProduct[ProductID],dProduct[CrateCost])*fSales[[#This Row],[Units]]</f>
        <v>4704</v>
      </c>
      <c r="M897">
        <f>(_xlfn.XLOOKUP(fSales[[#This Row],[ProductID]],dProduct[ProductID],dProduct[CratePrice])-_xlfn.XLOOKUP(fSales[[#This Row],[ProductID]],dProduct[ProductID],dProduct[CrateCost]))/_xlfn.XLOOKUP(fSales[[#This Row],[ProductID]],dProduct[ProductID],dProduct[CratePrice])</f>
        <v>0.56000000000000005</v>
      </c>
      <c r="N897" t="str">
        <f>_xlfn.XLOOKUP(fSales[[#This Row],[SalesRepID]],dPSalesRep[SalesRepID],dPSalesRep[SalesRep])</f>
        <v>Shihara Fazzaa</v>
      </c>
      <c r="O897" t="str">
        <f>_xlfn.XLOOKUP(fSales[[#This Row],[SalesRepID]],dPSalesRep[SalesRepID],dPSalesRep[Region])</f>
        <v>East</v>
      </c>
      <c r="P897" t="str">
        <f>_xlfn.XLOOKUP(fSales[[#This Row],[ProductID]],dProduct[ProductID],dProduct[Product])</f>
        <v>Apple</v>
      </c>
      <c r="Q897">
        <f>_xlfn.XLOOKUP(fSales[[#This Row],[ProductID]],dProduct[ProductID],dProduct[CratePrice])-_xlfn.XLOOKUP(fSales[[#This Row],[ProductID]],dProduct[ProductID],dProduct[CrateCost])</f>
        <v>19.600000000000001</v>
      </c>
      <c r="R897">
        <f>_xlfn.XLOOKUP(fSales[[#This Row],[ProductID]],dProduct[ProductID],dProduct[CratePrice])</f>
        <v>35</v>
      </c>
      <c r="S897">
        <f>_xlfn.XLOOKUP(fSales[[#This Row],[ProductID]],dProduct[ProductID],dProduct[CrateCost])</f>
        <v>15.4</v>
      </c>
    </row>
    <row r="898" spans="7:19" x14ac:dyDescent="0.25">
      <c r="G898" s="2">
        <v>45919</v>
      </c>
      <c r="H898">
        <v>108</v>
      </c>
      <c r="I898" t="s">
        <v>26</v>
      </c>
      <c r="J898" t="s">
        <v>37</v>
      </c>
      <c r="K898">
        <f>_xlfn.XLOOKUP(fSales[[#This Row],[ProductID]],dProduct[ProductID],dProduct[CratePrice])*fSales[[#This Row],[Units]]</f>
        <v>3213</v>
      </c>
      <c r="L898">
        <f>fSales[[#This Row],[Total sales]]-_xlfn.XLOOKUP(fSales[[#This Row],[ProductID]],dProduct[ProductID],dProduct[CrateCost])*fSales[[#This Row],[Units]]</f>
        <v>1349.46</v>
      </c>
      <c r="M898">
        <f>(_xlfn.XLOOKUP(fSales[[#This Row],[ProductID]],dProduct[ProductID],dProduct[CratePrice])-_xlfn.XLOOKUP(fSales[[#This Row],[ProductID]],dProduct[ProductID],dProduct[CrateCost]))/_xlfn.XLOOKUP(fSales[[#This Row],[ProductID]],dProduct[ProductID],dProduct[CratePrice])</f>
        <v>0.42000000000000004</v>
      </c>
      <c r="N898" t="str">
        <f>_xlfn.XLOOKUP(fSales[[#This Row],[SalesRepID]],dPSalesRep[SalesRepID],dPSalesRep[SalesRep])</f>
        <v>Chantel Mims</v>
      </c>
      <c r="O898" t="str">
        <f>_xlfn.XLOOKUP(fSales[[#This Row],[SalesRepID]],dPSalesRep[SalesRepID],dPSalesRep[Region])</f>
        <v>NW</v>
      </c>
      <c r="P898" t="str">
        <f>_xlfn.XLOOKUP(fSales[[#This Row],[ProductID]],dProduct[ProductID],dProduct[Product])</f>
        <v>Orange</v>
      </c>
      <c r="Q898">
        <f>_xlfn.XLOOKUP(fSales[[#This Row],[ProductID]],dProduct[ProductID],dProduct[CratePrice])-_xlfn.XLOOKUP(fSales[[#This Row],[ProductID]],dProduct[ProductID],dProduct[CrateCost])</f>
        <v>12.495000000000001</v>
      </c>
      <c r="R898">
        <f>_xlfn.XLOOKUP(fSales[[#This Row],[ProductID]],dProduct[ProductID],dProduct[CratePrice])</f>
        <v>29.75</v>
      </c>
      <c r="S898">
        <f>_xlfn.XLOOKUP(fSales[[#This Row],[ProductID]],dProduct[ProductID],dProduct[CrateCost])</f>
        <v>17.254999999999999</v>
      </c>
    </row>
    <row r="899" spans="7:19" x14ac:dyDescent="0.25">
      <c r="G899" s="2">
        <v>45920</v>
      </c>
      <c r="H899">
        <v>168</v>
      </c>
      <c r="I899" t="s">
        <v>26</v>
      </c>
      <c r="J899" t="s">
        <v>32</v>
      </c>
      <c r="K899">
        <f>_xlfn.XLOOKUP(fSales[[#This Row],[ProductID]],dProduct[ProductID],dProduct[CratePrice])*fSales[[#This Row],[Units]]</f>
        <v>4998</v>
      </c>
      <c r="L899">
        <f>fSales[[#This Row],[Total sales]]-_xlfn.XLOOKUP(fSales[[#This Row],[ProductID]],dProduct[ProductID],dProduct[CrateCost])*fSales[[#This Row],[Units]]</f>
        <v>2099.1600000000003</v>
      </c>
      <c r="M899">
        <f>(_xlfn.XLOOKUP(fSales[[#This Row],[ProductID]],dProduct[ProductID],dProduct[CratePrice])-_xlfn.XLOOKUP(fSales[[#This Row],[ProductID]],dProduct[ProductID],dProduct[CrateCost]))/_xlfn.XLOOKUP(fSales[[#This Row],[ProductID]],dProduct[ProductID],dProduct[CratePrice])</f>
        <v>0.42000000000000004</v>
      </c>
      <c r="N899" t="str">
        <f>_xlfn.XLOOKUP(fSales[[#This Row],[SalesRepID]],dPSalesRep[SalesRepID],dPSalesRep[SalesRep])</f>
        <v>Shihara Fazzaa</v>
      </c>
      <c r="O899" t="str">
        <f>_xlfn.XLOOKUP(fSales[[#This Row],[SalesRepID]],dPSalesRep[SalesRepID],dPSalesRep[Region])</f>
        <v>East</v>
      </c>
      <c r="P899" t="str">
        <f>_xlfn.XLOOKUP(fSales[[#This Row],[ProductID]],dProduct[ProductID],dProduct[Product])</f>
        <v>Orange</v>
      </c>
      <c r="Q899">
        <f>_xlfn.XLOOKUP(fSales[[#This Row],[ProductID]],dProduct[ProductID],dProduct[CratePrice])-_xlfn.XLOOKUP(fSales[[#This Row],[ProductID]],dProduct[ProductID],dProduct[CrateCost])</f>
        <v>12.495000000000001</v>
      </c>
      <c r="R899">
        <f>_xlfn.XLOOKUP(fSales[[#This Row],[ProductID]],dProduct[ProductID],dProduct[CratePrice])</f>
        <v>29.75</v>
      </c>
      <c r="S899">
        <f>_xlfn.XLOOKUP(fSales[[#This Row],[ProductID]],dProduct[ProductID],dProduct[CrateCost])</f>
        <v>17.254999999999999</v>
      </c>
    </row>
    <row r="900" spans="7:19" x14ac:dyDescent="0.25">
      <c r="G900" s="2">
        <v>45921</v>
      </c>
      <c r="H900">
        <v>96</v>
      </c>
      <c r="I900" t="s">
        <v>26</v>
      </c>
      <c r="J900" t="s">
        <v>37</v>
      </c>
      <c r="K900">
        <f>_xlfn.XLOOKUP(fSales[[#This Row],[ProductID]],dProduct[ProductID],dProduct[CratePrice])*fSales[[#This Row],[Units]]</f>
        <v>2856</v>
      </c>
      <c r="L900">
        <f>fSales[[#This Row],[Total sales]]-_xlfn.XLOOKUP(fSales[[#This Row],[ProductID]],dProduct[ProductID],dProduct[CrateCost])*fSales[[#This Row],[Units]]</f>
        <v>1199.52</v>
      </c>
      <c r="M900">
        <f>(_xlfn.XLOOKUP(fSales[[#This Row],[ProductID]],dProduct[ProductID],dProduct[CratePrice])-_xlfn.XLOOKUP(fSales[[#This Row],[ProductID]],dProduct[ProductID],dProduct[CrateCost]))/_xlfn.XLOOKUP(fSales[[#This Row],[ProductID]],dProduct[ProductID],dProduct[CratePrice])</f>
        <v>0.42000000000000004</v>
      </c>
      <c r="N900" t="str">
        <f>_xlfn.XLOOKUP(fSales[[#This Row],[SalesRepID]],dPSalesRep[SalesRepID],dPSalesRep[SalesRep])</f>
        <v>Chantel Mims</v>
      </c>
      <c r="O900" t="str">
        <f>_xlfn.XLOOKUP(fSales[[#This Row],[SalesRepID]],dPSalesRep[SalesRepID],dPSalesRep[Region])</f>
        <v>NW</v>
      </c>
      <c r="P900" t="str">
        <f>_xlfn.XLOOKUP(fSales[[#This Row],[ProductID]],dProduct[ProductID],dProduct[Product])</f>
        <v>Orange</v>
      </c>
      <c r="Q900">
        <f>_xlfn.XLOOKUP(fSales[[#This Row],[ProductID]],dProduct[ProductID],dProduct[CratePrice])-_xlfn.XLOOKUP(fSales[[#This Row],[ProductID]],dProduct[ProductID],dProduct[CrateCost])</f>
        <v>12.495000000000001</v>
      </c>
      <c r="R900">
        <f>_xlfn.XLOOKUP(fSales[[#This Row],[ProductID]],dProduct[ProductID],dProduct[CratePrice])</f>
        <v>29.75</v>
      </c>
      <c r="S900">
        <f>_xlfn.XLOOKUP(fSales[[#This Row],[ProductID]],dProduct[ProductID],dProduct[CrateCost])</f>
        <v>17.254999999999999</v>
      </c>
    </row>
    <row r="901" spans="7:19" x14ac:dyDescent="0.25">
      <c r="G901" s="2">
        <v>45921</v>
      </c>
      <c r="H901">
        <v>72</v>
      </c>
      <c r="I901" t="s">
        <v>28</v>
      </c>
      <c r="J901" t="s">
        <v>29</v>
      </c>
      <c r="K901">
        <f>_xlfn.XLOOKUP(fSales[[#This Row],[ProductID]],dProduct[ProductID],dProduct[CratePrice])*fSales[[#This Row],[Units]]</f>
        <v>3146.4</v>
      </c>
      <c r="L901">
        <f>fSales[[#This Row],[Total sales]]-_xlfn.XLOOKUP(fSales[[#This Row],[ProductID]],dProduct[ProductID],dProduct[CrateCost])*fSales[[#This Row],[Units]]</f>
        <v>1321.4880000000001</v>
      </c>
      <c r="M901">
        <f>(_xlfn.XLOOKUP(fSales[[#This Row],[ProductID]],dProduct[ProductID],dProduct[CratePrice])-_xlfn.XLOOKUP(fSales[[#This Row],[ProductID]],dProduct[ProductID],dProduct[CrateCost]))/_xlfn.XLOOKUP(fSales[[#This Row],[ProductID]],dProduct[ProductID],dProduct[CratePrice])</f>
        <v>0.42000000000000004</v>
      </c>
      <c r="N901" t="str">
        <f>_xlfn.XLOOKUP(fSales[[#This Row],[SalesRepID]],dPSalesRep[SalesRepID],dPSalesRep[SalesRep])</f>
        <v>Sioux Best</v>
      </c>
      <c r="O901" t="str">
        <f>_xlfn.XLOOKUP(fSales[[#This Row],[SalesRepID]],dPSalesRep[SalesRepID],dPSalesRep[Region])</f>
        <v>West</v>
      </c>
      <c r="P901" t="str">
        <f>_xlfn.XLOOKUP(fSales[[#This Row],[ProductID]],dProduct[ProductID],dProduct[Product])</f>
        <v>Cherry</v>
      </c>
      <c r="Q901">
        <f>_xlfn.XLOOKUP(fSales[[#This Row],[ProductID]],dProduct[ProductID],dProduct[CratePrice])-_xlfn.XLOOKUP(fSales[[#This Row],[ProductID]],dProduct[ProductID],dProduct[CrateCost])</f>
        <v>18.354000000000003</v>
      </c>
      <c r="R901">
        <f>_xlfn.XLOOKUP(fSales[[#This Row],[ProductID]],dProduct[ProductID],dProduct[CratePrice])</f>
        <v>43.7</v>
      </c>
      <c r="S901">
        <f>_xlfn.XLOOKUP(fSales[[#This Row],[ProductID]],dProduct[ProductID],dProduct[CrateCost])</f>
        <v>25.346</v>
      </c>
    </row>
    <row r="902" spans="7:19" x14ac:dyDescent="0.25">
      <c r="G902" s="2">
        <v>45923</v>
      </c>
      <c r="H902">
        <v>252</v>
      </c>
      <c r="I902" t="s">
        <v>28</v>
      </c>
      <c r="J902" t="s">
        <v>29</v>
      </c>
      <c r="K902">
        <f>_xlfn.XLOOKUP(fSales[[#This Row],[ProductID]],dProduct[ProductID],dProduct[CratePrice])*fSales[[#This Row],[Units]]</f>
        <v>11012.400000000001</v>
      </c>
      <c r="L902">
        <f>fSales[[#This Row],[Total sales]]-_xlfn.XLOOKUP(fSales[[#This Row],[ProductID]],dProduct[ProductID],dProduct[CrateCost])*fSales[[#This Row],[Units]]</f>
        <v>4625.2080000000014</v>
      </c>
      <c r="M902">
        <f>(_xlfn.XLOOKUP(fSales[[#This Row],[ProductID]],dProduct[ProductID],dProduct[CratePrice])-_xlfn.XLOOKUP(fSales[[#This Row],[ProductID]],dProduct[ProductID],dProduct[CrateCost]))/_xlfn.XLOOKUP(fSales[[#This Row],[ProductID]],dProduct[ProductID],dProduct[CratePrice])</f>
        <v>0.42000000000000004</v>
      </c>
      <c r="N902" t="str">
        <f>_xlfn.XLOOKUP(fSales[[#This Row],[SalesRepID]],dPSalesRep[SalesRepID],dPSalesRep[SalesRep])</f>
        <v>Sioux Best</v>
      </c>
      <c r="O902" t="str">
        <f>_xlfn.XLOOKUP(fSales[[#This Row],[SalesRepID]],dPSalesRep[SalesRepID],dPSalesRep[Region])</f>
        <v>West</v>
      </c>
      <c r="P902" t="str">
        <f>_xlfn.XLOOKUP(fSales[[#This Row],[ProductID]],dProduct[ProductID],dProduct[Product])</f>
        <v>Cherry</v>
      </c>
      <c r="Q902">
        <f>_xlfn.XLOOKUP(fSales[[#This Row],[ProductID]],dProduct[ProductID],dProduct[CratePrice])-_xlfn.XLOOKUP(fSales[[#This Row],[ProductID]],dProduct[ProductID],dProduct[CrateCost])</f>
        <v>18.354000000000003</v>
      </c>
      <c r="R902">
        <f>_xlfn.XLOOKUP(fSales[[#This Row],[ProductID]],dProduct[ProductID],dProduct[CratePrice])</f>
        <v>43.7</v>
      </c>
      <c r="S902">
        <f>_xlfn.XLOOKUP(fSales[[#This Row],[ProductID]],dProduct[ProductID],dProduct[CrateCost])</f>
        <v>25.346</v>
      </c>
    </row>
    <row r="903" spans="7:19" x14ac:dyDescent="0.25">
      <c r="G903" s="2">
        <v>45924</v>
      </c>
      <c r="H903">
        <v>240</v>
      </c>
      <c r="I903" t="s">
        <v>26</v>
      </c>
      <c r="J903" t="s">
        <v>52</v>
      </c>
      <c r="K903">
        <f>_xlfn.XLOOKUP(fSales[[#This Row],[ProductID]],dProduct[ProductID],dProduct[CratePrice])*fSales[[#This Row],[Units]]</f>
        <v>7140</v>
      </c>
      <c r="L903">
        <f>fSales[[#This Row],[Total sales]]-_xlfn.XLOOKUP(fSales[[#This Row],[ProductID]],dProduct[ProductID],dProduct[CrateCost])*fSales[[#This Row],[Units]]</f>
        <v>2998.8</v>
      </c>
      <c r="M903">
        <f>(_xlfn.XLOOKUP(fSales[[#This Row],[ProductID]],dProduct[ProductID],dProduct[CratePrice])-_xlfn.XLOOKUP(fSales[[#This Row],[ProductID]],dProduct[ProductID],dProduct[CrateCost]))/_xlfn.XLOOKUP(fSales[[#This Row],[ProductID]],dProduct[ProductID],dProduct[CratePrice])</f>
        <v>0.42000000000000004</v>
      </c>
      <c r="N903" t="str">
        <f>_xlfn.XLOOKUP(fSales[[#This Row],[SalesRepID]],dPSalesRep[SalesRepID],dPSalesRep[SalesRep])</f>
        <v>Smitty Rad</v>
      </c>
      <c r="O903" t="str">
        <f>_xlfn.XLOOKUP(fSales[[#This Row],[SalesRepID]],dPSalesRep[SalesRepID],dPSalesRep[Region])</f>
        <v>MidWest</v>
      </c>
      <c r="P903" t="str">
        <f>_xlfn.XLOOKUP(fSales[[#This Row],[ProductID]],dProduct[ProductID],dProduct[Product])</f>
        <v>Orange</v>
      </c>
      <c r="Q903">
        <f>_xlfn.XLOOKUP(fSales[[#This Row],[ProductID]],dProduct[ProductID],dProduct[CratePrice])-_xlfn.XLOOKUP(fSales[[#This Row],[ProductID]],dProduct[ProductID],dProduct[CrateCost])</f>
        <v>12.495000000000001</v>
      </c>
      <c r="R903">
        <f>_xlfn.XLOOKUP(fSales[[#This Row],[ProductID]],dProduct[ProductID],dProduct[CratePrice])</f>
        <v>29.75</v>
      </c>
      <c r="S903">
        <f>_xlfn.XLOOKUP(fSales[[#This Row],[ProductID]],dProduct[ProductID],dProduct[CrateCost])</f>
        <v>17.254999999999999</v>
      </c>
    </row>
    <row r="904" spans="7:19" x14ac:dyDescent="0.25">
      <c r="G904" s="2">
        <v>45924</v>
      </c>
      <c r="H904">
        <v>132</v>
      </c>
      <c r="I904" t="s">
        <v>21</v>
      </c>
      <c r="J904" t="s">
        <v>37</v>
      </c>
      <c r="K904">
        <f>_xlfn.XLOOKUP(fSales[[#This Row],[ProductID]],dProduct[ProductID],dProduct[CratePrice])*fSales[[#This Row],[Units]]</f>
        <v>2970</v>
      </c>
      <c r="L904">
        <f>fSales[[#This Row],[Total sales]]-_xlfn.XLOOKUP(fSales[[#This Row],[ProductID]],dProduct[ProductID],dProduct[CrateCost])*fSales[[#This Row],[Units]]</f>
        <v>1306.7999999999997</v>
      </c>
      <c r="M904">
        <f>(_xlfn.XLOOKUP(fSales[[#This Row],[ProductID]],dProduct[ProductID],dProduct[CratePrice])-_xlfn.XLOOKUP(fSales[[#This Row],[ProductID]],dProduct[ProductID],dProduct[CrateCost]))/_xlfn.XLOOKUP(fSales[[#This Row],[ProductID]],dProduct[ProductID],dProduct[CratePrice])</f>
        <v>0.43999999999999995</v>
      </c>
      <c r="N904" t="str">
        <f>_xlfn.XLOOKUP(fSales[[#This Row],[SalesRepID]],dPSalesRep[SalesRepID],dPSalesRep[SalesRep])</f>
        <v>Chantel Mims</v>
      </c>
      <c r="O904" t="str">
        <f>_xlfn.XLOOKUP(fSales[[#This Row],[SalesRepID]],dPSalesRep[SalesRepID],dPSalesRep[Region])</f>
        <v>NW</v>
      </c>
      <c r="P904" t="str">
        <f>_xlfn.XLOOKUP(fSales[[#This Row],[ProductID]],dProduct[ProductID],dProduct[Product])</f>
        <v>Kiwi</v>
      </c>
      <c r="Q904">
        <f>_xlfn.XLOOKUP(fSales[[#This Row],[ProductID]],dProduct[ProductID],dProduct[CratePrice])-_xlfn.XLOOKUP(fSales[[#This Row],[ProductID]],dProduct[ProductID],dProduct[CrateCost])</f>
        <v>9.8999999999999986</v>
      </c>
      <c r="R904">
        <f>_xlfn.XLOOKUP(fSales[[#This Row],[ProductID]],dProduct[ProductID],dProduct[CratePrice])</f>
        <v>22.5</v>
      </c>
      <c r="S904">
        <f>_xlfn.XLOOKUP(fSales[[#This Row],[ProductID]],dProduct[ProductID],dProduct[CrateCost])</f>
        <v>12.600000000000001</v>
      </c>
    </row>
    <row r="905" spans="7:19" x14ac:dyDescent="0.25">
      <c r="G905" s="2">
        <v>45924</v>
      </c>
      <c r="H905">
        <v>180</v>
      </c>
      <c r="I905" t="s">
        <v>21</v>
      </c>
      <c r="J905" t="s">
        <v>32</v>
      </c>
      <c r="K905">
        <f>_xlfn.XLOOKUP(fSales[[#This Row],[ProductID]],dProduct[ProductID],dProduct[CratePrice])*fSales[[#This Row],[Units]]</f>
        <v>4050</v>
      </c>
      <c r="L905">
        <f>fSales[[#This Row],[Total sales]]-_xlfn.XLOOKUP(fSales[[#This Row],[ProductID]],dProduct[ProductID],dProduct[CrateCost])*fSales[[#This Row],[Units]]</f>
        <v>1781.9999999999995</v>
      </c>
      <c r="M905">
        <f>(_xlfn.XLOOKUP(fSales[[#This Row],[ProductID]],dProduct[ProductID],dProduct[CratePrice])-_xlfn.XLOOKUP(fSales[[#This Row],[ProductID]],dProduct[ProductID],dProduct[CrateCost]))/_xlfn.XLOOKUP(fSales[[#This Row],[ProductID]],dProduct[ProductID],dProduct[CratePrice])</f>
        <v>0.43999999999999995</v>
      </c>
      <c r="N905" t="str">
        <f>_xlfn.XLOOKUP(fSales[[#This Row],[SalesRepID]],dPSalesRep[SalesRepID],dPSalesRep[SalesRep])</f>
        <v>Shihara Fazzaa</v>
      </c>
      <c r="O905" t="str">
        <f>_xlfn.XLOOKUP(fSales[[#This Row],[SalesRepID]],dPSalesRep[SalesRepID],dPSalesRep[Region])</f>
        <v>East</v>
      </c>
      <c r="P905" t="str">
        <f>_xlfn.XLOOKUP(fSales[[#This Row],[ProductID]],dProduct[ProductID],dProduct[Product])</f>
        <v>Kiwi</v>
      </c>
      <c r="Q905">
        <f>_xlfn.XLOOKUP(fSales[[#This Row],[ProductID]],dProduct[ProductID],dProduct[CratePrice])-_xlfn.XLOOKUP(fSales[[#This Row],[ProductID]],dProduct[ProductID],dProduct[CrateCost])</f>
        <v>9.8999999999999986</v>
      </c>
      <c r="R905">
        <f>_xlfn.XLOOKUP(fSales[[#This Row],[ProductID]],dProduct[ProductID],dProduct[CratePrice])</f>
        <v>22.5</v>
      </c>
      <c r="S905">
        <f>_xlfn.XLOOKUP(fSales[[#This Row],[ProductID]],dProduct[ProductID],dProduct[CrateCost])</f>
        <v>12.600000000000001</v>
      </c>
    </row>
    <row r="906" spans="7:19" x14ac:dyDescent="0.25">
      <c r="G906" s="2">
        <v>45925</v>
      </c>
      <c r="H906">
        <v>144</v>
      </c>
      <c r="I906" t="s">
        <v>34</v>
      </c>
      <c r="J906" t="s">
        <v>37</v>
      </c>
      <c r="K906">
        <f>_xlfn.XLOOKUP(fSales[[#This Row],[ProductID]],dProduct[ProductID],dProduct[CratePrice])*fSales[[#This Row],[Units]]</f>
        <v>2520</v>
      </c>
      <c r="L906">
        <f>fSales[[#This Row],[Total sales]]-_xlfn.XLOOKUP(fSales[[#This Row],[ProductID]],dProduct[ProductID],dProduct[CrateCost])*fSales[[#This Row],[Units]]</f>
        <v>831.59999999999991</v>
      </c>
      <c r="M906">
        <f>(_xlfn.XLOOKUP(fSales[[#This Row],[ProductID]],dProduct[ProductID],dProduct[CratePrice])-_xlfn.XLOOKUP(fSales[[#This Row],[ProductID]],dProduct[ProductID],dProduct[CrateCost]))/_xlfn.XLOOKUP(fSales[[#This Row],[ProductID]],dProduct[ProductID],dProduct[CratePrice])</f>
        <v>0.3299999999999999</v>
      </c>
      <c r="N906" t="str">
        <f>_xlfn.XLOOKUP(fSales[[#This Row],[SalesRepID]],dPSalesRep[SalesRepID],dPSalesRep[SalesRep])</f>
        <v>Chantel Mims</v>
      </c>
      <c r="O906" t="str">
        <f>_xlfn.XLOOKUP(fSales[[#This Row],[SalesRepID]],dPSalesRep[SalesRepID],dPSalesRep[Region])</f>
        <v>NW</v>
      </c>
      <c r="P906" t="str">
        <f>_xlfn.XLOOKUP(fSales[[#This Row],[ProductID]],dProduct[ProductID],dProduct[Product])</f>
        <v>Banana</v>
      </c>
      <c r="Q906">
        <f>_xlfn.XLOOKUP(fSales[[#This Row],[ProductID]],dProduct[ProductID],dProduct[CratePrice])-_xlfn.XLOOKUP(fSales[[#This Row],[ProductID]],dProduct[ProductID],dProduct[CrateCost])</f>
        <v>5.7749999999999986</v>
      </c>
      <c r="R906">
        <f>_xlfn.XLOOKUP(fSales[[#This Row],[ProductID]],dProduct[ProductID],dProduct[CratePrice])</f>
        <v>17.5</v>
      </c>
      <c r="S906">
        <f>_xlfn.XLOOKUP(fSales[[#This Row],[ProductID]],dProduct[ProductID],dProduct[CrateCost])</f>
        <v>11.725000000000001</v>
      </c>
    </row>
    <row r="907" spans="7:19" x14ac:dyDescent="0.25">
      <c r="G907" s="2">
        <v>45925</v>
      </c>
      <c r="H907">
        <v>144</v>
      </c>
      <c r="I907" t="s">
        <v>19</v>
      </c>
      <c r="J907" t="s">
        <v>32</v>
      </c>
      <c r="K907">
        <f>_xlfn.XLOOKUP(fSales[[#This Row],[ProductID]],dProduct[ProductID],dProduct[CratePrice])*fSales[[#This Row],[Units]]</f>
        <v>5040</v>
      </c>
      <c r="L907">
        <f>fSales[[#This Row],[Total sales]]-_xlfn.XLOOKUP(fSales[[#This Row],[ProductID]],dProduct[ProductID],dProduct[CrateCost])*fSales[[#This Row],[Units]]</f>
        <v>2822.4</v>
      </c>
      <c r="M907">
        <f>(_xlfn.XLOOKUP(fSales[[#This Row],[ProductID]],dProduct[ProductID],dProduct[CratePrice])-_xlfn.XLOOKUP(fSales[[#This Row],[ProductID]],dProduct[ProductID],dProduct[CrateCost]))/_xlfn.XLOOKUP(fSales[[#This Row],[ProductID]],dProduct[ProductID],dProduct[CratePrice])</f>
        <v>0.56000000000000005</v>
      </c>
      <c r="N907" t="str">
        <f>_xlfn.XLOOKUP(fSales[[#This Row],[SalesRepID]],dPSalesRep[SalesRepID],dPSalesRep[SalesRep])</f>
        <v>Shihara Fazzaa</v>
      </c>
      <c r="O907" t="str">
        <f>_xlfn.XLOOKUP(fSales[[#This Row],[SalesRepID]],dPSalesRep[SalesRepID],dPSalesRep[Region])</f>
        <v>East</v>
      </c>
      <c r="P907" t="str">
        <f>_xlfn.XLOOKUP(fSales[[#This Row],[ProductID]],dProduct[ProductID],dProduct[Product])</f>
        <v>Apple</v>
      </c>
      <c r="Q907">
        <f>_xlfn.XLOOKUP(fSales[[#This Row],[ProductID]],dProduct[ProductID],dProduct[CratePrice])-_xlfn.XLOOKUP(fSales[[#This Row],[ProductID]],dProduct[ProductID],dProduct[CrateCost])</f>
        <v>19.600000000000001</v>
      </c>
      <c r="R907">
        <f>_xlfn.XLOOKUP(fSales[[#This Row],[ProductID]],dProduct[ProductID],dProduct[CratePrice])</f>
        <v>35</v>
      </c>
      <c r="S907">
        <f>_xlfn.XLOOKUP(fSales[[#This Row],[ProductID]],dProduct[ProductID],dProduct[CrateCost])</f>
        <v>15.4</v>
      </c>
    </row>
    <row r="908" spans="7:19" x14ac:dyDescent="0.25">
      <c r="G908" s="2">
        <v>45926</v>
      </c>
      <c r="H908">
        <v>288</v>
      </c>
      <c r="I908" t="s">
        <v>19</v>
      </c>
      <c r="J908" t="s">
        <v>52</v>
      </c>
      <c r="K908">
        <f>_xlfn.XLOOKUP(fSales[[#This Row],[ProductID]],dProduct[ProductID],dProduct[CratePrice])*fSales[[#This Row],[Units]]</f>
        <v>10080</v>
      </c>
      <c r="L908">
        <f>fSales[[#This Row],[Total sales]]-_xlfn.XLOOKUP(fSales[[#This Row],[ProductID]],dProduct[ProductID],dProduct[CrateCost])*fSales[[#This Row],[Units]]</f>
        <v>5644.8</v>
      </c>
      <c r="M908">
        <f>(_xlfn.XLOOKUP(fSales[[#This Row],[ProductID]],dProduct[ProductID],dProduct[CratePrice])-_xlfn.XLOOKUP(fSales[[#This Row],[ProductID]],dProduct[ProductID],dProduct[CrateCost]))/_xlfn.XLOOKUP(fSales[[#This Row],[ProductID]],dProduct[ProductID],dProduct[CratePrice])</f>
        <v>0.56000000000000005</v>
      </c>
      <c r="N908" t="str">
        <f>_xlfn.XLOOKUP(fSales[[#This Row],[SalesRepID]],dPSalesRep[SalesRepID],dPSalesRep[SalesRep])</f>
        <v>Smitty Rad</v>
      </c>
      <c r="O908" t="str">
        <f>_xlfn.XLOOKUP(fSales[[#This Row],[SalesRepID]],dPSalesRep[SalesRepID],dPSalesRep[Region])</f>
        <v>MidWest</v>
      </c>
      <c r="P908" t="str">
        <f>_xlfn.XLOOKUP(fSales[[#This Row],[ProductID]],dProduct[ProductID],dProduct[Product])</f>
        <v>Apple</v>
      </c>
      <c r="Q908">
        <f>_xlfn.XLOOKUP(fSales[[#This Row],[ProductID]],dProduct[ProductID],dProduct[CratePrice])-_xlfn.XLOOKUP(fSales[[#This Row],[ProductID]],dProduct[ProductID],dProduct[CrateCost])</f>
        <v>19.600000000000001</v>
      </c>
      <c r="R908">
        <f>_xlfn.XLOOKUP(fSales[[#This Row],[ProductID]],dProduct[ProductID],dProduct[CratePrice])</f>
        <v>35</v>
      </c>
      <c r="S908">
        <f>_xlfn.XLOOKUP(fSales[[#This Row],[ProductID]],dProduct[ProductID],dProduct[CrateCost])</f>
        <v>15.4</v>
      </c>
    </row>
    <row r="909" spans="7:19" x14ac:dyDescent="0.25">
      <c r="G909" s="2">
        <v>45926</v>
      </c>
      <c r="H909">
        <v>120</v>
      </c>
      <c r="I909" t="s">
        <v>26</v>
      </c>
      <c r="J909" t="s">
        <v>37</v>
      </c>
      <c r="K909">
        <f>_xlfn.XLOOKUP(fSales[[#This Row],[ProductID]],dProduct[ProductID],dProduct[CratePrice])*fSales[[#This Row],[Units]]</f>
        <v>3570</v>
      </c>
      <c r="L909">
        <f>fSales[[#This Row],[Total sales]]-_xlfn.XLOOKUP(fSales[[#This Row],[ProductID]],dProduct[ProductID],dProduct[CrateCost])*fSales[[#This Row],[Units]]</f>
        <v>1499.4</v>
      </c>
      <c r="M909">
        <f>(_xlfn.XLOOKUP(fSales[[#This Row],[ProductID]],dProduct[ProductID],dProduct[CratePrice])-_xlfn.XLOOKUP(fSales[[#This Row],[ProductID]],dProduct[ProductID],dProduct[CrateCost]))/_xlfn.XLOOKUP(fSales[[#This Row],[ProductID]],dProduct[ProductID],dProduct[CratePrice])</f>
        <v>0.42000000000000004</v>
      </c>
      <c r="N909" t="str">
        <f>_xlfn.XLOOKUP(fSales[[#This Row],[SalesRepID]],dPSalesRep[SalesRepID],dPSalesRep[SalesRep])</f>
        <v>Chantel Mims</v>
      </c>
      <c r="O909" t="str">
        <f>_xlfn.XLOOKUP(fSales[[#This Row],[SalesRepID]],dPSalesRep[SalesRepID],dPSalesRep[Region])</f>
        <v>NW</v>
      </c>
      <c r="P909" t="str">
        <f>_xlfn.XLOOKUP(fSales[[#This Row],[ProductID]],dProduct[ProductID],dProduct[Product])</f>
        <v>Orange</v>
      </c>
      <c r="Q909">
        <f>_xlfn.XLOOKUP(fSales[[#This Row],[ProductID]],dProduct[ProductID],dProduct[CratePrice])-_xlfn.XLOOKUP(fSales[[#This Row],[ProductID]],dProduct[ProductID],dProduct[CrateCost])</f>
        <v>12.495000000000001</v>
      </c>
      <c r="R909">
        <f>_xlfn.XLOOKUP(fSales[[#This Row],[ProductID]],dProduct[ProductID],dProduct[CratePrice])</f>
        <v>29.75</v>
      </c>
      <c r="S909">
        <f>_xlfn.XLOOKUP(fSales[[#This Row],[ProductID]],dProduct[ProductID],dProduct[CrateCost])</f>
        <v>17.254999999999999</v>
      </c>
    </row>
    <row r="910" spans="7:19" x14ac:dyDescent="0.25">
      <c r="G910" s="2">
        <v>45926</v>
      </c>
      <c r="H910">
        <v>180</v>
      </c>
      <c r="I910" t="s">
        <v>34</v>
      </c>
      <c r="J910" t="s">
        <v>29</v>
      </c>
      <c r="K910">
        <f>_xlfn.XLOOKUP(fSales[[#This Row],[ProductID]],dProduct[ProductID],dProduct[CratePrice])*fSales[[#This Row],[Units]]</f>
        <v>3150</v>
      </c>
      <c r="L910">
        <f>fSales[[#This Row],[Total sales]]-_xlfn.XLOOKUP(fSales[[#This Row],[ProductID]],dProduct[ProductID],dProduct[CrateCost])*fSales[[#This Row],[Units]]</f>
        <v>1039.4999999999995</v>
      </c>
      <c r="M910">
        <f>(_xlfn.XLOOKUP(fSales[[#This Row],[ProductID]],dProduct[ProductID],dProduct[CratePrice])-_xlfn.XLOOKUP(fSales[[#This Row],[ProductID]],dProduct[ProductID],dProduct[CrateCost]))/_xlfn.XLOOKUP(fSales[[#This Row],[ProductID]],dProduct[ProductID],dProduct[CratePrice])</f>
        <v>0.3299999999999999</v>
      </c>
      <c r="N910" t="str">
        <f>_xlfn.XLOOKUP(fSales[[#This Row],[SalesRepID]],dPSalesRep[SalesRepID],dPSalesRep[SalesRep])</f>
        <v>Sioux Best</v>
      </c>
      <c r="O910" t="str">
        <f>_xlfn.XLOOKUP(fSales[[#This Row],[SalesRepID]],dPSalesRep[SalesRepID],dPSalesRep[Region])</f>
        <v>West</v>
      </c>
      <c r="P910" t="str">
        <f>_xlfn.XLOOKUP(fSales[[#This Row],[ProductID]],dProduct[ProductID],dProduct[Product])</f>
        <v>Banana</v>
      </c>
      <c r="Q910">
        <f>_xlfn.XLOOKUP(fSales[[#This Row],[ProductID]],dProduct[ProductID],dProduct[CratePrice])-_xlfn.XLOOKUP(fSales[[#This Row],[ProductID]],dProduct[ProductID],dProduct[CrateCost])</f>
        <v>5.7749999999999986</v>
      </c>
      <c r="R910">
        <f>_xlfn.XLOOKUP(fSales[[#This Row],[ProductID]],dProduct[ProductID],dProduct[CratePrice])</f>
        <v>17.5</v>
      </c>
      <c r="S910">
        <f>_xlfn.XLOOKUP(fSales[[#This Row],[ProductID]],dProduct[ProductID],dProduct[CrateCost])</f>
        <v>11.725000000000001</v>
      </c>
    </row>
    <row r="911" spans="7:19" x14ac:dyDescent="0.25">
      <c r="G911" s="2">
        <v>45927</v>
      </c>
      <c r="H911">
        <v>276</v>
      </c>
      <c r="I911" t="s">
        <v>28</v>
      </c>
      <c r="J911" t="s">
        <v>52</v>
      </c>
      <c r="K911">
        <f>_xlfn.XLOOKUP(fSales[[#This Row],[ProductID]],dProduct[ProductID],dProduct[CratePrice])*fSales[[#This Row],[Units]]</f>
        <v>12061.2</v>
      </c>
      <c r="L911">
        <f>fSales[[#This Row],[Total sales]]-_xlfn.XLOOKUP(fSales[[#This Row],[ProductID]],dProduct[ProductID],dProduct[CrateCost])*fSales[[#This Row],[Units]]</f>
        <v>5065.7040000000006</v>
      </c>
      <c r="M911">
        <f>(_xlfn.XLOOKUP(fSales[[#This Row],[ProductID]],dProduct[ProductID],dProduct[CratePrice])-_xlfn.XLOOKUP(fSales[[#This Row],[ProductID]],dProduct[ProductID],dProduct[CrateCost]))/_xlfn.XLOOKUP(fSales[[#This Row],[ProductID]],dProduct[ProductID],dProduct[CratePrice])</f>
        <v>0.42000000000000004</v>
      </c>
      <c r="N911" t="str">
        <f>_xlfn.XLOOKUP(fSales[[#This Row],[SalesRepID]],dPSalesRep[SalesRepID],dPSalesRep[SalesRep])</f>
        <v>Smitty Rad</v>
      </c>
      <c r="O911" t="str">
        <f>_xlfn.XLOOKUP(fSales[[#This Row],[SalesRepID]],dPSalesRep[SalesRepID],dPSalesRep[Region])</f>
        <v>MidWest</v>
      </c>
      <c r="P911" t="str">
        <f>_xlfn.XLOOKUP(fSales[[#This Row],[ProductID]],dProduct[ProductID],dProduct[Product])</f>
        <v>Cherry</v>
      </c>
      <c r="Q911">
        <f>_xlfn.XLOOKUP(fSales[[#This Row],[ProductID]],dProduct[ProductID],dProduct[CratePrice])-_xlfn.XLOOKUP(fSales[[#This Row],[ProductID]],dProduct[ProductID],dProduct[CrateCost])</f>
        <v>18.354000000000003</v>
      </c>
      <c r="R911">
        <f>_xlfn.XLOOKUP(fSales[[#This Row],[ProductID]],dProduct[ProductID],dProduct[CratePrice])</f>
        <v>43.7</v>
      </c>
      <c r="S911">
        <f>_xlfn.XLOOKUP(fSales[[#This Row],[ProductID]],dProduct[ProductID],dProduct[CrateCost])</f>
        <v>25.346</v>
      </c>
    </row>
    <row r="912" spans="7:19" x14ac:dyDescent="0.25">
      <c r="G912" s="2">
        <v>45928</v>
      </c>
      <c r="H912">
        <v>300</v>
      </c>
      <c r="I912" t="s">
        <v>34</v>
      </c>
      <c r="J912" t="s">
        <v>52</v>
      </c>
      <c r="K912">
        <f>_xlfn.XLOOKUP(fSales[[#This Row],[ProductID]],dProduct[ProductID],dProduct[CratePrice])*fSales[[#This Row],[Units]]</f>
        <v>5250</v>
      </c>
      <c r="L912">
        <f>fSales[[#This Row],[Total sales]]-_xlfn.XLOOKUP(fSales[[#This Row],[ProductID]],dProduct[ProductID],dProduct[CrateCost])*fSales[[#This Row],[Units]]</f>
        <v>1732.4999999999995</v>
      </c>
      <c r="M912">
        <f>(_xlfn.XLOOKUP(fSales[[#This Row],[ProductID]],dProduct[ProductID],dProduct[CratePrice])-_xlfn.XLOOKUP(fSales[[#This Row],[ProductID]],dProduct[ProductID],dProduct[CrateCost]))/_xlfn.XLOOKUP(fSales[[#This Row],[ProductID]],dProduct[ProductID],dProduct[CratePrice])</f>
        <v>0.3299999999999999</v>
      </c>
      <c r="N912" t="str">
        <f>_xlfn.XLOOKUP(fSales[[#This Row],[SalesRepID]],dPSalesRep[SalesRepID],dPSalesRep[SalesRep])</f>
        <v>Smitty Rad</v>
      </c>
      <c r="O912" t="str">
        <f>_xlfn.XLOOKUP(fSales[[#This Row],[SalesRepID]],dPSalesRep[SalesRepID],dPSalesRep[Region])</f>
        <v>MidWest</v>
      </c>
      <c r="P912" t="str">
        <f>_xlfn.XLOOKUP(fSales[[#This Row],[ProductID]],dProduct[ProductID],dProduct[Product])</f>
        <v>Banana</v>
      </c>
      <c r="Q912">
        <f>_xlfn.XLOOKUP(fSales[[#This Row],[ProductID]],dProduct[ProductID],dProduct[CratePrice])-_xlfn.XLOOKUP(fSales[[#This Row],[ProductID]],dProduct[ProductID],dProduct[CrateCost])</f>
        <v>5.7749999999999986</v>
      </c>
      <c r="R912">
        <f>_xlfn.XLOOKUP(fSales[[#This Row],[ProductID]],dProduct[ProductID],dProduct[CratePrice])</f>
        <v>17.5</v>
      </c>
      <c r="S912">
        <f>_xlfn.XLOOKUP(fSales[[#This Row],[ProductID]],dProduct[ProductID],dProduct[CrateCost])</f>
        <v>11.725000000000001</v>
      </c>
    </row>
    <row r="913" spans="7:19" x14ac:dyDescent="0.25">
      <c r="G913" s="2">
        <v>45929</v>
      </c>
      <c r="H913">
        <v>156</v>
      </c>
      <c r="I913" t="s">
        <v>26</v>
      </c>
      <c r="J913" t="s">
        <v>22</v>
      </c>
      <c r="K913">
        <f>_xlfn.XLOOKUP(fSales[[#This Row],[ProductID]],dProduct[ProductID],dProduct[CratePrice])*fSales[[#This Row],[Units]]</f>
        <v>4641</v>
      </c>
      <c r="L913">
        <f>fSales[[#This Row],[Total sales]]-_xlfn.XLOOKUP(fSales[[#This Row],[ProductID]],dProduct[ProductID],dProduct[CrateCost])*fSales[[#This Row],[Units]]</f>
        <v>1949.2200000000003</v>
      </c>
      <c r="M913">
        <f>(_xlfn.XLOOKUP(fSales[[#This Row],[ProductID]],dProduct[ProductID],dProduct[CratePrice])-_xlfn.XLOOKUP(fSales[[#This Row],[ProductID]],dProduct[ProductID],dProduct[CrateCost]))/_xlfn.XLOOKUP(fSales[[#This Row],[ProductID]],dProduct[ProductID],dProduct[CratePrice])</f>
        <v>0.42000000000000004</v>
      </c>
      <c r="N913" t="str">
        <f>_xlfn.XLOOKUP(fSales[[#This Row],[SalesRepID]],dPSalesRep[SalesRepID],dPSalesRep[SalesRep])</f>
        <v>Timmy Kips</v>
      </c>
      <c r="O913" t="str">
        <f>_xlfn.XLOOKUP(fSales[[#This Row],[SalesRepID]],dPSalesRep[SalesRepID],dPSalesRep[Region])</f>
        <v>East</v>
      </c>
      <c r="P913" t="str">
        <f>_xlfn.XLOOKUP(fSales[[#This Row],[ProductID]],dProduct[ProductID],dProduct[Product])</f>
        <v>Orange</v>
      </c>
      <c r="Q913">
        <f>_xlfn.XLOOKUP(fSales[[#This Row],[ProductID]],dProduct[ProductID],dProduct[CratePrice])-_xlfn.XLOOKUP(fSales[[#This Row],[ProductID]],dProduct[ProductID],dProduct[CrateCost])</f>
        <v>12.495000000000001</v>
      </c>
      <c r="R913">
        <f>_xlfn.XLOOKUP(fSales[[#This Row],[ProductID]],dProduct[ProductID],dProduct[CratePrice])</f>
        <v>29.75</v>
      </c>
      <c r="S913">
        <f>_xlfn.XLOOKUP(fSales[[#This Row],[ProductID]],dProduct[ProductID],dProduct[CrateCost])</f>
        <v>17.254999999999999</v>
      </c>
    </row>
    <row r="914" spans="7:19" x14ac:dyDescent="0.25">
      <c r="G914" s="2">
        <v>45931</v>
      </c>
      <c r="H914">
        <v>60</v>
      </c>
      <c r="I914" t="s">
        <v>28</v>
      </c>
      <c r="J914" t="s">
        <v>29</v>
      </c>
      <c r="K914">
        <f>_xlfn.XLOOKUP(fSales[[#This Row],[ProductID]],dProduct[ProductID],dProduct[CratePrice])*fSales[[#This Row],[Units]]</f>
        <v>2622</v>
      </c>
      <c r="L914">
        <f>fSales[[#This Row],[Total sales]]-_xlfn.XLOOKUP(fSales[[#This Row],[ProductID]],dProduct[ProductID],dProduct[CrateCost])*fSales[[#This Row],[Units]]</f>
        <v>1101.24</v>
      </c>
      <c r="M914">
        <f>(_xlfn.XLOOKUP(fSales[[#This Row],[ProductID]],dProduct[ProductID],dProduct[CratePrice])-_xlfn.XLOOKUP(fSales[[#This Row],[ProductID]],dProduct[ProductID],dProduct[CrateCost]))/_xlfn.XLOOKUP(fSales[[#This Row],[ProductID]],dProduct[ProductID],dProduct[CratePrice])</f>
        <v>0.42000000000000004</v>
      </c>
      <c r="N914" t="str">
        <f>_xlfn.XLOOKUP(fSales[[#This Row],[SalesRepID]],dPSalesRep[SalesRepID],dPSalesRep[SalesRep])</f>
        <v>Sioux Best</v>
      </c>
      <c r="O914" t="str">
        <f>_xlfn.XLOOKUP(fSales[[#This Row],[SalesRepID]],dPSalesRep[SalesRepID],dPSalesRep[Region])</f>
        <v>West</v>
      </c>
      <c r="P914" t="str">
        <f>_xlfn.XLOOKUP(fSales[[#This Row],[ProductID]],dProduct[ProductID],dProduct[Product])</f>
        <v>Cherry</v>
      </c>
      <c r="Q914">
        <f>_xlfn.XLOOKUP(fSales[[#This Row],[ProductID]],dProduct[ProductID],dProduct[CratePrice])-_xlfn.XLOOKUP(fSales[[#This Row],[ProductID]],dProduct[ProductID],dProduct[CrateCost])</f>
        <v>18.354000000000003</v>
      </c>
      <c r="R914">
        <f>_xlfn.XLOOKUP(fSales[[#This Row],[ProductID]],dProduct[ProductID],dProduct[CratePrice])</f>
        <v>43.7</v>
      </c>
      <c r="S914">
        <f>_xlfn.XLOOKUP(fSales[[#This Row],[ProductID]],dProduct[ProductID],dProduct[CrateCost])</f>
        <v>25.346</v>
      </c>
    </row>
    <row r="915" spans="7:19" x14ac:dyDescent="0.25">
      <c r="G915" s="2">
        <v>45931</v>
      </c>
      <c r="H915">
        <v>264</v>
      </c>
      <c r="I915" t="s">
        <v>26</v>
      </c>
      <c r="J915" t="s">
        <v>29</v>
      </c>
      <c r="K915">
        <f>_xlfn.XLOOKUP(fSales[[#This Row],[ProductID]],dProduct[ProductID],dProduct[CratePrice])*fSales[[#This Row],[Units]]</f>
        <v>7854</v>
      </c>
      <c r="L915">
        <f>fSales[[#This Row],[Total sales]]-_xlfn.XLOOKUP(fSales[[#This Row],[ProductID]],dProduct[ProductID],dProduct[CrateCost])*fSales[[#This Row],[Units]]</f>
        <v>3298.6800000000003</v>
      </c>
      <c r="M915">
        <f>(_xlfn.XLOOKUP(fSales[[#This Row],[ProductID]],dProduct[ProductID],dProduct[CratePrice])-_xlfn.XLOOKUP(fSales[[#This Row],[ProductID]],dProduct[ProductID],dProduct[CrateCost]))/_xlfn.XLOOKUP(fSales[[#This Row],[ProductID]],dProduct[ProductID],dProduct[CratePrice])</f>
        <v>0.42000000000000004</v>
      </c>
      <c r="N915" t="str">
        <f>_xlfn.XLOOKUP(fSales[[#This Row],[SalesRepID]],dPSalesRep[SalesRepID],dPSalesRep[SalesRep])</f>
        <v>Sioux Best</v>
      </c>
      <c r="O915" t="str">
        <f>_xlfn.XLOOKUP(fSales[[#This Row],[SalesRepID]],dPSalesRep[SalesRepID],dPSalesRep[Region])</f>
        <v>West</v>
      </c>
      <c r="P915" t="str">
        <f>_xlfn.XLOOKUP(fSales[[#This Row],[ProductID]],dProduct[ProductID],dProduct[Product])</f>
        <v>Orange</v>
      </c>
      <c r="Q915">
        <f>_xlfn.XLOOKUP(fSales[[#This Row],[ProductID]],dProduct[ProductID],dProduct[CratePrice])-_xlfn.XLOOKUP(fSales[[#This Row],[ProductID]],dProduct[ProductID],dProduct[CrateCost])</f>
        <v>12.495000000000001</v>
      </c>
      <c r="R915">
        <f>_xlfn.XLOOKUP(fSales[[#This Row],[ProductID]],dProduct[ProductID],dProduct[CratePrice])</f>
        <v>29.75</v>
      </c>
      <c r="S915">
        <f>_xlfn.XLOOKUP(fSales[[#This Row],[ProductID]],dProduct[ProductID],dProduct[CrateCost])</f>
        <v>17.254999999999999</v>
      </c>
    </row>
    <row r="916" spans="7:19" x14ac:dyDescent="0.25">
      <c r="G916" s="2">
        <v>45934</v>
      </c>
      <c r="H916">
        <v>144</v>
      </c>
      <c r="I916" t="s">
        <v>34</v>
      </c>
      <c r="J916" t="s">
        <v>52</v>
      </c>
      <c r="K916">
        <f>_xlfn.XLOOKUP(fSales[[#This Row],[ProductID]],dProduct[ProductID],dProduct[CratePrice])*fSales[[#This Row],[Units]]</f>
        <v>2520</v>
      </c>
      <c r="L916">
        <f>fSales[[#This Row],[Total sales]]-_xlfn.XLOOKUP(fSales[[#This Row],[ProductID]],dProduct[ProductID],dProduct[CrateCost])*fSales[[#This Row],[Units]]</f>
        <v>831.59999999999991</v>
      </c>
      <c r="M916">
        <f>(_xlfn.XLOOKUP(fSales[[#This Row],[ProductID]],dProduct[ProductID],dProduct[CratePrice])-_xlfn.XLOOKUP(fSales[[#This Row],[ProductID]],dProduct[ProductID],dProduct[CrateCost]))/_xlfn.XLOOKUP(fSales[[#This Row],[ProductID]],dProduct[ProductID],dProduct[CratePrice])</f>
        <v>0.3299999999999999</v>
      </c>
      <c r="N916" t="str">
        <f>_xlfn.XLOOKUP(fSales[[#This Row],[SalesRepID]],dPSalesRep[SalesRepID],dPSalesRep[SalesRep])</f>
        <v>Smitty Rad</v>
      </c>
      <c r="O916" t="str">
        <f>_xlfn.XLOOKUP(fSales[[#This Row],[SalesRepID]],dPSalesRep[SalesRepID],dPSalesRep[Region])</f>
        <v>MidWest</v>
      </c>
      <c r="P916" t="str">
        <f>_xlfn.XLOOKUP(fSales[[#This Row],[ProductID]],dProduct[ProductID],dProduct[Product])</f>
        <v>Banana</v>
      </c>
      <c r="Q916">
        <f>_xlfn.XLOOKUP(fSales[[#This Row],[ProductID]],dProduct[ProductID],dProduct[CratePrice])-_xlfn.XLOOKUP(fSales[[#This Row],[ProductID]],dProduct[ProductID],dProduct[CrateCost])</f>
        <v>5.7749999999999986</v>
      </c>
      <c r="R916">
        <f>_xlfn.XLOOKUP(fSales[[#This Row],[ProductID]],dProduct[ProductID],dProduct[CratePrice])</f>
        <v>17.5</v>
      </c>
      <c r="S916">
        <f>_xlfn.XLOOKUP(fSales[[#This Row],[ProductID]],dProduct[ProductID],dProduct[CrateCost])</f>
        <v>11.725000000000001</v>
      </c>
    </row>
    <row r="917" spans="7:19" x14ac:dyDescent="0.25">
      <c r="G917" s="2">
        <v>45934</v>
      </c>
      <c r="H917">
        <v>96</v>
      </c>
      <c r="I917" t="s">
        <v>21</v>
      </c>
      <c r="J917" t="s">
        <v>29</v>
      </c>
      <c r="K917">
        <f>_xlfn.XLOOKUP(fSales[[#This Row],[ProductID]],dProduct[ProductID],dProduct[CratePrice])*fSales[[#This Row],[Units]]</f>
        <v>2160</v>
      </c>
      <c r="L917">
        <f>fSales[[#This Row],[Total sales]]-_xlfn.XLOOKUP(fSales[[#This Row],[ProductID]],dProduct[ProductID],dProduct[CrateCost])*fSales[[#This Row],[Units]]</f>
        <v>950.39999999999986</v>
      </c>
      <c r="M917">
        <f>(_xlfn.XLOOKUP(fSales[[#This Row],[ProductID]],dProduct[ProductID],dProduct[CratePrice])-_xlfn.XLOOKUP(fSales[[#This Row],[ProductID]],dProduct[ProductID],dProduct[CrateCost]))/_xlfn.XLOOKUP(fSales[[#This Row],[ProductID]],dProduct[ProductID],dProduct[CratePrice])</f>
        <v>0.43999999999999995</v>
      </c>
      <c r="N917" t="str">
        <f>_xlfn.XLOOKUP(fSales[[#This Row],[SalesRepID]],dPSalesRep[SalesRepID],dPSalesRep[SalesRep])</f>
        <v>Sioux Best</v>
      </c>
      <c r="O917" t="str">
        <f>_xlfn.XLOOKUP(fSales[[#This Row],[SalesRepID]],dPSalesRep[SalesRepID],dPSalesRep[Region])</f>
        <v>West</v>
      </c>
      <c r="P917" t="str">
        <f>_xlfn.XLOOKUP(fSales[[#This Row],[ProductID]],dProduct[ProductID],dProduct[Product])</f>
        <v>Kiwi</v>
      </c>
      <c r="Q917">
        <f>_xlfn.XLOOKUP(fSales[[#This Row],[ProductID]],dProduct[ProductID],dProduct[CratePrice])-_xlfn.XLOOKUP(fSales[[#This Row],[ProductID]],dProduct[ProductID],dProduct[CrateCost])</f>
        <v>9.8999999999999986</v>
      </c>
      <c r="R917">
        <f>_xlfn.XLOOKUP(fSales[[#This Row],[ProductID]],dProduct[ProductID],dProduct[CratePrice])</f>
        <v>22.5</v>
      </c>
      <c r="S917">
        <f>_xlfn.XLOOKUP(fSales[[#This Row],[ProductID]],dProduct[ProductID],dProduct[CrateCost])</f>
        <v>12.600000000000001</v>
      </c>
    </row>
    <row r="918" spans="7:19" x14ac:dyDescent="0.25">
      <c r="G918" s="2">
        <v>45934</v>
      </c>
      <c r="H918">
        <v>60</v>
      </c>
      <c r="I918" t="s">
        <v>28</v>
      </c>
      <c r="J918" t="s">
        <v>29</v>
      </c>
      <c r="K918">
        <f>_xlfn.XLOOKUP(fSales[[#This Row],[ProductID]],dProduct[ProductID],dProduct[CratePrice])*fSales[[#This Row],[Units]]</f>
        <v>2622</v>
      </c>
      <c r="L918">
        <f>fSales[[#This Row],[Total sales]]-_xlfn.XLOOKUP(fSales[[#This Row],[ProductID]],dProduct[ProductID],dProduct[CrateCost])*fSales[[#This Row],[Units]]</f>
        <v>1101.24</v>
      </c>
      <c r="M918">
        <f>(_xlfn.XLOOKUP(fSales[[#This Row],[ProductID]],dProduct[ProductID],dProduct[CratePrice])-_xlfn.XLOOKUP(fSales[[#This Row],[ProductID]],dProduct[ProductID],dProduct[CrateCost]))/_xlfn.XLOOKUP(fSales[[#This Row],[ProductID]],dProduct[ProductID],dProduct[CratePrice])</f>
        <v>0.42000000000000004</v>
      </c>
      <c r="N918" t="str">
        <f>_xlfn.XLOOKUP(fSales[[#This Row],[SalesRepID]],dPSalesRep[SalesRepID],dPSalesRep[SalesRep])</f>
        <v>Sioux Best</v>
      </c>
      <c r="O918" t="str">
        <f>_xlfn.XLOOKUP(fSales[[#This Row],[SalesRepID]],dPSalesRep[SalesRepID],dPSalesRep[Region])</f>
        <v>West</v>
      </c>
      <c r="P918" t="str">
        <f>_xlfn.XLOOKUP(fSales[[#This Row],[ProductID]],dProduct[ProductID],dProduct[Product])</f>
        <v>Cherry</v>
      </c>
      <c r="Q918">
        <f>_xlfn.XLOOKUP(fSales[[#This Row],[ProductID]],dProduct[ProductID],dProduct[CratePrice])-_xlfn.XLOOKUP(fSales[[#This Row],[ProductID]],dProduct[ProductID],dProduct[CrateCost])</f>
        <v>18.354000000000003</v>
      </c>
      <c r="R918">
        <f>_xlfn.XLOOKUP(fSales[[#This Row],[ProductID]],dProduct[ProductID],dProduct[CratePrice])</f>
        <v>43.7</v>
      </c>
      <c r="S918">
        <f>_xlfn.XLOOKUP(fSales[[#This Row],[ProductID]],dProduct[ProductID],dProduct[CrateCost])</f>
        <v>25.346</v>
      </c>
    </row>
    <row r="919" spans="7:19" x14ac:dyDescent="0.25">
      <c r="G919" s="2">
        <v>45936</v>
      </c>
      <c r="H919">
        <v>216</v>
      </c>
      <c r="I919" t="s">
        <v>34</v>
      </c>
      <c r="J919" t="s">
        <v>32</v>
      </c>
      <c r="K919">
        <f>_xlfn.XLOOKUP(fSales[[#This Row],[ProductID]],dProduct[ProductID],dProduct[CratePrice])*fSales[[#This Row],[Units]]</f>
        <v>3780</v>
      </c>
      <c r="L919">
        <f>fSales[[#This Row],[Total sales]]-_xlfn.XLOOKUP(fSales[[#This Row],[ProductID]],dProduct[ProductID],dProduct[CrateCost])*fSales[[#This Row],[Units]]</f>
        <v>1247.3999999999996</v>
      </c>
      <c r="M919">
        <f>(_xlfn.XLOOKUP(fSales[[#This Row],[ProductID]],dProduct[ProductID],dProduct[CratePrice])-_xlfn.XLOOKUP(fSales[[#This Row],[ProductID]],dProduct[ProductID],dProduct[CrateCost]))/_xlfn.XLOOKUP(fSales[[#This Row],[ProductID]],dProduct[ProductID],dProduct[CratePrice])</f>
        <v>0.3299999999999999</v>
      </c>
      <c r="N919" t="str">
        <f>_xlfn.XLOOKUP(fSales[[#This Row],[SalesRepID]],dPSalesRep[SalesRepID],dPSalesRep[SalesRep])</f>
        <v>Shihara Fazzaa</v>
      </c>
      <c r="O919" t="str">
        <f>_xlfn.XLOOKUP(fSales[[#This Row],[SalesRepID]],dPSalesRep[SalesRepID],dPSalesRep[Region])</f>
        <v>East</v>
      </c>
      <c r="P919" t="str">
        <f>_xlfn.XLOOKUP(fSales[[#This Row],[ProductID]],dProduct[ProductID],dProduct[Product])</f>
        <v>Banana</v>
      </c>
      <c r="Q919">
        <f>_xlfn.XLOOKUP(fSales[[#This Row],[ProductID]],dProduct[ProductID],dProduct[CratePrice])-_xlfn.XLOOKUP(fSales[[#This Row],[ProductID]],dProduct[ProductID],dProduct[CrateCost])</f>
        <v>5.7749999999999986</v>
      </c>
      <c r="R919">
        <f>_xlfn.XLOOKUP(fSales[[#This Row],[ProductID]],dProduct[ProductID],dProduct[CratePrice])</f>
        <v>17.5</v>
      </c>
      <c r="S919">
        <f>_xlfn.XLOOKUP(fSales[[#This Row],[ProductID]],dProduct[ProductID],dProduct[CrateCost])</f>
        <v>11.725000000000001</v>
      </c>
    </row>
    <row r="920" spans="7:19" x14ac:dyDescent="0.25">
      <c r="G920" s="2">
        <v>45936</v>
      </c>
      <c r="H920">
        <v>72</v>
      </c>
      <c r="I920" t="s">
        <v>34</v>
      </c>
      <c r="J920" t="s">
        <v>32</v>
      </c>
      <c r="K920">
        <f>_xlfn.XLOOKUP(fSales[[#This Row],[ProductID]],dProduct[ProductID],dProduct[CratePrice])*fSales[[#This Row],[Units]]</f>
        <v>1260</v>
      </c>
      <c r="L920">
        <f>fSales[[#This Row],[Total sales]]-_xlfn.XLOOKUP(fSales[[#This Row],[ProductID]],dProduct[ProductID],dProduct[CrateCost])*fSales[[#This Row],[Units]]</f>
        <v>415.79999999999995</v>
      </c>
      <c r="M920">
        <f>(_xlfn.XLOOKUP(fSales[[#This Row],[ProductID]],dProduct[ProductID],dProduct[CratePrice])-_xlfn.XLOOKUP(fSales[[#This Row],[ProductID]],dProduct[ProductID],dProduct[CrateCost]))/_xlfn.XLOOKUP(fSales[[#This Row],[ProductID]],dProduct[ProductID],dProduct[CratePrice])</f>
        <v>0.3299999999999999</v>
      </c>
      <c r="N920" t="str">
        <f>_xlfn.XLOOKUP(fSales[[#This Row],[SalesRepID]],dPSalesRep[SalesRepID],dPSalesRep[SalesRep])</f>
        <v>Shihara Fazzaa</v>
      </c>
      <c r="O920" t="str">
        <f>_xlfn.XLOOKUP(fSales[[#This Row],[SalesRepID]],dPSalesRep[SalesRepID],dPSalesRep[Region])</f>
        <v>East</v>
      </c>
      <c r="P920" t="str">
        <f>_xlfn.XLOOKUP(fSales[[#This Row],[ProductID]],dProduct[ProductID],dProduct[Product])</f>
        <v>Banana</v>
      </c>
      <c r="Q920">
        <f>_xlfn.XLOOKUP(fSales[[#This Row],[ProductID]],dProduct[ProductID],dProduct[CratePrice])-_xlfn.XLOOKUP(fSales[[#This Row],[ProductID]],dProduct[ProductID],dProduct[CrateCost])</f>
        <v>5.7749999999999986</v>
      </c>
      <c r="R920">
        <f>_xlfn.XLOOKUP(fSales[[#This Row],[ProductID]],dProduct[ProductID],dProduct[CratePrice])</f>
        <v>17.5</v>
      </c>
      <c r="S920">
        <f>_xlfn.XLOOKUP(fSales[[#This Row],[ProductID]],dProduct[ProductID],dProduct[CrateCost])</f>
        <v>11.725000000000001</v>
      </c>
    </row>
    <row r="921" spans="7:19" x14ac:dyDescent="0.25">
      <c r="G921" s="2">
        <v>45937</v>
      </c>
      <c r="H921">
        <v>192</v>
      </c>
      <c r="I921" t="s">
        <v>26</v>
      </c>
      <c r="J921" t="s">
        <v>22</v>
      </c>
      <c r="K921">
        <f>_xlfn.XLOOKUP(fSales[[#This Row],[ProductID]],dProduct[ProductID],dProduct[CratePrice])*fSales[[#This Row],[Units]]</f>
        <v>5712</v>
      </c>
      <c r="L921">
        <f>fSales[[#This Row],[Total sales]]-_xlfn.XLOOKUP(fSales[[#This Row],[ProductID]],dProduct[ProductID],dProduct[CrateCost])*fSales[[#This Row],[Units]]</f>
        <v>2399.04</v>
      </c>
      <c r="M921">
        <f>(_xlfn.XLOOKUP(fSales[[#This Row],[ProductID]],dProduct[ProductID],dProduct[CratePrice])-_xlfn.XLOOKUP(fSales[[#This Row],[ProductID]],dProduct[ProductID],dProduct[CrateCost]))/_xlfn.XLOOKUP(fSales[[#This Row],[ProductID]],dProduct[ProductID],dProduct[CratePrice])</f>
        <v>0.42000000000000004</v>
      </c>
      <c r="N921" t="str">
        <f>_xlfn.XLOOKUP(fSales[[#This Row],[SalesRepID]],dPSalesRep[SalesRepID],dPSalesRep[SalesRep])</f>
        <v>Timmy Kips</v>
      </c>
      <c r="O921" t="str">
        <f>_xlfn.XLOOKUP(fSales[[#This Row],[SalesRepID]],dPSalesRep[SalesRepID],dPSalesRep[Region])</f>
        <v>East</v>
      </c>
      <c r="P921" t="str">
        <f>_xlfn.XLOOKUP(fSales[[#This Row],[ProductID]],dProduct[ProductID],dProduct[Product])</f>
        <v>Orange</v>
      </c>
      <c r="Q921">
        <f>_xlfn.XLOOKUP(fSales[[#This Row],[ProductID]],dProduct[ProductID],dProduct[CratePrice])-_xlfn.XLOOKUP(fSales[[#This Row],[ProductID]],dProduct[ProductID],dProduct[CrateCost])</f>
        <v>12.495000000000001</v>
      </c>
      <c r="R921">
        <f>_xlfn.XLOOKUP(fSales[[#This Row],[ProductID]],dProduct[ProductID],dProduct[CratePrice])</f>
        <v>29.75</v>
      </c>
      <c r="S921">
        <f>_xlfn.XLOOKUP(fSales[[#This Row],[ProductID]],dProduct[ProductID],dProduct[CrateCost])</f>
        <v>17.254999999999999</v>
      </c>
    </row>
    <row r="922" spans="7:19" x14ac:dyDescent="0.25">
      <c r="G922" s="2">
        <v>45937</v>
      </c>
      <c r="H922">
        <v>264</v>
      </c>
      <c r="I922" t="s">
        <v>28</v>
      </c>
      <c r="J922" t="s">
        <v>37</v>
      </c>
      <c r="K922">
        <f>_xlfn.XLOOKUP(fSales[[#This Row],[ProductID]],dProduct[ProductID],dProduct[CratePrice])*fSales[[#This Row],[Units]]</f>
        <v>11536.800000000001</v>
      </c>
      <c r="L922">
        <f>fSales[[#This Row],[Total sales]]-_xlfn.XLOOKUP(fSales[[#This Row],[ProductID]],dProduct[ProductID],dProduct[CrateCost])*fSales[[#This Row],[Units]]</f>
        <v>4845.456000000001</v>
      </c>
      <c r="M922">
        <f>(_xlfn.XLOOKUP(fSales[[#This Row],[ProductID]],dProduct[ProductID],dProduct[CratePrice])-_xlfn.XLOOKUP(fSales[[#This Row],[ProductID]],dProduct[ProductID],dProduct[CrateCost]))/_xlfn.XLOOKUP(fSales[[#This Row],[ProductID]],dProduct[ProductID],dProduct[CratePrice])</f>
        <v>0.42000000000000004</v>
      </c>
      <c r="N922" t="str">
        <f>_xlfn.XLOOKUP(fSales[[#This Row],[SalesRepID]],dPSalesRep[SalesRepID],dPSalesRep[SalesRep])</f>
        <v>Chantel Mims</v>
      </c>
      <c r="O922" t="str">
        <f>_xlfn.XLOOKUP(fSales[[#This Row],[SalesRepID]],dPSalesRep[SalesRepID],dPSalesRep[Region])</f>
        <v>NW</v>
      </c>
      <c r="P922" t="str">
        <f>_xlfn.XLOOKUP(fSales[[#This Row],[ProductID]],dProduct[ProductID],dProduct[Product])</f>
        <v>Cherry</v>
      </c>
      <c r="Q922">
        <f>_xlfn.XLOOKUP(fSales[[#This Row],[ProductID]],dProduct[ProductID],dProduct[CratePrice])-_xlfn.XLOOKUP(fSales[[#This Row],[ProductID]],dProduct[ProductID],dProduct[CrateCost])</f>
        <v>18.354000000000003</v>
      </c>
      <c r="R922">
        <f>_xlfn.XLOOKUP(fSales[[#This Row],[ProductID]],dProduct[ProductID],dProduct[CratePrice])</f>
        <v>43.7</v>
      </c>
      <c r="S922">
        <f>_xlfn.XLOOKUP(fSales[[#This Row],[ProductID]],dProduct[ProductID],dProduct[CrateCost])</f>
        <v>25.346</v>
      </c>
    </row>
    <row r="923" spans="7:19" x14ac:dyDescent="0.25">
      <c r="G923" s="2">
        <v>45938</v>
      </c>
      <c r="H923">
        <v>24</v>
      </c>
      <c r="I923" t="s">
        <v>21</v>
      </c>
      <c r="J923" t="s">
        <v>52</v>
      </c>
      <c r="K923">
        <f>_xlfn.XLOOKUP(fSales[[#This Row],[ProductID]],dProduct[ProductID],dProduct[CratePrice])*fSales[[#This Row],[Units]]</f>
        <v>540</v>
      </c>
      <c r="L923">
        <f>fSales[[#This Row],[Total sales]]-_xlfn.XLOOKUP(fSales[[#This Row],[ProductID]],dProduct[ProductID],dProduct[CrateCost])*fSales[[#This Row],[Units]]</f>
        <v>237.59999999999997</v>
      </c>
      <c r="M923">
        <f>(_xlfn.XLOOKUP(fSales[[#This Row],[ProductID]],dProduct[ProductID],dProduct[CratePrice])-_xlfn.XLOOKUP(fSales[[#This Row],[ProductID]],dProduct[ProductID],dProduct[CrateCost]))/_xlfn.XLOOKUP(fSales[[#This Row],[ProductID]],dProduct[ProductID],dProduct[CratePrice])</f>
        <v>0.43999999999999995</v>
      </c>
      <c r="N923" t="str">
        <f>_xlfn.XLOOKUP(fSales[[#This Row],[SalesRepID]],dPSalesRep[SalesRepID],dPSalesRep[SalesRep])</f>
        <v>Smitty Rad</v>
      </c>
      <c r="O923" t="str">
        <f>_xlfn.XLOOKUP(fSales[[#This Row],[SalesRepID]],dPSalesRep[SalesRepID],dPSalesRep[Region])</f>
        <v>MidWest</v>
      </c>
      <c r="P923" t="str">
        <f>_xlfn.XLOOKUP(fSales[[#This Row],[ProductID]],dProduct[ProductID],dProduct[Product])</f>
        <v>Kiwi</v>
      </c>
      <c r="Q923">
        <f>_xlfn.XLOOKUP(fSales[[#This Row],[ProductID]],dProduct[ProductID],dProduct[CratePrice])-_xlfn.XLOOKUP(fSales[[#This Row],[ProductID]],dProduct[ProductID],dProduct[CrateCost])</f>
        <v>9.8999999999999986</v>
      </c>
      <c r="R923">
        <f>_xlfn.XLOOKUP(fSales[[#This Row],[ProductID]],dProduct[ProductID],dProduct[CratePrice])</f>
        <v>22.5</v>
      </c>
      <c r="S923">
        <f>_xlfn.XLOOKUP(fSales[[#This Row],[ProductID]],dProduct[ProductID],dProduct[CrateCost])</f>
        <v>12.600000000000001</v>
      </c>
    </row>
    <row r="924" spans="7:19" x14ac:dyDescent="0.25">
      <c r="G924" s="2">
        <v>45938</v>
      </c>
      <c r="H924">
        <v>276</v>
      </c>
      <c r="I924" t="s">
        <v>21</v>
      </c>
      <c r="J924" t="s">
        <v>22</v>
      </c>
      <c r="K924">
        <f>_xlfn.XLOOKUP(fSales[[#This Row],[ProductID]],dProduct[ProductID],dProduct[CratePrice])*fSales[[#This Row],[Units]]</f>
        <v>6210</v>
      </c>
      <c r="L924">
        <f>fSales[[#This Row],[Total sales]]-_xlfn.XLOOKUP(fSales[[#This Row],[ProductID]],dProduct[ProductID],dProduct[CrateCost])*fSales[[#This Row],[Units]]</f>
        <v>2732.3999999999996</v>
      </c>
      <c r="M924">
        <f>(_xlfn.XLOOKUP(fSales[[#This Row],[ProductID]],dProduct[ProductID],dProduct[CratePrice])-_xlfn.XLOOKUP(fSales[[#This Row],[ProductID]],dProduct[ProductID],dProduct[CrateCost]))/_xlfn.XLOOKUP(fSales[[#This Row],[ProductID]],dProduct[ProductID],dProduct[CratePrice])</f>
        <v>0.43999999999999995</v>
      </c>
      <c r="N924" t="str">
        <f>_xlfn.XLOOKUP(fSales[[#This Row],[SalesRepID]],dPSalesRep[SalesRepID],dPSalesRep[SalesRep])</f>
        <v>Timmy Kips</v>
      </c>
      <c r="O924" t="str">
        <f>_xlfn.XLOOKUP(fSales[[#This Row],[SalesRepID]],dPSalesRep[SalesRepID],dPSalesRep[Region])</f>
        <v>East</v>
      </c>
      <c r="P924" t="str">
        <f>_xlfn.XLOOKUP(fSales[[#This Row],[ProductID]],dProduct[ProductID],dProduct[Product])</f>
        <v>Kiwi</v>
      </c>
      <c r="Q924">
        <f>_xlfn.XLOOKUP(fSales[[#This Row],[ProductID]],dProduct[ProductID],dProduct[CratePrice])-_xlfn.XLOOKUP(fSales[[#This Row],[ProductID]],dProduct[ProductID],dProduct[CrateCost])</f>
        <v>9.8999999999999986</v>
      </c>
      <c r="R924">
        <f>_xlfn.XLOOKUP(fSales[[#This Row],[ProductID]],dProduct[ProductID],dProduct[CratePrice])</f>
        <v>22.5</v>
      </c>
      <c r="S924">
        <f>_xlfn.XLOOKUP(fSales[[#This Row],[ProductID]],dProduct[ProductID],dProduct[CrateCost])</f>
        <v>12.600000000000001</v>
      </c>
    </row>
    <row r="925" spans="7:19" x14ac:dyDescent="0.25">
      <c r="G925" s="2">
        <v>45939</v>
      </c>
      <c r="H925">
        <v>36</v>
      </c>
      <c r="I925" t="s">
        <v>34</v>
      </c>
      <c r="J925" t="s">
        <v>29</v>
      </c>
      <c r="K925">
        <f>_xlfn.XLOOKUP(fSales[[#This Row],[ProductID]],dProduct[ProductID],dProduct[CratePrice])*fSales[[#This Row],[Units]]</f>
        <v>630</v>
      </c>
      <c r="L925">
        <f>fSales[[#This Row],[Total sales]]-_xlfn.XLOOKUP(fSales[[#This Row],[ProductID]],dProduct[ProductID],dProduct[CrateCost])*fSales[[#This Row],[Units]]</f>
        <v>207.89999999999998</v>
      </c>
      <c r="M925">
        <f>(_xlfn.XLOOKUP(fSales[[#This Row],[ProductID]],dProduct[ProductID],dProduct[CratePrice])-_xlfn.XLOOKUP(fSales[[#This Row],[ProductID]],dProduct[ProductID],dProduct[CrateCost]))/_xlfn.XLOOKUP(fSales[[#This Row],[ProductID]],dProduct[ProductID],dProduct[CratePrice])</f>
        <v>0.3299999999999999</v>
      </c>
      <c r="N925" t="str">
        <f>_xlfn.XLOOKUP(fSales[[#This Row],[SalesRepID]],dPSalesRep[SalesRepID],dPSalesRep[SalesRep])</f>
        <v>Sioux Best</v>
      </c>
      <c r="O925" t="str">
        <f>_xlfn.XLOOKUP(fSales[[#This Row],[SalesRepID]],dPSalesRep[SalesRepID],dPSalesRep[Region])</f>
        <v>West</v>
      </c>
      <c r="P925" t="str">
        <f>_xlfn.XLOOKUP(fSales[[#This Row],[ProductID]],dProduct[ProductID],dProduct[Product])</f>
        <v>Banana</v>
      </c>
      <c r="Q925">
        <f>_xlfn.XLOOKUP(fSales[[#This Row],[ProductID]],dProduct[ProductID],dProduct[CratePrice])-_xlfn.XLOOKUP(fSales[[#This Row],[ProductID]],dProduct[ProductID],dProduct[CrateCost])</f>
        <v>5.7749999999999986</v>
      </c>
      <c r="R925">
        <f>_xlfn.XLOOKUP(fSales[[#This Row],[ProductID]],dProduct[ProductID],dProduct[CratePrice])</f>
        <v>17.5</v>
      </c>
      <c r="S925">
        <f>_xlfn.XLOOKUP(fSales[[#This Row],[ProductID]],dProduct[ProductID],dProduct[CrateCost])</f>
        <v>11.725000000000001</v>
      </c>
    </row>
    <row r="926" spans="7:19" x14ac:dyDescent="0.25">
      <c r="G926" s="2">
        <v>45939</v>
      </c>
      <c r="H926">
        <v>276</v>
      </c>
      <c r="I926" t="s">
        <v>26</v>
      </c>
      <c r="J926" t="s">
        <v>22</v>
      </c>
      <c r="K926">
        <f>_xlfn.XLOOKUP(fSales[[#This Row],[ProductID]],dProduct[ProductID],dProduct[CratePrice])*fSales[[#This Row],[Units]]</f>
        <v>8211</v>
      </c>
      <c r="L926">
        <f>fSales[[#This Row],[Total sales]]-_xlfn.XLOOKUP(fSales[[#This Row],[ProductID]],dProduct[ProductID],dProduct[CrateCost])*fSales[[#This Row],[Units]]</f>
        <v>3448.62</v>
      </c>
      <c r="M926">
        <f>(_xlfn.XLOOKUP(fSales[[#This Row],[ProductID]],dProduct[ProductID],dProduct[CratePrice])-_xlfn.XLOOKUP(fSales[[#This Row],[ProductID]],dProduct[ProductID],dProduct[CrateCost]))/_xlfn.XLOOKUP(fSales[[#This Row],[ProductID]],dProduct[ProductID],dProduct[CratePrice])</f>
        <v>0.42000000000000004</v>
      </c>
      <c r="N926" t="str">
        <f>_xlfn.XLOOKUP(fSales[[#This Row],[SalesRepID]],dPSalesRep[SalesRepID],dPSalesRep[SalesRep])</f>
        <v>Timmy Kips</v>
      </c>
      <c r="O926" t="str">
        <f>_xlfn.XLOOKUP(fSales[[#This Row],[SalesRepID]],dPSalesRep[SalesRepID],dPSalesRep[Region])</f>
        <v>East</v>
      </c>
      <c r="P926" t="str">
        <f>_xlfn.XLOOKUP(fSales[[#This Row],[ProductID]],dProduct[ProductID],dProduct[Product])</f>
        <v>Orange</v>
      </c>
      <c r="Q926">
        <f>_xlfn.XLOOKUP(fSales[[#This Row],[ProductID]],dProduct[ProductID],dProduct[CratePrice])-_xlfn.XLOOKUP(fSales[[#This Row],[ProductID]],dProduct[ProductID],dProduct[CrateCost])</f>
        <v>12.495000000000001</v>
      </c>
      <c r="R926">
        <f>_xlfn.XLOOKUP(fSales[[#This Row],[ProductID]],dProduct[ProductID],dProduct[CratePrice])</f>
        <v>29.75</v>
      </c>
      <c r="S926">
        <f>_xlfn.XLOOKUP(fSales[[#This Row],[ProductID]],dProduct[ProductID],dProduct[CrateCost])</f>
        <v>17.254999999999999</v>
      </c>
    </row>
    <row r="927" spans="7:19" x14ac:dyDescent="0.25">
      <c r="G927" s="2">
        <v>45939</v>
      </c>
      <c r="H927">
        <v>228</v>
      </c>
      <c r="I927" t="s">
        <v>34</v>
      </c>
      <c r="J927" t="s">
        <v>22</v>
      </c>
      <c r="K927">
        <f>_xlfn.XLOOKUP(fSales[[#This Row],[ProductID]],dProduct[ProductID],dProduct[CratePrice])*fSales[[#This Row],[Units]]</f>
        <v>3990</v>
      </c>
      <c r="L927">
        <f>fSales[[#This Row],[Total sales]]-_xlfn.XLOOKUP(fSales[[#This Row],[ProductID]],dProduct[ProductID],dProduct[CrateCost])*fSales[[#This Row],[Units]]</f>
        <v>1316.6999999999998</v>
      </c>
      <c r="M927">
        <f>(_xlfn.XLOOKUP(fSales[[#This Row],[ProductID]],dProduct[ProductID],dProduct[CratePrice])-_xlfn.XLOOKUP(fSales[[#This Row],[ProductID]],dProduct[ProductID],dProduct[CrateCost]))/_xlfn.XLOOKUP(fSales[[#This Row],[ProductID]],dProduct[ProductID],dProduct[CratePrice])</f>
        <v>0.3299999999999999</v>
      </c>
      <c r="N927" t="str">
        <f>_xlfn.XLOOKUP(fSales[[#This Row],[SalesRepID]],dPSalesRep[SalesRepID],dPSalesRep[SalesRep])</f>
        <v>Timmy Kips</v>
      </c>
      <c r="O927" t="str">
        <f>_xlfn.XLOOKUP(fSales[[#This Row],[SalesRepID]],dPSalesRep[SalesRepID],dPSalesRep[Region])</f>
        <v>East</v>
      </c>
      <c r="P927" t="str">
        <f>_xlfn.XLOOKUP(fSales[[#This Row],[ProductID]],dProduct[ProductID],dProduct[Product])</f>
        <v>Banana</v>
      </c>
      <c r="Q927">
        <f>_xlfn.XLOOKUP(fSales[[#This Row],[ProductID]],dProduct[ProductID],dProduct[CratePrice])-_xlfn.XLOOKUP(fSales[[#This Row],[ProductID]],dProduct[ProductID],dProduct[CrateCost])</f>
        <v>5.7749999999999986</v>
      </c>
      <c r="R927">
        <f>_xlfn.XLOOKUP(fSales[[#This Row],[ProductID]],dProduct[ProductID],dProduct[CratePrice])</f>
        <v>17.5</v>
      </c>
      <c r="S927">
        <f>_xlfn.XLOOKUP(fSales[[#This Row],[ProductID]],dProduct[ProductID],dProduct[CrateCost])</f>
        <v>11.725000000000001</v>
      </c>
    </row>
    <row r="928" spans="7:19" x14ac:dyDescent="0.25">
      <c r="G928" s="2">
        <v>45941</v>
      </c>
      <c r="H928">
        <v>288</v>
      </c>
      <c r="I928" t="s">
        <v>19</v>
      </c>
      <c r="J928" t="s">
        <v>29</v>
      </c>
      <c r="K928">
        <f>_xlfn.XLOOKUP(fSales[[#This Row],[ProductID]],dProduct[ProductID],dProduct[CratePrice])*fSales[[#This Row],[Units]]</f>
        <v>10080</v>
      </c>
      <c r="L928">
        <f>fSales[[#This Row],[Total sales]]-_xlfn.XLOOKUP(fSales[[#This Row],[ProductID]],dProduct[ProductID],dProduct[CrateCost])*fSales[[#This Row],[Units]]</f>
        <v>5644.8</v>
      </c>
      <c r="M928">
        <f>(_xlfn.XLOOKUP(fSales[[#This Row],[ProductID]],dProduct[ProductID],dProduct[CratePrice])-_xlfn.XLOOKUP(fSales[[#This Row],[ProductID]],dProduct[ProductID],dProduct[CrateCost]))/_xlfn.XLOOKUP(fSales[[#This Row],[ProductID]],dProduct[ProductID],dProduct[CratePrice])</f>
        <v>0.56000000000000005</v>
      </c>
      <c r="N928" t="str">
        <f>_xlfn.XLOOKUP(fSales[[#This Row],[SalesRepID]],dPSalesRep[SalesRepID],dPSalesRep[SalesRep])</f>
        <v>Sioux Best</v>
      </c>
      <c r="O928" t="str">
        <f>_xlfn.XLOOKUP(fSales[[#This Row],[SalesRepID]],dPSalesRep[SalesRepID],dPSalesRep[Region])</f>
        <v>West</v>
      </c>
      <c r="P928" t="str">
        <f>_xlfn.XLOOKUP(fSales[[#This Row],[ProductID]],dProduct[ProductID],dProduct[Product])</f>
        <v>Apple</v>
      </c>
      <c r="Q928">
        <f>_xlfn.XLOOKUP(fSales[[#This Row],[ProductID]],dProduct[ProductID],dProduct[CratePrice])-_xlfn.XLOOKUP(fSales[[#This Row],[ProductID]],dProduct[ProductID],dProduct[CrateCost])</f>
        <v>19.600000000000001</v>
      </c>
      <c r="R928">
        <f>_xlfn.XLOOKUP(fSales[[#This Row],[ProductID]],dProduct[ProductID],dProduct[CratePrice])</f>
        <v>35</v>
      </c>
      <c r="S928">
        <f>_xlfn.XLOOKUP(fSales[[#This Row],[ProductID]],dProduct[ProductID],dProduct[CrateCost])</f>
        <v>15.4</v>
      </c>
    </row>
    <row r="929" spans="7:19" x14ac:dyDescent="0.25">
      <c r="G929" s="2">
        <v>45943</v>
      </c>
      <c r="H929">
        <v>24</v>
      </c>
      <c r="I929" t="s">
        <v>21</v>
      </c>
      <c r="J929" t="s">
        <v>22</v>
      </c>
      <c r="K929">
        <f>_xlfn.XLOOKUP(fSales[[#This Row],[ProductID]],dProduct[ProductID],dProduct[CratePrice])*fSales[[#This Row],[Units]]</f>
        <v>540</v>
      </c>
      <c r="L929">
        <f>fSales[[#This Row],[Total sales]]-_xlfn.XLOOKUP(fSales[[#This Row],[ProductID]],dProduct[ProductID],dProduct[CrateCost])*fSales[[#This Row],[Units]]</f>
        <v>237.59999999999997</v>
      </c>
      <c r="M929">
        <f>(_xlfn.XLOOKUP(fSales[[#This Row],[ProductID]],dProduct[ProductID],dProduct[CratePrice])-_xlfn.XLOOKUP(fSales[[#This Row],[ProductID]],dProduct[ProductID],dProduct[CrateCost]))/_xlfn.XLOOKUP(fSales[[#This Row],[ProductID]],dProduct[ProductID],dProduct[CratePrice])</f>
        <v>0.43999999999999995</v>
      </c>
      <c r="N929" t="str">
        <f>_xlfn.XLOOKUP(fSales[[#This Row],[SalesRepID]],dPSalesRep[SalesRepID],dPSalesRep[SalesRep])</f>
        <v>Timmy Kips</v>
      </c>
      <c r="O929" t="str">
        <f>_xlfn.XLOOKUP(fSales[[#This Row],[SalesRepID]],dPSalesRep[SalesRepID],dPSalesRep[Region])</f>
        <v>East</v>
      </c>
      <c r="P929" t="str">
        <f>_xlfn.XLOOKUP(fSales[[#This Row],[ProductID]],dProduct[ProductID],dProduct[Product])</f>
        <v>Kiwi</v>
      </c>
      <c r="Q929">
        <f>_xlfn.XLOOKUP(fSales[[#This Row],[ProductID]],dProduct[ProductID],dProduct[CratePrice])-_xlfn.XLOOKUP(fSales[[#This Row],[ProductID]],dProduct[ProductID],dProduct[CrateCost])</f>
        <v>9.8999999999999986</v>
      </c>
      <c r="R929">
        <f>_xlfn.XLOOKUP(fSales[[#This Row],[ProductID]],dProduct[ProductID],dProduct[CratePrice])</f>
        <v>22.5</v>
      </c>
      <c r="S929">
        <f>_xlfn.XLOOKUP(fSales[[#This Row],[ProductID]],dProduct[ProductID],dProduct[CrateCost])</f>
        <v>12.600000000000001</v>
      </c>
    </row>
    <row r="930" spans="7:19" x14ac:dyDescent="0.25">
      <c r="G930" s="2">
        <v>45943</v>
      </c>
      <c r="H930">
        <v>108</v>
      </c>
      <c r="I930" t="s">
        <v>21</v>
      </c>
      <c r="J930" t="s">
        <v>52</v>
      </c>
      <c r="K930">
        <f>_xlfn.XLOOKUP(fSales[[#This Row],[ProductID]],dProduct[ProductID],dProduct[CratePrice])*fSales[[#This Row],[Units]]</f>
        <v>2430</v>
      </c>
      <c r="L930">
        <f>fSales[[#This Row],[Total sales]]-_xlfn.XLOOKUP(fSales[[#This Row],[ProductID]],dProduct[ProductID],dProduct[CrateCost])*fSales[[#This Row],[Units]]</f>
        <v>1069.1999999999998</v>
      </c>
      <c r="M930">
        <f>(_xlfn.XLOOKUP(fSales[[#This Row],[ProductID]],dProduct[ProductID],dProduct[CratePrice])-_xlfn.XLOOKUP(fSales[[#This Row],[ProductID]],dProduct[ProductID],dProduct[CrateCost]))/_xlfn.XLOOKUP(fSales[[#This Row],[ProductID]],dProduct[ProductID],dProduct[CratePrice])</f>
        <v>0.43999999999999995</v>
      </c>
      <c r="N930" t="str">
        <f>_xlfn.XLOOKUP(fSales[[#This Row],[SalesRepID]],dPSalesRep[SalesRepID],dPSalesRep[SalesRep])</f>
        <v>Smitty Rad</v>
      </c>
      <c r="O930" t="str">
        <f>_xlfn.XLOOKUP(fSales[[#This Row],[SalesRepID]],dPSalesRep[SalesRepID],dPSalesRep[Region])</f>
        <v>MidWest</v>
      </c>
      <c r="P930" t="str">
        <f>_xlfn.XLOOKUP(fSales[[#This Row],[ProductID]],dProduct[ProductID],dProduct[Product])</f>
        <v>Kiwi</v>
      </c>
      <c r="Q930">
        <f>_xlfn.XLOOKUP(fSales[[#This Row],[ProductID]],dProduct[ProductID],dProduct[CratePrice])-_xlfn.XLOOKUP(fSales[[#This Row],[ProductID]],dProduct[ProductID],dProduct[CrateCost])</f>
        <v>9.8999999999999986</v>
      </c>
      <c r="R930">
        <f>_xlfn.XLOOKUP(fSales[[#This Row],[ProductID]],dProduct[ProductID],dProduct[CratePrice])</f>
        <v>22.5</v>
      </c>
      <c r="S930">
        <f>_xlfn.XLOOKUP(fSales[[#This Row],[ProductID]],dProduct[ProductID],dProduct[CrateCost])</f>
        <v>12.600000000000001</v>
      </c>
    </row>
    <row r="931" spans="7:19" x14ac:dyDescent="0.25">
      <c r="G931" s="2">
        <v>45946</v>
      </c>
      <c r="H931">
        <v>156</v>
      </c>
      <c r="I931" t="s">
        <v>26</v>
      </c>
      <c r="J931" t="s">
        <v>22</v>
      </c>
      <c r="K931">
        <f>_xlfn.XLOOKUP(fSales[[#This Row],[ProductID]],dProduct[ProductID],dProduct[CratePrice])*fSales[[#This Row],[Units]]</f>
        <v>4641</v>
      </c>
      <c r="L931">
        <f>fSales[[#This Row],[Total sales]]-_xlfn.XLOOKUP(fSales[[#This Row],[ProductID]],dProduct[ProductID],dProduct[CrateCost])*fSales[[#This Row],[Units]]</f>
        <v>1949.2200000000003</v>
      </c>
      <c r="M931">
        <f>(_xlfn.XLOOKUP(fSales[[#This Row],[ProductID]],dProduct[ProductID],dProduct[CratePrice])-_xlfn.XLOOKUP(fSales[[#This Row],[ProductID]],dProduct[ProductID],dProduct[CrateCost]))/_xlfn.XLOOKUP(fSales[[#This Row],[ProductID]],dProduct[ProductID],dProduct[CratePrice])</f>
        <v>0.42000000000000004</v>
      </c>
      <c r="N931" t="str">
        <f>_xlfn.XLOOKUP(fSales[[#This Row],[SalesRepID]],dPSalesRep[SalesRepID],dPSalesRep[SalesRep])</f>
        <v>Timmy Kips</v>
      </c>
      <c r="O931" t="str">
        <f>_xlfn.XLOOKUP(fSales[[#This Row],[SalesRepID]],dPSalesRep[SalesRepID],dPSalesRep[Region])</f>
        <v>East</v>
      </c>
      <c r="P931" t="str">
        <f>_xlfn.XLOOKUP(fSales[[#This Row],[ProductID]],dProduct[ProductID],dProduct[Product])</f>
        <v>Orange</v>
      </c>
      <c r="Q931">
        <f>_xlfn.XLOOKUP(fSales[[#This Row],[ProductID]],dProduct[ProductID],dProduct[CratePrice])-_xlfn.XLOOKUP(fSales[[#This Row],[ProductID]],dProduct[ProductID],dProduct[CrateCost])</f>
        <v>12.495000000000001</v>
      </c>
      <c r="R931">
        <f>_xlfn.XLOOKUP(fSales[[#This Row],[ProductID]],dProduct[ProductID],dProduct[CratePrice])</f>
        <v>29.75</v>
      </c>
      <c r="S931">
        <f>_xlfn.XLOOKUP(fSales[[#This Row],[ProductID]],dProduct[ProductID],dProduct[CrateCost])</f>
        <v>17.254999999999999</v>
      </c>
    </row>
    <row r="932" spans="7:19" x14ac:dyDescent="0.25">
      <c r="G932" s="2">
        <v>45946</v>
      </c>
      <c r="H932">
        <v>144</v>
      </c>
      <c r="I932" t="s">
        <v>28</v>
      </c>
      <c r="J932" t="s">
        <v>22</v>
      </c>
      <c r="K932">
        <f>_xlfn.XLOOKUP(fSales[[#This Row],[ProductID]],dProduct[ProductID],dProduct[CratePrice])*fSales[[#This Row],[Units]]</f>
        <v>6292.8</v>
      </c>
      <c r="L932">
        <f>fSales[[#This Row],[Total sales]]-_xlfn.XLOOKUP(fSales[[#This Row],[ProductID]],dProduct[ProductID],dProduct[CrateCost])*fSales[[#This Row],[Units]]</f>
        <v>2642.9760000000001</v>
      </c>
      <c r="M932">
        <f>(_xlfn.XLOOKUP(fSales[[#This Row],[ProductID]],dProduct[ProductID],dProduct[CratePrice])-_xlfn.XLOOKUP(fSales[[#This Row],[ProductID]],dProduct[ProductID],dProduct[CrateCost]))/_xlfn.XLOOKUP(fSales[[#This Row],[ProductID]],dProduct[ProductID],dProduct[CratePrice])</f>
        <v>0.42000000000000004</v>
      </c>
      <c r="N932" t="str">
        <f>_xlfn.XLOOKUP(fSales[[#This Row],[SalesRepID]],dPSalesRep[SalesRepID],dPSalesRep[SalesRep])</f>
        <v>Timmy Kips</v>
      </c>
      <c r="O932" t="str">
        <f>_xlfn.XLOOKUP(fSales[[#This Row],[SalesRepID]],dPSalesRep[SalesRepID],dPSalesRep[Region])</f>
        <v>East</v>
      </c>
      <c r="P932" t="str">
        <f>_xlfn.XLOOKUP(fSales[[#This Row],[ProductID]],dProduct[ProductID],dProduct[Product])</f>
        <v>Cherry</v>
      </c>
      <c r="Q932">
        <f>_xlfn.XLOOKUP(fSales[[#This Row],[ProductID]],dProduct[ProductID],dProduct[CratePrice])-_xlfn.XLOOKUP(fSales[[#This Row],[ProductID]],dProduct[ProductID],dProduct[CrateCost])</f>
        <v>18.354000000000003</v>
      </c>
      <c r="R932">
        <f>_xlfn.XLOOKUP(fSales[[#This Row],[ProductID]],dProduct[ProductID],dProduct[CratePrice])</f>
        <v>43.7</v>
      </c>
      <c r="S932">
        <f>_xlfn.XLOOKUP(fSales[[#This Row],[ProductID]],dProduct[ProductID],dProduct[CrateCost])</f>
        <v>25.346</v>
      </c>
    </row>
    <row r="933" spans="7:19" x14ac:dyDescent="0.25">
      <c r="G933" s="2">
        <v>45946</v>
      </c>
      <c r="H933">
        <v>204</v>
      </c>
      <c r="I933" t="s">
        <v>21</v>
      </c>
      <c r="J933" t="s">
        <v>37</v>
      </c>
      <c r="K933">
        <f>_xlfn.XLOOKUP(fSales[[#This Row],[ProductID]],dProduct[ProductID],dProduct[CratePrice])*fSales[[#This Row],[Units]]</f>
        <v>4590</v>
      </c>
      <c r="L933">
        <f>fSales[[#This Row],[Total sales]]-_xlfn.XLOOKUP(fSales[[#This Row],[ProductID]],dProduct[ProductID],dProduct[CrateCost])*fSales[[#This Row],[Units]]</f>
        <v>2019.6</v>
      </c>
      <c r="M933">
        <f>(_xlfn.XLOOKUP(fSales[[#This Row],[ProductID]],dProduct[ProductID],dProduct[CratePrice])-_xlfn.XLOOKUP(fSales[[#This Row],[ProductID]],dProduct[ProductID],dProduct[CrateCost]))/_xlfn.XLOOKUP(fSales[[#This Row],[ProductID]],dProduct[ProductID],dProduct[CratePrice])</f>
        <v>0.43999999999999995</v>
      </c>
      <c r="N933" t="str">
        <f>_xlfn.XLOOKUP(fSales[[#This Row],[SalesRepID]],dPSalesRep[SalesRepID],dPSalesRep[SalesRep])</f>
        <v>Chantel Mims</v>
      </c>
      <c r="O933" t="str">
        <f>_xlfn.XLOOKUP(fSales[[#This Row],[SalesRepID]],dPSalesRep[SalesRepID],dPSalesRep[Region])</f>
        <v>NW</v>
      </c>
      <c r="P933" t="str">
        <f>_xlfn.XLOOKUP(fSales[[#This Row],[ProductID]],dProduct[ProductID],dProduct[Product])</f>
        <v>Kiwi</v>
      </c>
      <c r="Q933">
        <f>_xlfn.XLOOKUP(fSales[[#This Row],[ProductID]],dProduct[ProductID],dProduct[CratePrice])-_xlfn.XLOOKUP(fSales[[#This Row],[ProductID]],dProduct[ProductID],dProduct[CrateCost])</f>
        <v>9.8999999999999986</v>
      </c>
      <c r="R933">
        <f>_xlfn.XLOOKUP(fSales[[#This Row],[ProductID]],dProduct[ProductID],dProduct[CratePrice])</f>
        <v>22.5</v>
      </c>
      <c r="S933">
        <f>_xlfn.XLOOKUP(fSales[[#This Row],[ProductID]],dProduct[ProductID],dProduct[CrateCost])</f>
        <v>12.600000000000001</v>
      </c>
    </row>
    <row r="934" spans="7:19" x14ac:dyDescent="0.25">
      <c r="G934" s="2">
        <v>45948</v>
      </c>
      <c r="H934">
        <v>36</v>
      </c>
      <c r="I934" t="s">
        <v>28</v>
      </c>
      <c r="J934" t="s">
        <v>52</v>
      </c>
      <c r="K934">
        <f>_xlfn.XLOOKUP(fSales[[#This Row],[ProductID]],dProduct[ProductID],dProduct[CratePrice])*fSales[[#This Row],[Units]]</f>
        <v>1573.2</v>
      </c>
      <c r="L934">
        <f>fSales[[#This Row],[Total sales]]-_xlfn.XLOOKUP(fSales[[#This Row],[ProductID]],dProduct[ProductID],dProduct[CrateCost])*fSales[[#This Row],[Units]]</f>
        <v>660.74400000000003</v>
      </c>
      <c r="M934">
        <f>(_xlfn.XLOOKUP(fSales[[#This Row],[ProductID]],dProduct[ProductID],dProduct[CratePrice])-_xlfn.XLOOKUP(fSales[[#This Row],[ProductID]],dProduct[ProductID],dProduct[CrateCost]))/_xlfn.XLOOKUP(fSales[[#This Row],[ProductID]],dProduct[ProductID],dProduct[CratePrice])</f>
        <v>0.42000000000000004</v>
      </c>
      <c r="N934" t="str">
        <f>_xlfn.XLOOKUP(fSales[[#This Row],[SalesRepID]],dPSalesRep[SalesRepID],dPSalesRep[SalesRep])</f>
        <v>Smitty Rad</v>
      </c>
      <c r="O934" t="str">
        <f>_xlfn.XLOOKUP(fSales[[#This Row],[SalesRepID]],dPSalesRep[SalesRepID],dPSalesRep[Region])</f>
        <v>MidWest</v>
      </c>
      <c r="P934" t="str">
        <f>_xlfn.XLOOKUP(fSales[[#This Row],[ProductID]],dProduct[ProductID],dProduct[Product])</f>
        <v>Cherry</v>
      </c>
      <c r="Q934">
        <f>_xlfn.XLOOKUP(fSales[[#This Row],[ProductID]],dProduct[ProductID],dProduct[CratePrice])-_xlfn.XLOOKUP(fSales[[#This Row],[ProductID]],dProduct[ProductID],dProduct[CrateCost])</f>
        <v>18.354000000000003</v>
      </c>
      <c r="R934">
        <f>_xlfn.XLOOKUP(fSales[[#This Row],[ProductID]],dProduct[ProductID],dProduct[CratePrice])</f>
        <v>43.7</v>
      </c>
      <c r="S934">
        <f>_xlfn.XLOOKUP(fSales[[#This Row],[ProductID]],dProduct[ProductID],dProduct[CrateCost])</f>
        <v>25.346</v>
      </c>
    </row>
    <row r="935" spans="7:19" x14ac:dyDescent="0.25">
      <c r="G935" s="2">
        <v>45949</v>
      </c>
      <c r="H935">
        <v>168</v>
      </c>
      <c r="I935" t="s">
        <v>28</v>
      </c>
      <c r="J935" t="s">
        <v>37</v>
      </c>
      <c r="K935">
        <f>_xlfn.XLOOKUP(fSales[[#This Row],[ProductID]],dProduct[ProductID],dProduct[CratePrice])*fSales[[#This Row],[Units]]</f>
        <v>7341.6</v>
      </c>
      <c r="L935">
        <f>fSales[[#This Row],[Total sales]]-_xlfn.XLOOKUP(fSales[[#This Row],[ProductID]],dProduct[ProductID],dProduct[CrateCost])*fSales[[#This Row],[Units]]</f>
        <v>3083.4720000000007</v>
      </c>
      <c r="M935">
        <f>(_xlfn.XLOOKUP(fSales[[#This Row],[ProductID]],dProduct[ProductID],dProduct[CratePrice])-_xlfn.XLOOKUP(fSales[[#This Row],[ProductID]],dProduct[ProductID],dProduct[CrateCost]))/_xlfn.XLOOKUP(fSales[[#This Row],[ProductID]],dProduct[ProductID],dProduct[CratePrice])</f>
        <v>0.42000000000000004</v>
      </c>
      <c r="N935" t="str">
        <f>_xlfn.XLOOKUP(fSales[[#This Row],[SalesRepID]],dPSalesRep[SalesRepID],dPSalesRep[SalesRep])</f>
        <v>Chantel Mims</v>
      </c>
      <c r="O935" t="str">
        <f>_xlfn.XLOOKUP(fSales[[#This Row],[SalesRepID]],dPSalesRep[SalesRepID],dPSalesRep[Region])</f>
        <v>NW</v>
      </c>
      <c r="P935" t="str">
        <f>_xlfn.XLOOKUP(fSales[[#This Row],[ProductID]],dProduct[ProductID],dProduct[Product])</f>
        <v>Cherry</v>
      </c>
      <c r="Q935">
        <f>_xlfn.XLOOKUP(fSales[[#This Row],[ProductID]],dProduct[ProductID],dProduct[CratePrice])-_xlfn.XLOOKUP(fSales[[#This Row],[ProductID]],dProduct[ProductID],dProduct[CrateCost])</f>
        <v>18.354000000000003</v>
      </c>
      <c r="R935">
        <f>_xlfn.XLOOKUP(fSales[[#This Row],[ProductID]],dProduct[ProductID],dProduct[CratePrice])</f>
        <v>43.7</v>
      </c>
      <c r="S935">
        <f>_xlfn.XLOOKUP(fSales[[#This Row],[ProductID]],dProduct[ProductID],dProduct[CrateCost])</f>
        <v>25.346</v>
      </c>
    </row>
    <row r="936" spans="7:19" x14ac:dyDescent="0.25">
      <c r="G936" s="2">
        <v>45950</v>
      </c>
      <c r="H936">
        <v>144</v>
      </c>
      <c r="I936" t="s">
        <v>26</v>
      </c>
      <c r="J936" t="s">
        <v>22</v>
      </c>
      <c r="K936">
        <f>_xlfn.XLOOKUP(fSales[[#This Row],[ProductID]],dProduct[ProductID],dProduct[CratePrice])*fSales[[#This Row],[Units]]</f>
        <v>4284</v>
      </c>
      <c r="L936">
        <f>fSales[[#This Row],[Total sales]]-_xlfn.XLOOKUP(fSales[[#This Row],[ProductID]],dProduct[ProductID],dProduct[CrateCost])*fSales[[#This Row],[Units]]</f>
        <v>1799.2800000000002</v>
      </c>
      <c r="M936">
        <f>(_xlfn.XLOOKUP(fSales[[#This Row],[ProductID]],dProduct[ProductID],dProduct[CratePrice])-_xlfn.XLOOKUP(fSales[[#This Row],[ProductID]],dProduct[ProductID],dProduct[CrateCost]))/_xlfn.XLOOKUP(fSales[[#This Row],[ProductID]],dProduct[ProductID],dProduct[CratePrice])</f>
        <v>0.42000000000000004</v>
      </c>
      <c r="N936" t="str">
        <f>_xlfn.XLOOKUP(fSales[[#This Row],[SalesRepID]],dPSalesRep[SalesRepID],dPSalesRep[SalesRep])</f>
        <v>Timmy Kips</v>
      </c>
      <c r="O936" t="str">
        <f>_xlfn.XLOOKUP(fSales[[#This Row],[SalesRepID]],dPSalesRep[SalesRepID],dPSalesRep[Region])</f>
        <v>East</v>
      </c>
      <c r="P936" t="str">
        <f>_xlfn.XLOOKUP(fSales[[#This Row],[ProductID]],dProduct[ProductID],dProduct[Product])</f>
        <v>Orange</v>
      </c>
      <c r="Q936">
        <f>_xlfn.XLOOKUP(fSales[[#This Row],[ProductID]],dProduct[ProductID],dProduct[CratePrice])-_xlfn.XLOOKUP(fSales[[#This Row],[ProductID]],dProduct[ProductID],dProduct[CrateCost])</f>
        <v>12.495000000000001</v>
      </c>
      <c r="R936">
        <f>_xlfn.XLOOKUP(fSales[[#This Row],[ProductID]],dProduct[ProductID],dProduct[CratePrice])</f>
        <v>29.75</v>
      </c>
      <c r="S936">
        <f>_xlfn.XLOOKUP(fSales[[#This Row],[ProductID]],dProduct[ProductID],dProduct[CrateCost])</f>
        <v>17.254999999999999</v>
      </c>
    </row>
    <row r="937" spans="7:19" x14ac:dyDescent="0.25">
      <c r="G937" s="2">
        <v>45951</v>
      </c>
      <c r="H937">
        <v>228</v>
      </c>
      <c r="I937" t="s">
        <v>34</v>
      </c>
      <c r="J937" t="s">
        <v>37</v>
      </c>
      <c r="K937">
        <f>_xlfn.XLOOKUP(fSales[[#This Row],[ProductID]],dProduct[ProductID],dProduct[CratePrice])*fSales[[#This Row],[Units]]</f>
        <v>3990</v>
      </c>
      <c r="L937">
        <f>fSales[[#This Row],[Total sales]]-_xlfn.XLOOKUP(fSales[[#This Row],[ProductID]],dProduct[ProductID],dProduct[CrateCost])*fSales[[#This Row],[Units]]</f>
        <v>1316.6999999999998</v>
      </c>
      <c r="M937">
        <f>(_xlfn.XLOOKUP(fSales[[#This Row],[ProductID]],dProduct[ProductID],dProduct[CratePrice])-_xlfn.XLOOKUP(fSales[[#This Row],[ProductID]],dProduct[ProductID],dProduct[CrateCost]))/_xlfn.XLOOKUP(fSales[[#This Row],[ProductID]],dProduct[ProductID],dProduct[CratePrice])</f>
        <v>0.3299999999999999</v>
      </c>
      <c r="N937" t="str">
        <f>_xlfn.XLOOKUP(fSales[[#This Row],[SalesRepID]],dPSalesRep[SalesRepID],dPSalesRep[SalesRep])</f>
        <v>Chantel Mims</v>
      </c>
      <c r="O937" t="str">
        <f>_xlfn.XLOOKUP(fSales[[#This Row],[SalesRepID]],dPSalesRep[SalesRepID],dPSalesRep[Region])</f>
        <v>NW</v>
      </c>
      <c r="P937" t="str">
        <f>_xlfn.XLOOKUP(fSales[[#This Row],[ProductID]],dProduct[ProductID],dProduct[Product])</f>
        <v>Banana</v>
      </c>
      <c r="Q937">
        <f>_xlfn.XLOOKUP(fSales[[#This Row],[ProductID]],dProduct[ProductID],dProduct[CratePrice])-_xlfn.XLOOKUP(fSales[[#This Row],[ProductID]],dProduct[ProductID],dProduct[CrateCost])</f>
        <v>5.7749999999999986</v>
      </c>
      <c r="R937">
        <f>_xlfn.XLOOKUP(fSales[[#This Row],[ProductID]],dProduct[ProductID],dProduct[CratePrice])</f>
        <v>17.5</v>
      </c>
      <c r="S937">
        <f>_xlfn.XLOOKUP(fSales[[#This Row],[ProductID]],dProduct[ProductID],dProduct[CrateCost])</f>
        <v>11.725000000000001</v>
      </c>
    </row>
    <row r="938" spans="7:19" x14ac:dyDescent="0.25">
      <c r="G938" s="2">
        <v>45952</v>
      </c>
      <c r="H938">
        <v>168</v>
      </c>
      <c r="I938" t="s">
        <v>34</v>
      </c>
      <c r="J938" t="s">
        <v>52</v>
      </c>
      <c r="K938">
        <f>_xlfn.XLOOKUP(fSales[[#This Row],[ProductID]],dProduct[ProductID],dProduct[CratePrice])*fSales[[#This Row],[Units]]</f>
        <v>2940</v>
      </c>
      <c r="L938">
        <f>fSales[[#This Row],[Total sales]]-_xlfn.XLOOKUP(fSales[[#This Row],[ProductID]],dProduct[ProductID],dProduct[CrateCost])*fSales[[#This Row],[Units]]</f>
        <v>970.19999999999982</v>
      </c>
      <c r="M938">
        <f>(_xlfn.XLOOKUP(fSales[[#This Row],[ProductID]],dProduct[ProductID],dProduct[CratePrice])-_xlfn.XLOOKUP(fSales[[#This Row],[ProductID]],dProduct[ProductID],dProduct[CrateCost]))/_xlfn.XLOOKUP(fSales[[#This Row],[ProductID]],dProduct[ProductID],dProduct[CratePrice])</f>
        <v>0.3299999999999999</v>
      </c>
      <c r="N938" t="str">
        <f>_xlfn.XLOOKUP(fSales[[#This Row],[SalesRepID]],dPSalesRep[SalesRepID],dPSalesRep[SalesRep])</f>
        <v>Smitty Rad</v>
      </c>
      <c r="O938" t="str">
        <f>_xlfn.XLOOKUP(fSales[[#This Row],[SalesRepID]],dPSalesRep[SalesRepID],dPSalesRep[Region])</f>
        <v>MidWest</v>
      </c>
      <c r="P938" t="str">
        <f>_xlfn.XLOOKUP(fSales[[#This Row],[ProductID]],dProduct[ProductID],dProduct[Product])</f>
        <v>Banana</v>
      </c>
      <c r="Q938">
        <f>_xlfn.XLOOKUP(fSales[[#This Row],[ProductID]],dProduct[ProductID],dProduct[CratePrice])-_xlfn.XLOOKUP(fSales[[#This Row],[ProductID]],dProduct[ProductID],dProduct[CrateCost])</f>
        <v>5.7749999999999986</v>
      </c>
      <c r="R938">
        <f>_xlfn.XLOOKUP(fSales[[#This Row],[ProductID]],dProduct[ProductID],dProduct[CratePrice])</f>
        <v>17.5</v>
      </c>
      <c r="S938">
        <f>_xlfn.XLOOKUP(fSales[[#This Row],[ProductID]],dProduct[ProductID],dProduct[CrateCost])</f>
        <v>11.725000000000001</v>
      </c>
    </row>
    <row r="939" spans="7:19" x14ac:dyDescent="0.25">
      <c r="G939" s="2">
        <v>45952</v>
      </c>
      <c r="H939">
        <v>252</v>
      </c>
      <c r="I939" t="s">
        <v>28</v>
      </c>
      <c r="J939" t="s">
        <v>52</v>
      </c>
      <c r="K939">
        <f>_xlfn.XLOOKUP(fSales[[#This Row],[ProductID]],dProduct[ProductID],dProduct[CratePrice])*fSales[[#This Row],[Units]]</f>
        <v>11012.400000000001</v>
      </c>
      <c r="L939">
        <f>fSales[[#This Row],[Total sales]]-_xlfn.XLOOKUP(fSales[[#This Row],[ProductID]],dProduct[ProductID],dProduct[CrateCost])*fSales[[#This Row],[Units]]</f>
        <v>4625.2080000000014</v>
      </c>
      <c r="M939">
        <f>(_xlfn.XLOOKUP(fSales[[#This Row],[ProductID]],dProduct[ProductID],dProduct[CratePrice])-_xlfn.XLOOKUP(fSales[[#This Row],[ProductID]],dProduct[ProductID],dProduct[CrateCost]))/_xlfn.XLOOKUP(fSales[[#This Row],[ProductID]],dProduct[ProductID],dProduct[CratePrice])</f>
        <v>0.42000000000000004</v>
      </c>
      <c r="N939" t="str">
        <f>_xlfn.XLOOKUP(fSales[[#This Row],[SalesRepID]],dPSalesRep[SalesRepID],dPSalesRep[SalesRep])</f>
        <v>Smitty Rad</v>
      </c>
      <c r="O939" t="str">
        <f>_xlfn.XLOOKUP(fSales[[#This Row],[SalesRepID]],dPSalesRep[SalesRepID],dPSalesRep[Region])</f>
        <v>MidWest</v>
      </c>
      <c r="P939" t="str">
        <f>_xlfn.XLOOKUP(fSales[[#This Row],[ProductID]],dProduct[ProductID],dProduct[Product])</f>
        <v>Cherry</v>
      </c>
      <c r="Q939">
        <f>_xlfn.XLOOKUP(fSales[[#This Row],[ProductID]],dProduct[ProductID],dProduct[CratePrice])-_xlfn.XLOOKUP(fSales[[#This Row],[ProductID]],dProduct[ProductID],dProduct[CrateCost])</f>
        <v>18.354000000000003</v>
      </c>
      <c r="R939">
        <f>_xlfn.XLOOKUP(fSales[[#This Row],[ProductID]],dProduct[ProductID],dProduct[CratePrice])</f>
        <v>43.7</v>
      </c>
      <c r="S939">
        <f>_xlfn.XLOOKUP(fSales[[#This Row],[ProductID]],dProduct[ProductID],dProduct[CrateCost])</f>
        <v>25.346</v>
      </c>
    </row>
    <row r="940" spans="7:19" x14ac:dyDescent="0.25">
      <c r="G940" s="2">
        <v>45953</v>
      </c>
      <c r="H940">
        <v>156</v>
      </c>
      <c r="I940" t="s">
        <v>28</v>
      </c>
      <c r="J940" t="s">
        <v>32</v>
      </c>
      <c r="K940">
        <f>_xlfn.XLOOKUP(fSales[[#This Row],[ProductID]],dProduct[ProductID],dProduct[CratePrice])*fSales[[#This Row],[Units]]</f>
        <v>6817.2000000000007</v>
      </c>
      <c r="L940">
        <f>fSales[[#This Row],[Total sales]]-_xlfn.XLOOKUP(fSales[[#This Row],[ProductID]],dProduct[ProductID],dProduct[CrateCost])*fSales[[#This Row],[Units]]</f>
        <v>2863.2240000000006</v>
      </c>
      <c r="M940">
        <f>(_xlfn.XLOOKUP(fSales[[#This Row],[ProductID]],dProduct[ProductID],dProduct[CratePrice])-_xlfn.XLOOKUP(fSales[[#This Row],[ProductID]],dProduct[ProductID],dProduct[CrateCost]))/_xlfn.XLOOKUP(fSales[[#This Row],[ProductID]],dProduct[ProductID],dProduct[CratePrice])</f>
        <v>0.42000000000000004</v>
      </c>
      <c r="N940" t="str">
        <f>_xlfn.XLOOKUP(fSales[[#This Row],[SalesRepID]],dPSalesRep[SalesRepID],dPSalesRep[SalesRep])</f>
        <v>Shihara Fazzaa</v>
      </c>
      <c r="O940" t="str">
        <f>_xlfn.XLOOKUP(fSales[[#This Row],[SalesRepID]],dPSalesRep[SalesRepID],dPSalesRep[Region])</f>
        <v>East</v>
      </c>
      <c r="P940" t="str">
        <f>_xlfn.XLOOKUP(fSales[[#This Row],[ProductID]],dProduct[ProductID],dProduct[Product])</f>
        <v>Cherry</v>
      </c>
      <c r="Q940">
        <f>_xlfn.XLOOKUP(fSales[[#This Row],[ProductID]],dProduct[ProductID],dProduct[CratePrice])-_xlfn.XLOOKUP(fSales[[#This Row],[ProductID]],dProduct[ProductID],dProduct[CrateCost])</f>
        <v>18.354000000000003</v>
      </c>
      <c r="R940">
        <f>_xlfn.XLOOKUP(fSales[[#This Row],[ProductID]],dProduct[ProductID],dProduct[CratePrice])</f>
        <v>43.7</v>
      </c>
      <c r="S940">
        <f>_xlfn.XLOOKUP(fSales[[#This Row],[ProductID]],dProduct[ProductID],dProduct[CrateCost])</f>
        <v>25.346</v>
      </c>
    </row>
    <row r="941" spans="7:19" x14ac:dyDescent="0.25">
      <c r="G941" s="2">
        <v>45953</v>
      </c>
      <c r="H941">
        <v>48</v>
      </c>
      <c r="I941" t="s">
        <v>28</v>
      </c>
      <c r="J941" t="s">
        <v>37</v>
      </c>
      <c r="K941">
        <f>_xlfn.XLOOKUP(fSales[[#This Row],[ProductID]],dProduct[ProductID],dProduct[CratePrice])*fSales[[#This Row],[Units]]</f>
        <v>2097.6000000000004</v>
      </c>
      <c r="L941">
        <f>fSales[[#This Row],[Total sales]]-_xlfn.XLOOKUP(fSales[[#This Row],[ProductID]],dProduct[ProductID],dProduct[CrateCost])*fSales[[#This Row],[Units]]</f>
        <v>880.99200000000042</v>
      </c>
      <c r="M941">
        <f>(_xlfn.XLOOKUP(fSales[[#This Row],[ProductID]],dProduct[ProductID],dProduct[CratePrice])-_xlfn.XLOOKUP(fSales[[#This Row],[ProductID]],dProduct[ProductID],dProduct[CrateCost]))/_xlfn.XLOOKUP(fSales[[#This Row],[ProductID]],dProduct[ProductID],dProduct[CratePrice])</f>
        <v>0.42000000000000004</v>
      </c>
      <c r="N941" t="str">
        <f>_xlfn.XLOOKUP(fSales[[#This Row],[SalesRepID]],dPSalesRep[SalesRepID],dPSalesRep[SalesRep])</f>
        <v>Chantel Mims</v>
      </c>
      <c r="O941" t="str">
        <f>_xlfn.XLOOKUP(fSales[[#This Row],[SalesRepID]],dPSalesRep[SalesRepID],dPSalesRep[Region])</f>
        <v>NW</v>
      </c>
      <c r="P941" t="str">
        <f>_xlfn.XLOOKUP(fSales[[#This Row],[ProductID]],dProduct[ProductID],dProduct[Product])</f>
        <v>Cherry</v>
      </c>
      <c r="Q941">
        <f>_xlfn.XLOOKUP(fSales[[#This Row],[ProductID]],dProduct[ProductID],dProduct[CratePrice])-_xlfn.XLOOKUP(fSales[[#This Row],[ProductID]],dProduct[ProductID],dProduct[CrateCost])</f>
        <v>18.354000000000003</v>
      </c>
      <c r="R941">
        <f>_xlfn.XLOOKUP(fSales[[#This Row],[ProductID]],dProduct[ProductID],dProduct[CratePrice])</f>
        <v>43.7</v>
      </c>
      <c r="S941">
        <f>_xlfn.XLOOKUP(fSales[[#This Row],[ProductID]],dProduct[ProductID],dProduct[CrateCost])</f>
        <v>25.346</v>
      </c>
    </row>
    <row r="942" spans="7:19" x14ac:dyDescent="0.25">
      <c r="G942" s="2">
        <v>45953</v>
      </c>
      <c r="H942">
        <v>264</v>
      </c>
      <c r="I942" t="s">
        <v>26</v>
      </c>
      <c r="J942" t="s">
        <v>29</v>
      </c>
      <c r="K942">
        <f>_xlfn.XLOOKUP(fSales[[#This Row],[ProductID]],dProduct[ProductID],dProduct[CratePrice])*fSales[[#This Row],[Units]]</f>
        <v>7854</v>
      </c>
      <c r="L942">
        <f>fSales[[#This Row],[Total sales]]-_xlfn.XLOOKUP(fSales[[#This Row],[ProductID]],dProduct[ProductID],dProduct[CrateCost])*fSales[[#This Row],[Units]]</f>
        <v>3298.6800000000003</v>
      </c>
      <c r="M942">
        <f>(_xlfn.XLOOKUP(fSales[[#This Row],[ProductID]],dProduct[ProductID],dProduct[CratePrice])-_xlfn.XLOOKUP(fSales[[#This Row],[ProductID]],dProduct[ProductID],dProduct[CrateCost]))/_xlfn.XLOOKUP(fSales[[#This Row],[ProductID]],dProduct[ProductID],dProduct[CratePrice])</f>
        <v>0.42000000000000004</v>
      </c>
      <c r="N942" t="str">
        <f>_xlfn.XLOOKUP(fSales[[#This Row],[SalesRepID]],dPSalesRep[SalesRepID],dPSalesRep[SalesRep])</f>
        <v>Sioux Best</v>
      </c>
      <c r="O942" t="str">
        <f>_xlfn.XLOOKUP(fSales[[#This Row],[SalesRepID]],dPSalesRep[SalesRepID],dPSalesRep[Region])</f>
        <v>West</v>
      </c>
      <c r="P942" t="str">
        <f>_xlfn.XLOOKUP(fSales[[#This Row],[ProductID]],dProduct[ProductID],dProduct[Product])</f>
        <v>Orange</v>
      </c>
      <c r="Q942">
        <f>_xlfn.XLOOKUP(fSales[[#This Row],[ProductID]],dProduct[ProductID],dProduct[CratePrice])-_xlfn.XLOOKUP(fSales[[#This Row],[ProductID]],dProduct[ProductID],dProduct[CrateCost])</f>
        <v>12.495000000000001</v>
      </c>
      <c r="R942">
        <f>_xlfn.XLOOKUP(fSales[[#This Row],[ProductID]],dProduct[ProductID],dProduct[CratePrice])</f>
        <v>29.75</v>
      </c>
      <c r="S942">
        <f>_xlfn.XLOOKUP(fSales[[#This Row],[ProductID]],dProduct[ProductID],dProduct[CrateCost])</f>
        <v>17.254999999999999</v>
      </c>
    </row>
    <row r="943" spans="7:19" x14ac:dyDescent="0.25">
      <c r="G943" s="2">
        <v>45953</v>
      </c>
      <c r="H943">
        <v>84</v>
      </c>
      <c r="I943" t="s">
        <v>19</v>
      </c>
      <c r="J943" t="s">
        <v>22</v>
      </c>
      <c r="K943">
        <f>_xlfn.XLOOKUP(fSales[[#This Row],[ProductID]],dProduct[ProductID],dProduct[CratePrice])*fSales[[#This Row],[Units]]</f>
        <v>2940</v>
      </c>
      <c r="L943">
        <f>fSales[[#This Row],[Total sales]]-_xlfn.XLOOKUP(fSales[[#This Row],[ProductID]],dProduct[ProductID],dProduct[CrateCost])*fSales[[#This Row],[Units]]</f>
        <v>1646.3999999999999</v>
      </c>
      <c r="M943">
        <f>(_xlfn.XLOOKUP(fSales[[#This Row],[ProductID]],dProduct[ProductID],dProduct[CratePrice])-_xlfn.XLOOKUP(fSales[[#This Row],[ProductID]],dProduct[ProductID],dProduct[CrateCost]))/_xlfn.XLOOKUP(fSales[[#This Row],[ProductID]],dProduct[ProductID],dProduct[CratePrice])</f>
        <v>0.56000000000000005</v>
      </c>
      <c r="N943" t="str">
        <f>_xlfn.XLOOKUP(fSales[[#This Row],[SalesRepID]],dPSalesRep[SalesRepID],dPSalesRep[SalesRep])</f>
        <v>Timmy Kips</v>
      </c>
      <c r="O943" t="str">
        <f>_xlfn.XLOOKUP(fSales[[#This Row],[SalesRepID]],dPSalesRep[SalesRepID],dPSalesRep[Region])</f>
        <v>East</v>
      </c>
      <c r="P943" t="str">
        <f>_xlfn.XLOOKUP(fSales[[#This Row],[ProductID]],dProduct[ProductID],dProduct[Product])</f>
        <v>Apple</v>
      </c>
      <c r="Q943">
        <f>_xlfn.XLOOKUP(fSales[[#This Row],[ProductID]],dProduct[ProductID],dProduct[CratePrice])-_xlfn.XLOOKUP(fSales[[#This Row],[ProductID]],dProduct[ProductID],dProduct[CrateCost])</f>
        <v>19.600000000000001</v>
      </c>
      <c r="R943">
        <f>_xlfn.XLOOKUP(fSales[[#This Row],[ProductID]],dProduct[ProductID],dProduct[CratePrice])</f>
        <v>35</v>
      </c>
      <c r="S943">
        <f>_xlfn.XLOOKUP(fSales[[#This Row],[ProductID]],dProduct[ProductID],dProduct[CrateCost])</f>
        <v>15.4</v>
      </c>
    </row>
    <row r="944" spans="7:19" x14ac:dyDescent="0.25">
      <c r="G944" s="2">
        <v>45953</v>
      </c>
      <c r="H944">
        <v>60</v>
      </c>
      <c r="I944" t="s">
        <v>28</v>
      </c>
      <c r="J944" t="s">
        <v>29</v>
      </c>
      <c r="K944">
        <f>_xlfn.XLOOKUP(fSales[[#This Row],[ProductID]],dProduct[ProductID],dProduct[CratePrice])*fSales[[#This Row],[Units]]</f>
        <v>2622</v>
      </c>
      <c r="L944">
        <f>fSales[[#This Row],[Total sales]]-_xlfn.XLOOKUP(fSales[[#This Row],[ProductID]],dProduct[ProductID],dProduct[CrateCost])*fSales[[#This Row],[Units]]</f>
        <v>1101.24</v>
      </c>
      <c r="M944">
        <f>(_xlfn.XLOOKUP(fSales[[#This Row],[ProductID]],dProduct[ProductID],dProduct[CratePrice])-_xlfn.XLOOKUP(fSales[[#This Row],[ProductID]],dProduct[ProductID],dProduct[CrateCost]))/_xlfn.XLOOKUP(fSales[[#This Row],[ProductID]],dProduct[ProductID],dProduct[CratePrice])</f>
        <v>0.42000000000000004</v>
      </c>
      <c r="N944" t="str">
        <f>_xlfn.XLOOKUP(fSales[[#This Row],[SalesRepID]],dPSalesRep[SalesRepID],dPSalesRep[SalesRep])</f>
        <v>Sioux Best</v>
      </c>
      <c r="O944" t="str">
        <f>_xlfn.XLOOKUP(fSales[[#This Row],[SalesRepID]],dPSalesRep[SalesRepID],dPSalesRep[Region])</f>
        <v>West</v>
      </c>
      <c r="P944" t="str">
        <f>_xlfn.XLOOKUP(fSales[[#This Row],[ProductID]],dProduct[ProductID],dProduct[Product])</f>
        <v>Cherry</v>
      </c>
      <c r="Q944">
        <f>_xlfn.XLOOKUP(fSales[[#This Row],[ProductID]],dProduct[ProductID],dProduct[CratePrice])-_xlfn.XLOOKUP(fSales[[#This Row],[ProductID]],dProduct[ProductID],dProduct[CrateCost])</f>
        <v>18.354000000000003</v>
      </c>
      <c r="R944">
        <f>_xlfn.XLOOKUP(fSales[[#This Row],[ProductID]],dProduct[ProductID],dProduct[CratePrice])</f>
        <v>43.7</v>
      </c>
      <c r="S944">
        <f>_xlfn.XLOOKUP(fSales[[#This Row],[ProductID]],dProduct[ProductID],dProduct[CrateCost])</f>
        <v>25.346</v>
      </c>
    </row>
    <row r="945" spans="7:19" x14ac:dyDescent="0.25">
      <c r="G945" s="2">
        <v>45954</v>
      </c>
      <c r="H945">
        <v>192</v>
      </c>
      <c r="I945" t="s">
        <v>26</v>
      </c>
      <c r="J945" t="s">
        <v>32</v>
      </c>
      <c r="K945">
        <f>_xlfn.XLOOKUP(fSales[[#This Row],[ProductID]],dProduct[ProductID],dProduct[CratePrice])*fSales[[#This Row],[Units]]</f>
        <v>5712</v>
      </c>
      <c r="L945">
        <f>fSales[[#This Row],[Total sales]]-_xlfn.XLOOKUP(fSales[[#This Row],[ProductID]],dProduct[ProductID],dProduct[CrateCost])*fSales[[#This Row],[Units]]</f>
        <v>2399.04</v>
      </c>
      <c r="M945">
        <f>(_xlfn.XLOOKUP(fSales[[#This Row],[ProductID]],dProduct[ProductID],dProduct[CratePrice])-_xlfn.XLOOKUP(fSales[[#This Row],[ProductID]],dProduct[ProductID],dProduct[CrateCost]))/_xlfn.XLOOKUP(fSales[[#This Row],[ProductID]],dProduct[ProductID],dProduct[CratePrice])</f>
        <v>0.42000000000000004</v>
      </c>
      <c r="N945" t="str">
        <f>_xlfn.XLOOKUP(fSales[[#This Row],[SalesRepID]],dPSalesRep[SalesRepID],dPSalesRep[SalesRep])</f>
        <v>Shihara Fazzaa</v>
      </c>
      <c r="O945" t="str">
        <f>_xlfn.XLOOKUP(fSales[[#This Row],[SalesRepID]],dPSalesRep[SalesRepID],dPSalesRep[Region])</f>
        <v>East</v>
      </c>
      <c r="P945" t="str">
        <f>_xlfn.XLOOKUP(fSales[[#This Row],[ProductID]],dProduct[ProductID],dProduct[Product])</f>
        <v>Orange</v>
      </c>
      <c r="Q945">
        <f>_xlfn.XLOOKUP(fSales[[#This Row],[ProductID]],dProduct[ProductID],dProduct[CratePrice])-_xlfn.XLOOKUP(fSales[[#This Row],[ProductID]],dProduct[ProductID],dProduct[CrateCost])</f>
        <v>12.495000000000001</v>
      </c>
      <c r="R945">
        <f>_xlfn.XLOOKUP(fSales[[#This Row],[ProductID]],dProduct[ProductID],dProduct[CratePrice])</f>
        <v>29.75</v>
      </c>
      <c r="S945">
        <f>_xlfn.XLOOKUP(fSales[[#This Row],[ProductID]],dProduct[ProductID],dProduct[CrateCost])</f>
        <v>17.254999999999999</v>
      </c>
    </row>
    <row r="946" spans="7:19" x14ac:dyDescent="0.25">
      <c r="G946" s="2">
        <v>45954</v>
      </c>
      <c r="H946">
        <v>96</v>
      </c>
      <c r="I946" t="s">
        <v>34</v>
      </c>
      <c r="J946" t="s">
        <v>37</v>
      </c>
      <c r="K946">
        <f>_xlfn.XLOOKUP(fSales[[#This Row],[ProductID]],dProduct[ProductID],dProduct[CratePrice])*fSales[[#This Row],[Units]]</f>
        <v>1680</v>
      </c>
      <c r="L946">
        <f>fSales[[#This Row],[Total sales]]-_xlfn.XLOOKUP(fSales[[#This Row],[ProductID]],dProduct[ProductID],dProduct[CrateCost])*fSales[[#This Row],[Units]]</f>
        <v>554.39999999999986</v>
      </c>
      <c r="M946">
        <f>(_xlfn.XLOOKUP(fSales[[#This Row],[ProductID]],dProduct[ProductID],dProduct[CratePrice])-_xlfn.XLOOKUP(fSales[[#This Row],[ProductID]],dProduct[ProductID],dProduct[CrateCost]))/_xlfn.XLOOKUP(fSales[[#This Row],[ProductID]],dProduct[ProductID],dProduct[CratePrice])</f>
        <v>0.3299999999999999</v>
      </c>
      <c r="N946" t="str">
        <f>_xlfn.XLOOKUP(fSales[[#This Row],[SalesRepID]],dPSalesRep[SalesRepID],dPSalesRep[SalesRep])</f>
        <v>Chantel Mims</v>
      </c>
      <c r="O946" t="str">
        <f>_xlfn.XLOOKUP(fSales[[#This Row],[SalesRepID]],dPSalesRep[SalesRepID],dPSalesRep[Region])</f>
        <v>NW</v>
      </c>
      <c r="P946" t="str">
        <f>_xlfn.XLOOKUP(fSales[[#This Row],[ProductID]],dProduct[ProductID],dProduct[Product])</f>
        <v>Banana</v>
      </c>
      <c r="Q946">
        <f>_xlfn.XLOOKUP(fSales[[#This Row],[ProductID]],dProduct[ProductID],dProduct[CratePrice])-_xlfn.XLOOKUP(fSales[[#This Row],[ProductID]],dProduct[ProductID],dProduct[CrateCost])</f>
        <v>5.7749999999999986</v>
      </c>
      <c r="R946">
        <f>_xlfn.XLOOKUP(fSales[[#This Row],[ProductID]],dProduct[ProductID],dProduct[CratePrice])</f>
        <v>17.5</v>
      </c>
      <c r="S946">
        <f>_xlfn.XLOOKUP(fSales[[#This Row],[ProductID]],dProduct[ProductID],dProduct[CrateCost])</f>
        <v>11.725000000000001</v>
      </c>
    </row>
    <row r="947" spans="7:19" x14ac:dyDescent="0.25">
      <c r="G947" s="2">
        <v>45955</v>
      </c>
      <c r="H947">
        <v>156</v>
      </c>
      <c r="I947" t="s">
        <v>19</v>
      </c>
      <c r="J947" t="s">
        <v>52</v>
      </c>
      <c r="K947">
        <f>_xlfn.XLOOKUP(fSales[[#This Row],[ProductID]],dProduct[ProductID],dProduct[CratePrice])*fSales[[#This Row],[Units]]</f>
        <v>5460</v>
      </c>
      <c r="L947">
        <f>fSales[[#This Row],[Total sales]]-_xlfn.XLOOKUP(fSales[[#This Row],[ProductID]],dProduct[ProductID],dProduct[CrateCost])*fSales[[#This Row],[Units]]</f>
        <v>3057.6</v>
      </c>
      <c r="M947">
        <f>(_xlfn.XLOOKUP(fSales[[#This Row],[ProductID]],dProduct[ProductID],dProduct[CratePrice])-_xlfn.XLOOKUP(fSales[[#This Row],[ProductID]],dProduct[ProductID],dProduct[CrateCost]))/_xlfn.XLOOKUP(fSales[[#This Row],[ProductID]],dProduct[ProductID],dProduct[CratePrice])</f>
        <v>0.56000000000000005</v>
      </c>
      <c r="N947" t="str">
        <f>_xlfn.XLOOKUP(fSales[[#This Row],[SalesRepID]],dPSalesRep[SalesRepID],dPSalesRep[SalesRep])</f>
        <v>Smitty Rad</v>
      </c>
      <c r="O947" t="str">
        <f>_xlfn.XLOOKUP(fSales[[#This Row],[SalesRepID]],dPSalesRep[SalesRepID],dPSalesRep[Region])</f>
        <v>MidWest</v>
      </c>
      <c r="P947" t="str">
        <f>_xlfn.XLOOKUP(fSales[[#This Row],[ProductID]],dProduct[ProductID],dProduct[Product])</f>
        <v>Apple</v>
      </c>
      <c r="Q947">
        <f>_xlfn.XLOOKUP(fSales[[#This Row],[ProductID]],dProduct[ProductID],dProduct[CratePrice])-_xlfn.XLOOKUP(fSales[[#This Row],[ProductID]],dProduct[ProductID],dProduct[CrateCost])</f>
        <v>19.600000000000001</v>
      </c>
      <c r="R947">
        <f>_xlfn.XLOOKUP(fSales[[#This Row],[ProductID]],dProduct[ProductID],dProduct[CratePrice])</f>
        <v>35</v>
      </c>
      <c r="S947">
        <f>_xlfn.XLOOKUP(fSales[[#This Row],[ProductID]],dProduct[ProductID],dProduct[CrateCost])</f>
        <v>15.4</v>
      </c>
    </row>
    <row r="948" spans="7:19" x14ac:dyDescent="0.25">
      <c r="G948" s="2">
        <v>45955</v>
      </c>
      <c r="H948">
        <v>36</v>
      </c>
      <c r="I948" t="s">
        <v>26</v>
      </c>
      <c r="J948" t="s">
        <v>52</v>
      </c>
      <c r="K948">
        <f>_xlfn.XLOOKUP(fSales[[#This Row],[ProductID]],dProduct[ProductID],dProduct[CratePrice])*fSales[[#This Row],[Units]]</f>
        <v>1071</v>
      </c>
      <c r="L948">
        <f>fSales[[#This Row],[Total sales]]-_xlfn.XLOOKUP(fSales[[#This Row],[ProductID]],dProduct[ProductID],dProduct[CrateCost])*fSales[[#This Row],[Units]]</f>
        <v>449.82000000000005</v>
      </c>
      <c r="M948">
        <f>(_xlfn.XLOOKUP(fSales[[#This Row],[ProductID]],dProduct[ProductID],dProduct[CratePrice])-_xlfn.XLOOKUP(fSales[[#This Row],[ProductID]],dProduct[ProductID],dProduct[CrateCost]))/_xlfn.XLOOKUP(fSales[[#This Row],[ProductID]],dProduct[ProductID],dProduct[CratePrice])</f>
        <v>0.42000000000000004</v>
      </c>
      <c r="N948" t="str">
        <f>_xlfn.XLOOKUP(fSales[[#This Row],[SalesRepID]],dPSalesRep[SalesRepID],dPSalesRep[SalesRep])</f>
        <v>Smitty Rad</v>
      </c>
      <c r="O948" t="str">
        <f>_xlfn.XLOOKUP(fSales[[#This Row],[SalesRepID]],dPSalesRep[SalesRepID],dPSalesRep[Region])</f>
        <v>MidWest</v>
      </c>
      <c r="P948" t="str">
        <f>_xlfn.XLOOKUP(fSales[[#This Row],[ProductID]],dProduct[ProductID],dProduct[Product])</f>
        <v>Orange</v>
      </c>
      <c r="Q948">
        <f>_xlfn.XLOOKUP(fSales[[#This Row],[ProductID]],dProduct[ProductID],dProduct[CratePrice])-_xlfn.XLOOKUP(fSales[[#This Row],[ProductID]],dProduct[ProductID],dProduct[CrateCost])</f>
        <v>12.495000000000001</v>
      </c>
      <c r="R948">
        <f>_xlfn.XLOOKUP(fSales[[#This Row],[ProductID]],dProduct[ProductID],dProduct[CratePrice])</f>
        <v>29.75</v>
      </c>
      <c r="S948">
        <f>_xlfn.XLOOKUP(fSales[[#This Row],[ProductID]],dProduct[ProductID],dProduct[CrateCost])</f>
        <v>17.254999999999999</v>
      </c>
    </row>
    <row r="949" spans="7:19" x14ac:dyDescent="0.25">
      <c r="G949" s="2">
        <v>45956</v>
      </c>
      <c r="H949">
        <v>96</v>
      </c>
      <c r="I949" t="s">
        <v>19</v>
      </c>
      <c r="J949" t="s">
        <v>29</v>
      </c>
      <c r="K949">
        <f>_xlfn.XLOOKUP(fSales[[#This Row],[ProductID]],dProduct[ProductID],dProduct[CratePrice])*fSales[[#This Row],[Units]]</f>
        <v>3360</v>
      </c>
      <c r="L949">
        <f>fSales[[#This Row],[Total sales]]-_xlfn.XLOOKUP(fSales[[#This Row],[ProductID]],dProduct[ProductID],dProduct[CrateCost])*fSales[[#This Row],[Units]]</f>
        <v>1881.6</v>
      </c>
      <c r="M949">
        <f>(_xlfn.XLOOKUP(fSales[[#This Row],[ProductID]],dProduct[ProductID],dProduct[CratePrice])-_xlfn.XLOOKUP(fSales[[#This Row],[ProductID]],dProduct[ProductID],dProduct[CrateCost]))/_xlfn.XLOOKUP(fSales[[#This Row],[ProductID]],dProduct[ProductID],dProduct[CratePrice])</f>
        <v>0.56000000000000005</v>
      </c>
      <c r="N949" t="str">
        <f>_xlfn.XLOOKUP(fSales[[#This Row],[SalesRepID]],dPSalesRep[SalesRepID],dPSalesRep[SalesRep])</f>
        <v>Sioux Best</v>
      </c>
      <c r="O949" t="str">
        <f>_xlfn.XLOOKUP(fSales[[#This Row],[SalesRepID]],dPSalesRep[SalesRepID],dPSalesRep[Region])</f>
        <v>West</v>
      </c>
      <c r="P949" t="str">
        <f>_xlfn.XLOOKUP(fSales[[#This Row],[ProductID]],dProduct[ProductID],dProduct[Product])</f>
        <v>Apple</v>
      </c>
      <c r="Q949">
        <f>_xlfn.XLOOKUP(fSales[[#This Row],[ProductID]],dProduct[ProductID],dProduct[CratePrice])-_xlfn.XLOOKUP(fSales[[#This Row],[ProductID]],dProduct[ProductID],dProduct[CrateCost])</f>
        <v>19.600000000000001</v>
      </c>
      <c r="R949">
        <f>_xlfn.XLOOKUP(fSales[[#This Row],[ProductID]],dProduct[ProductID],dProduct[CratePrice])</f>
        <v>35</v>
      </c>
      <c r="S949">
        <f>_xlfn.XLOOKUP(fSales[[#This Row],[ProductID]],dProduct[ProductID],dProduct[CrateCost])</f>
        <v>15.4</v>
      </c>
    </row>
    <row r="950" spans="7:19" x14ac:dyDescent="0.25">
      <c r="G950" s="2">
        <v>45956</v>
      </c>
      <c r="H950">
        <v>252</v>
      </c>
      <c r="I950" t="s">
        <v>19</v>
      </c>
      <c r="J950" t="s">
        <v>32</v>
      </c>
      <c r="K950">
        <f>_xlfn.XLOOKUP(fSales[[#This Row],[ProductID]],dProduct[ProductID],dProduct[CratePrice])*fSales[[#This Row],[Units]]</f>
        <v>8820</v>
      </c>
      <c r="L950">
        <f>fSales[[#This Row],[Total sales]]-_xlfn.XLOOKUP(fSales[[#This Row],[ProductID]],dProduct[ProductID],dProduct[CrateCost])*fSales[[#This Row],[Units]]</f>
        <v>4939.2</v>
      </c>
      <c r="M950">
        <f>(_xlfn.XLOOKUP(fSales[[#This Row],[ProductID]],dProduct[ProductID],dProduct[CratePrice])-_xlfn.XLOOKUP(fSales[[#This Row],[ProductID]],dProduct[ProductID],dProduct[CrateCost]))/_xlfn.XLOOKUP(fSales[[#This Row],[ProductID]],dProduct[ProductID],dProduct[CratePrice])</f>
        <v>0.56000000000000005</v>
      </c>
      <c r="N950" t="str">
        <f>_xlfn.XLOOKUP(fSales[[#This Row],[SalesRepID]],dPSalesRep[SalesRepID],dPSalesRep[SalesRep])</f>
        <v>Shihara Fazzaa</v>
      </c>
      <c r="O950" t="str">
        <f>_xlfn.XLOOKUP(fSales[[#This Row],[SalesRepID]],dPSalesRep[SalesRepID],dPSalesRep[Region])</f>
        <v>East</v>
      </c>
      <c r="P950" t="str">
        <f>_xlfn.XLOOKUP(fSales[[#This Row],[ProductID]],dProduct[ProductID],dProduct[Product])</f>
        <v>Apple</v>
      </c>
      <c r="Q950">
        <f>_xlfn.XLOOKUP(fSales[[#This Row],[ProductID]],dProduct[ProductID],dProduct[CratePrice])-_xlfn.XLOOKUP(fSales[[#This Row],[ProductID]],dProduct[ProductID],dProduct[CrateCost])</f>
        <v>19.600000000000001</v>
      </c>
      <c r="R950">
        <f>_xlfn.XLOOKUP(fSales[[#This Row],[ProductID]],dProduct[ProductID],dProduct[CratePrice])</f>
        <v>35</v>
      </c>
      <c r="S950">
        <f>_xlfn.XLOOKUP(fSales[[#This Row],[ProductID]],dProduct[ProductID],dProduct[CrateCost])</f>
        <v>15.4</v>
      </c>
    </row>
    <row r="951" spans="7:19" x14ac:dyDescent="0.25">
      <c r="G951" s="2">
        <v>45956</v>
      </c>
      <c r="H951">
        <v>216</v>
      </c>
      <c r="I951" t="s">
        <v>19</v>
      </c>
      <c r="J951" t="s">
        <v>32</v>
      </c>
      <c r="K951">
        <f>_xlfn.XLOOKUP(fSales[[#This Row],[ProductID]],dProduct[ProductID],dProduct[CratePrice])*fSales[[#This Row],[Units]]</f>
        <v>7560</v>
      </c>
      <c r="L951">
        <f>fSales[[#This Row],[Total sales]]-_xlfn.XLOOKUP(fSales[[#This Row],[ProductID]],dProduct[ProductID],dProduct[CrateCost])*fSales[[#This Row],[Units]]</f>
        <v>4233.6000000000004</v>
      </c>
      <c r="M951">
        <f>(_xlfn.XLOOKUP(fSales[[#This Row],[ProductID]],dProduct[ProductID],dProduct[CratePrice])-_xlfn.XLOOKUP(fSales[[#This Row],[ProductID]],dProduct[ProductID],dProduct[CrateCost]))/_xlfn.XLOOKUP(fSales[[#This Row],[ProductID]],dProduct[ProductID],dProduct[CratePrice])</f>
        <v>0.56000000000000005</v>
      </c>
      <c r="N951" t="str">
        <f>_xlfn.XLOOKUP(fSales[[#This Row],[SalesRepID]],dPSalesRep[SalesRepID],dPSalesRep[SalesRep])</f>
        <v>Shihara Fazzaa</v>
      </c>
      <c r="O951" t="str">
        <f>_xlfn.XLOOKUP(fSales[[#This Row],[SalesRepID]],dPSalesRep[SalesRepID],dPSalesRep[Region])</f>
        <v>East</v>
      </c>
      <c r="P951" t="str">
        <f>_xlfn.XLOOKUP(fSales[[#This Row],[ProductID]],dProduct[ProductID],dProduct[Product])</f>
        <v>Apple</v>
      </c>
      <c r="Q951">
        <f>_xlfn.XLOOKUP(fSales[[#This Row],[ProductID]],dProduct[ProductID],dProduct[CratePrice])-_xlfn.XLOOKUP(fSales[[#This Row],[ProductID]],dProduct[ProductID],dProduct[CrateCost])</f>
        <v>19.600000000000001</v>
      </c>
      <c r="R951">
        <f>_xlfn.XLOOKUP(fSales[[#This Row],[ProductID]],dProduct[ProductID],dProduct[CratePrice])</f>
        <v>35</v>
      </c>
      <c r="S951">
        <f>_xlfn.XLOOKUP(fSales[[#This Row],[ProductID]],dProduct[ProductID],dProduct[CrateCost])</f>
        <v>15.4</v>
      </c>
    </row>
    <row r="952" spans="7:19" x14ac:dyDescent="0.25">
      <c r="G952" s="2">
        <v>45956</v>
      </c>
      <c r="H952">
        <v>240</v>
      </c>
      <c r="I952" t="s">
        <v>21</v>
      </c>
      <c r="J952" t="s">
        <v>37</v>
      </c>
      <c r="K952">
        <f>_xlfn.XLOOKUP(fSales[[#This Row],[ProductID]],dProduct[ProductID],dProduct[CratePrice])*fSales[[#This Row],[Units]]</f>
        <v>5400</v>
      </c>
      <c r="L952">
        <f>fSales[[#This Row],[Total sales]]-_xlfn.XLOOKUP(fSales[[#This Row],[ProductID]],dProduct[ProductID],dProduct[CrateCost])*fSales[[#This Row],[Units]]</f>
        <v>2375.9999999999995</v>
      </c>
      <c r="M952">
        <f>(_xlfn.XLOOKUP(fSales[[#This Row],[ProductID]],dProduct[ProductID],dProduct[CratePrice])-_xlfn.XLOOKUP(fSales[[#This Row],[ProductID]],dProduct[ProductID],dProduct[CrateCost]))/_xlfn.XLOOKUP(fSales[[#This Row],[ProductID]],dProduct[ProductID],dProduct[CratePrice])</f>
        <v>0.43999999999999995</v>
      </c>
      <c r="N952" t="str">
        <f>_xlfn.XLOOKUP(fSales[[#This Row],[SalesRepID]],dPSalesRep[SalesRepID],dPSalesRep[SalesRep])</f>
        <v>Chantel Mims</v>
      </c>
      <c r="O952" t="str">
        <f>_xlfn.XLOOKUP(fSales[[#This Row],[SalesRepID]],dPSalesRep[SalesRepID],dPSalesRep[Region])</f>
        <v>NW</v>
      </c>
      <c r="P952" t="str">
        <f>_xlfn.XLOOKUP(fSales[[#This Row],[ProductID]],dProduct[ProductID],dProduct[Product])</f>
        <v>Kiwi</v>
      </c>
      <c r="Q952">
        <f>_xlfn.XLOOKUP(fSales[[#This Row],[ProductID]],dProduct[ProductID],dProduct[CratePrice])-_xlfn.XLOOKUP(fSales[[#This Row],[ProductID]],dProduct[ProductID],dProduct[CrateCost])</f>
        <v>9.8999999999999986</v>
      </c>
      <c r="R952">
        <f>_xlfn.XLOOKUP(fSales[[#This Row],[ProductID]],dProduct[ProductID],dProduct[CratePrice])</f>
        <v>22.5</v>
      </c>
      <c r="S952">
        <f>_xlfn.XLOOKUP(fSales[[#This Row],[ProductID]],dProduct[ProductID],dProduct[CrateCost])</f>
        <v>12.600000000000001</v>
      </c>
    </row>
    <row r="953" spans="7:19" x14ac:dyDescent="0.25">
      <c r="G953" s="2">
        <v>45956</v>
      </c>
      <c r="H953">
        <v>132</v>
      </c>
      <c r="I953" t="s">
        <v>28</v>
      </c>
      <c r="J953" t="s">
        <v>32</v>
      </c>
      <c r="K953">
        <f>_xlfn.XLOOKUP(fSales[[#This Row],[ProductID]],dProduct[ProductID],dProduct[CratePrice])*fSales[[#This Row],[Units]]</f>
        <v>5768.4000000000005</v>
      </c>
      <c r="L953">
        <f>fSales[[#This Row],[Total sales]]-_xlfn.XLOOKUP(fSales[[#This Row],[ProductID]],dProduct[ProductID],dProduct[CrateCost])*fSales[[#This Row],[Units]]</f>
        <v>2422.7280000000005</v>
      </c>
      <c r="M953">
        <f>(_xlfn.XLOOKUP(fSales[[#This Row],[ProductID]],dProduct[ProductID],dProduct[CratePrice])-_xlfn.XLOOKUP(fSales[[#This Row],[ProductID]],dProduct[ProductID],dProduct[CrateCost]))/_xlfn.XLOOKUP(fSales[[#This Row],[ProductID]],dProduct[ProductID],dProduct[CratePrice])</f>
        <v>0.42000000000000004</v>
      </c>
      <c r="N953" t="str">
        <f>_xlfn.XLOOKUP(fSales[[#This Row],[SalesRepID]],dPSalesRep[SalesRepID],dPSalesRep[SalesRep])</f>
        <v>Shihara Fazzaa</v>
      </c>
      <c r="O953" t="str">
        <f>_xlfn.XLOOKUP(fSales[[#This Row],[SalesRepID]],dPSalesRep[SalesRepID],dPSalesRep[Region])</f>
        <v>East</v>
      </c>
      <c r="P953" t="str">
        <f>_xlfn.XLOOKUP(fSales[[#This Row],[ProductID]],dProduct[ProductID],dProduct[Product])</f>
        <v>Cherry</v>
      </c>
      <c r="Q953">
        <f>_xlfn.XLOOKUP(fSales[[#This Row],[ProductID]],dProduct[ProductID],dProduct[CratePrice])-_xlfn.XLOOKUP(fSales[[#This Row],[ProductID]],dProduct[ProductID],dProduct[CrateCost])</f>
        <v>18.354000000000003</v>
      </c>
      <c r="R953">
        <f>_xlfn.XLOOKUP(fSales[[#This Row],[ProductID]],dProduct[ProductID],dProduct[CratePrice])</f>
        <v>43.7</v>
      </c>
      <c r="S953">
        <f>_xlfn.XLOOKUP(fSales[[#This Row],[ProductID]],dProduct[ProductID],dProduct[CrateCost])</f>
        <v>25.346</v>
      </c>
    </row>
    <row r="954" spans="7:19" x14ac:dyDescent="0.25">
      <c r="G954" s="2">
        <v>45956</v>
      </c>
      <c r="H954">
        <v>264</v>
      </c>
      <c r="I954" t="s">
        <v>19</v>
      </c>
      <c r="J954" t="s">
        <v>52</v>
      </c>
      <c r="K954">
        <f>_xlfn.XLOOKUP(fSales[[#This Row],[ProductID]],dProduct[ProductID],dProduct[CratePrice])*fSales[[#This Row],[Units]]</f>
        <v>9240</v>
      </c>
      <c r="L954">
        <f>fSales[[#This Row],[Total sales]]-_xlfn.XLOOKUP(fSales[[#This Row],[ProductID]],dProduct[ProductID],dProduct[CrateCost])*fSales[[#This Row],[Units]]</f>
        <v>5174.3999999999996</v>
      </c>
      <c r="M954">
        <f>(_xlfn.XLOOKUP(fSales[[#This Row],[ProductID]],dProduct[ProductID],dProduct[CratePrice])-_xlfn.XLOOKUP(fSales[[#This Row],[ProductID]],dProduct[ProductID],dProduct[CrateCost]))/_xlfn.XLOOKUP(fSales[[#This Row],[ProductID]],dProduct[ProductID],dProduct[CratePrice])</f>
        <v>0.56000000000000005</v>
      </c>
      <c r="N954" t="str">
        <f>_xlfn.XLOOKUP(fSales[[#This Row],[SalesRepID]],dPSalesRep[SalesRepID],dPSalesRep[SalesRep])</f>
        <v>Smitty Rad</v>
      </c>
      <c r="O954" t="str">
        <f>_xlfn.XLOOKUP(fSales[[#This Row],[SalesRepID]],dPSalesRep[SalesRepID],dPSalesRep[Region])</f>
        <v>MidWest</v>
      </c>
      <c r="P954" t="str">
        <f>_xlfn.XLOOKUP(fSales[[#This Row],[ProductID]],dProduct[ProductID],dProduct[Product])</f>
        <v>Apple</v>
      </c>
      <c r="Q954">
        <f>_xlfn.XLOOKUP(fSales[[#This Row],[ProductID]],dProduct[ProductID],dProduct[CratePrice])-_xlfn.XLOOKUP(fSales[[#This Row],[ProductID]],dProduct[ProductID],dProduct[CrateCost])</f>
        <v>19.600000000000001</v>
      </c>
      <c r="R954">
        <f>_xlfn.XLOOKUP(fSales[[#This Row],[ProductID]],dProduct[ProductID],dProduct[CratePrice])</f>
        <v>35</v>
      </c>
      <c r="S954">
        <f>_xlfn.XLOOKUP(fSales[[#This Row],[ProductID]],dProduct[ProductID],dProduct[CrateCost])</f>
        <v>15.4</v>
      </c>
    </row>
    <row r="955" spans="7:19" x14ac:dyDescent="0.25">
      <c r="G955" s="2">
        <v>45956</v>
      </c>
      <c r="H955">
        <v>84</v>
      </c>
      <c r="I955" t="s">
        <v>19</v>
      </c>
      <c r="J955" t="s">
        <v>22</v>
      </c>
      <c r="K955">
        <f>_xlfn.XLOOKUP(fSales[[#This Row],[ProductID]],dProduct[ProductID],dProduct[CratePrice])*fSales[[#This Row],[Units]]</f>
        <v>2940</v>
      </c>
      <c r="L955">
        <f>fSales[[#This Row],[Total sales]]-_xlfn.XLOOKUP(fSales[[#This Row],[ProductID]],dProduct[ProductID],dProduct[CrateCost])*fSales[[#This Row],[Units]]</f>
        <v>1646.3999999999999</v>
      </c>
      <c r="M955">
        <f>(_xlfn.XLOOKUP(fSales[[#This Row],[ProductID]],dProduct[ProductID],dProduct[CratePrice])-_xlfn.XLOOKUP(fSales[[#This Row],[ProductID]],dProduct[ProductID],dProduct[CrateCost]))/_xlfn.XLOOKUP(fSales[[#This Row],[ProductID]],dProduct[ProductID],dProduct[CratePrice])</f>
        <v>0.56000000000000005</v>
      </c>
      <c r="N955" t="str">
        <f>_xlfn.XLOOKUP(fSales[[#This Row],[SalesRepID]],dPSalesRep[SalesRepID],dPSalesRep[SalesRep])</f>
        <v>Timmy Kips</v>
      </c>
      <c r="O955" t="str">
        <f>_xlfn.XLOOKUP(fSales[[#This Row],[SalesRepID]],dPSalesRep[SalesRepID],dPSalesRep[Region])</f>
        <v>East</v>
      </c>
      <c r="P955" t="str">
        <f>_xlfn.XLOOKUP(fSales[[#This Row],[ProductID]],dProduct[ProductID],dProduct[Product])</f>
        <v>Apple</v>
      </c>
      <c r="Q955">
        <f>_xlfn.XLOOKUP(fSales[[#This Row],[ProductID]],dProduct[ProductID],dProduct[CratePrice])-_xlfn.XLOOKUP(fSales[[#This Row],[ProductID]],dProduct[ProductID],dProduct[CrateCost])</f>
        <v>19.600000000000001</v>
      </c>
      <c r="R955">
        <f>_xlfn.XLOOKUP(fSales[[#This Row],[ProductID]],dProduct[ProductID],dProduct[CratePrice])</f>
        <v>35</v>
      </c>
      <c r="S955">
        <f>_xlfn.XLOOKUP(fSales[[#This Row],[ProductID]],dProduct[ProductID],dProduct[CrateCost])</f>
        <v>15.4</v>
      </c>
    </row>
    <row r="956" spans="7:19" x14ac:dyDescent="0.25">
      <c r="G956" s="2">
        <v>45957</v>
      </c>
      <c r="H956">
        <v>240</v>
      </c>
      <c r="I956" t="s">
        <v>28</v>
      </c>
      <c r="J956" t="s">
        <v>32</v>
      </c>
      <c r="K956">
        <f>_xlfn.XLOOKUP(fSales[[#This Row],[ProductID]],dProduct[ProductID],dProduct[CratePrice])*fSales[[#This Row],[Units]]</f>
        <v>10488</v>
      </c>
      <c r="L956">
        <f>fSales[[#This Row],[Total sales]]-_xlfn.XLOOKUP(fSales[[#This Row],[ProductID]],dProduct[ProductID],dProduct[CrateCost])*fSales[[#This Row],[Units]]</f>
        <v>4404.96</v>
      </c>
      <c r="M956">
        <f>(_xlfn.XLOOKUP(fSales[[#This Row],[ProductID]],dProduct[ProductID],dProduct[CratePrice])-_xlfn.XLOOKUP(fSales[[#This Row],[ProductID]],dProduct[ProductID],dProduct[CrateCost]))/_xlfn.XLOOKUP(fSales[[#This Row],[ProductID]],dProduct[ProductID],dProduct[CratePrice])</f>
        <v>0.42000000000000004</v>
      </c>
      <c r="N956" t="str">
        <f>_xlfn.XLOOKUP(fSales[[#This Row],[SalesRepID]],dPSalesRep[SalesRepID],dPSalesRep[SalesRep])</f>
        <v>Shihara Fazzaa</v>
      </c>
      <c r="O956" t="str">
        <f>_xlfn.XLOOKUP(fSales[[#This Row],[SalesRepID]],dPSalesRep[SalesRepID],dPSalesRep[Region])</f>
        <v>East</v>
      </c>
      <c r="P956" t="str">
        <f>_xlfn.XLOOKUP(fSales[[#This Row],[ProductID]],dProduct[ProductID],dProduct[Product])</f>
        <v>Cherry</v>
      </c>
      <c r="Q956">
        <f>_xlfn.XLOOKUP(fSales[[#This Row],[ProductID]],dProduct[ProductID],dProduct[CratePrice])-_xlfn.XLOOKUP(fSales[[#This Row],[ProductID]],dProduct[ProductID],dProduct[CrateCost])</f>
        <v>18.354000000000003</v>
      </c>
      <c r="R956">
        <f>_xlfn.XLOOKUP(fSales[[#This Row],[ProductID]],dProduct[ProductID],dProduct[CratePrice])</f>
        <v>43.7</v>
      </c>
      <c r="S956">
        <f>_xlfn.XLOOKUP(fSales[[#This Row],[ProductID]],dProduct[ProductID],dProduct[CrateCost])</f>
        <v>25.346</v>
      </c>
    </row>
    <row r="957" spans="7:19" x14ac:dyDescent="0.25">
      <c r="G957" s="2">
        <v>45958</v>
      </c>
      <c r="H957">
        <v>60</v>
      </c>
      <c r="I957" t="s">
        <v>19</v>
      </c>
      <c r="J957" t="s">
        <v>32</v>
      </c>
      <c r="K957">
        <f>_xlfn.XLOOKUP(fSales[[#This Row],[ProductID]],dProduct[ProductID],dProduct[CratePrice])*fSales[[#This Row],[Units]]</f>
        <v>2100</v>
      </c>
      <c r="L957">
        <f>fSales[[#This Row],[Total sales]]-_xlfn.XLOOKUP(fSales[[#This Row],[ProductID]],dProduct[ProductID],dProduct[CrateCost])*fSales[[#This Row],[Units]]</f>
        <v>1176</v>
      </c>
      <c r="M957">
        <f>(_xlfn.XLOOKUP(fSales[[#This Row],[ProductID]],dProduct[ProductID],dProduct[CratePrice])-_xlfn.XLOOKUP(fSales[[#This Row],[ProductID]],dProduct[ProductID],dProduct[CrateCost]))/_xlfn.XLOOKUP(fSales[[#This Row],[ProductID]],dProduct[ProductID],dProduct[CratePrice])</f>
        <v>0.56000000000000005</v>
      </c>
      <c r="N957" t="str">
        <f>_xlfn.XLOOKUP(fSales[[#This Row],[SalesRepID]],dPSalesRep[SalesRepID],dPSalesRep[SalesRep])</f>
        <v>Shihara Fazzaa</v>
      </c>
      <c r="O957" t="str">
        <f>_xlfn.XLOOKUP(fSales[[#This Row],[SalesRepID]],dPSalesRep[SalesRepID],dPSalesRep[Region])</f>
        <v>East</v>
      </c>
      <c r="P957" t="str">
        <f>_xlfn.XLOOKUP(fSales[[#This Row],[ProductID]],dProduct[ProductID],dProduct[Product])</f>
        <v>Apple</v>
      </c>
      <c r="Q957">
        <f>_xlfn.XLOOKUP(fSales[[#This Row],[ProductID]],dProduct[ProductID],dProduct[CratePrice])-_xlfn.XLOOKUP(fSales[[#This Row],[ProductID]],dProduct[ProductID],dProduct[CrateCost])</f>
        <v>19.600000000000001</v>
      </c>
      <c r="R957">
        <f>_xlfn.XLOOKUP(fSales[[#This Row],[ProductID]],dProduct[ProductID],dProduct[CratePrice])</f>
        <v>35</v>
      </c>
      <c r="S957">
        <f>_xlfn.XLOOKUP(fSales[[#This Row],[ProductID]],dProduct[ProductID],dProduct[CrateCost])</f>
        <v>15.4</v>
      </c>
    </row>
    <row r="958" spans="7:19" x14ac:dyDescent="0.25">
      <c r="G958" s="2">
        <v>45958</v>
      </c>
      <c r="H958">
        <v>72</v>
      </c>
      <c r="I958" t="s">
        <v>19</v>
      </c>
      <c r="J958" t="s">
        <v>37</v>
      </c>
      <c r="K958">
        <f>_xlfn.XLOOKUP(fSales[[#This Row],[ProductID]],dProduct[ProductID],dProduct[CratePrice])*fSales[[#This Row],[Units]]</f>
        <v>2520</v>
      </c>
      <c r="L958">
        <f>fSales[[#This Row],[Total sales]]-_xlfn.XLOOKUP(fSales[[#This Row],[ProductID]],dProduct[ProductID],dProduct[CrateCost])*fSales[[#This Row],[Units]]</f>
        <v>1411.2</v>
      </c>
      <c r="M958">
        <f>(_xlfn.XLOOKUP(fSales[[#This Row],[ProductID]],dProduct[ProductID],dProduct[CratePrice])-_xlfn.XLOOKUP(fSales[[#This Row],[ProductID]],dProduct[ProductID],dProduct[CrateCost]))/_xlfn.XLOOKUP(fSales[[#This Row],[ProductID]],dProduct[ProductID],dProduct[CratePrice])</f>
        <v>0.56000000000000005</v>
      </c>
      <c r="N958" t="str">
        <f>_xlfn.XLOOKUP(fSales[[#This Row],[SalesRepID]],dPSalesRep[SalesRepID],dPSalesRep[SalesRep])</f>
        <v>Chantel Mims</v>
      </c>
      <c r="O958" t="str">
        <f>_xlfn.XLOOKUP(fSales[[#This Row],[SalesRepID]],dPSalesRep[SalesRepID],dPSalesRep[Region])</f>
        <v>NW</v>
      </c>
      <c r="P958" t="str">
        <f>_xlfn.XLOOKUP(fSales[[#This Row],[ProductID]],dProduct[ProductID],dProduct[Product])</f>
        <v>Apple</v>
      </c>
      <c r="Q958">
        <f>_xlfn.XLOOKUP(fSales[[#This Row],[ProductID]],dProduct[ProductID],dProduct[CratePrice])-_xlfn.XLOOKUP(fSales[[#This Row],[ProductID]],dProduct[ProductID],dProduct[CrateCost])</f>
        <v>19.600000000000001</v>
      </c>
      <c r="R958">
        <f>_xlfn.XLOOKUP(fSales[[#This Row],[ProductID]],dProduct[ProductID],dProduct[CratePrice])</f>
        <v>35</v>
      </c>
      <c r="S958">
        <f>_xlfn.XLOOKUP(fSales[[#This Row],[ProductID]],dProduct[ProductID],dProduct[CrateCost])</f>
        <v>15.4</v>
      </c>
    </row>
    <row r="959" spans="7:19" x14ac:dyDescent="0.25">
      <c r="G959" s="2">
        <v>45958</v>
      </c>
      <c r="H959">
        <v>72</v>
      </c>
      <c r="I959" t="s">
        <v>19</v>
      </c>
      <c r="J959" t="s">
        <v>52</v>
      </c>
      <c r="K959">
        <f>_xlfn.XLOOKUP(fSales[[#This Row],[ProductID]],dProduct[ProductID],dProduct[CratePrice])*fSales[[#This Row],[Units]]</f>
        <v>2520</v>
      </c>
      <c r="L959">
        <f>fSales[[#This Row],[Total sales]]-_xlfn.XLOOKUP(fSales[[#This Row],[ProductID]],dProduct[ProductID],dProduct[CrateCost])*fSales[[#This Row],[Units]]</f>
        <v>1411.2</v>
      </c>
      <c r="M959">
        <f>(_xlfn.XLOOKUP(fSales[[#This Row],[ProductID]],dProduct[ProductID],dProduct[CratePrice])-_xlfn.XLOOKUP(fSales[[#This Row],[ProductID]],dProduct[ProductID],dProduct[CrateCost]))/_xlfn.XLOOKUP(fSales[[#This Row],[ProductID]],dProduct[ProductID],dProduct[CratePrice])</f>
        <v>0.56000000000000005</v>
      </c>
      <c r="N959" t="str">
        <f>_xlfn.XLOOKUP(fSales[[#This Row],[SalesRepID]],dPSalesRep[SalesRepID],dPSalesRep[SalesRep])</f>
        <v>Smitty Rad</v>
      </c>
      <c r="O959" t="str">
        <f>_xlfn.XLOOKUP(fSales[[#This Row],[SalesRepID]],dPSalesRep[SalesRepID],dPSalesRep[Region])</f>
        <v>MidWest</v>
      </c>
      <c r="P959" t="str">
        <f>_xlfn.XLOOKUP(fSales[[#This Row],[ProductID]],dProduct[ProductID],dProduct[Product])</f>
        <v>Apple</v>
      </c>
      <c r="Q959">
        <f>_xlfn.XLOOKUP(fSales[[#This Row],[ProductID]],dProduct[ProductID],dProduct[CratePrice])-_xlfn.XLOOKUP(fSales[[#This Row],[ProductID]],dProduct[ProductID],dProduct[CrateCost])</f>
        <v>19.600000000000001</v>
      </c>
      <c r="R959">
        <f>_xlfn.XLOOKUP(fSales[[#This Row],[ProductID]],dProduct[ProductID],dProduct[CratePrice])</f>
        <v>35</v>
      </c>
      <c r="S959">
        <f>_xlfn.XLOOKUP(fSales[[#This Row],[ProductID]],dProduct[ProductID],dProduct[CrateCost])</f>
        <v>15.4</v>
      </c>
    </row>
    <row r="960" spans="7:19" x14ac:dyDescent="0.25">
      <c r="G960" s="2">
        <v>45959</v>
      </c>
      <c r="H960">
        <v>84</v>
      </c>
      <c r="I960" t="s">
        <v>19</v>
      </c>
      <c r="J960" t="s">
        <v>37</v>
      </c>
      <c r="K960">
        <f>_xlfn.XLOOKUP(fSales[[#This Row],[ProductID]],dProduct[ProductID],dProduct[CratePrice])*fSales[[#This Row],[Units]]</f>
        <v>2940</v>
      </c>
      <c r="L960">
        <f>fSales[[#This Row],[Total sales]]-_xlfn.XLOOKUP(fSales[[#This Row],[ProductID]],dProduct[ProductID],dProduct[CrateCost])*fSales[[#This Row],[Units]]</f>
        <v>1646.3999999999999</v>
      </c>
      <c r="M960">
        <f>(_xlfn.XLOOKUP(fSales[[#This Row],[ProductID]],dProduct[ProductID],dProduct[CratePrice])-_xlfn.XLOOKUP(fSales[[#This Row],[ProductID]],dProduct[ProductID],dProduct[CrateCost]))/_xlfn.XLOOKUP(fSales[[#This Row],[ProductID]],dProduct[ProductID],dProduct[CratePrice])</f>
        <v>0.56000000000000005</v>
      </c>
      <c r="N960" t="str">
        <f>_xlfn.XLOOKUP(fSales[[#This Row],[SalesRepID]],dPSalesRep[SalesRepID],dPSalesRep[SalesRep])</f>
        <v>Chantel Mims</v>
      </c>
      <c r="O960" t="str">
        <f>_xlfn.XLOOKUP(fSales[[#This Row],[SalesRepID]],dPSalesRep[SalesRepID],dPSalesRep[Region])</f>
        <v>NW</v>
      </c>
      <c r="P960" t="str">
        <f>_xlfn.XLOOKUP(fSales[[#This Row],[ProductID]],dProduct[ProductID],dProduct[Product])</f>
        <v>Apple</v>
      </c>
      <c r="Q960">
        <f>_xlfn.XLOOKUP(fSales[[#This Row],[ProductID]],dProduct[ProductID],dProduct[CratePrice])-_xlfn.XLOOKUP(fSales[[#This Row],[ProductID]],dProduct[ProductID],dProduct[CrateCost])</f>
        <v>19.600000000000001</v>
      </c>
      <c r="R960">
        <f>_xlfn.XLOOKUP(fSales[[#This Row],[ProductID]],dProduct[ProductID],dProduct[CratePrice])</f>
        <v>35</v>
      </c>
      <c r="S960">
        <f>_xlfn.XLOOKUP(fSales[[#This Row],[ProductID]],dProduct[ProductID],dProduct[CrateCost])</f>
        <v>15.4</v>
      </c>
    </row>
    <row r="961" spans="7:19" x14ac:dyDescent="0.25">
      <c r="G961" s="2">
        <v>45960</v>
      </c>
      <c r="H961">
        <v>180</v>
      </c>
      <c r="I961" t="s">
        <v>26</v>
      </c>
      <c r="J961" t="s">
        <v>22</v>
      </c>
      <c r="K961">
        <f>_xlfn.XLOOKUP(fSales[[#This Row],[ProductID]],dProduct[ProductID],dProduct[CratePrice])*fSales[[#This Row],[Units]]</f>
        <v>5355</v>
      </c>
      <c r="L961">
        <f>fSales[[#This Row],[Total sales]]-_xlfn.XLOOKUP(fSales[[#This Row],[ProductID]],dProduct[ProductID],dProduct[CrateCost])*fSales[[#This Row],[Units]]</f>
        <v>2249.1000000000004</v>
      </c>
      <c r="M961">
        <f>(_xlfn.XLOOKUP(fSales[[#This Row],[ProductID]],dProduct[ProductID],dProduct[CratePrice])-_xlfn.XLOOKUP(fSales[[#This Row],[ProductID]],dProduct[ProductID],dProduct[CrateCost]))/_xlfn.XLOOKUP(fSales[[#This Row],[ProductID]],dProduct[ProductID],dProduct[CratePrice])</f>
        <v>0.42000000000000004</v>
      </c>
      <c r="N961" t="str">
        <f>_xlfn.XLOOKUP(fSales[[#This Row],[SalesRepID]],dPSalesRep[SalesRepID],dPSalesRep[SalesRep])</f>
        <v>Timmy Kips</v>
      </c>
      <c r="O961" t="str">
        <f>_xlfn.XLOOKUP(fSales[[#This Row],[SalesRepID]],dPSalesRep[SalesRepID],dPSalesRep[Region])</f>
        <v>East</v>
      </c>
      <c r="P961" t="str">
        <f>_xlfn.XLOOKUP(fSales[[#This Row],[ProductID]],dProduct[ProductID],dProduct[Product])</f>
        <v>Orange</v>
      </c>
      <c r="Q961">
        <f>_xlfn.XLOOKUP(fSales[[#This Row],[ProductID]],dProduct[ProductID],dProduct[CratePrice])-_xlfn.XLOOKUP(fSales[[#This Row],[ProductID]],dProduct[ProductID],dProduct[CrateCost])</f>
        <v>12.495000000000001</v>
      </c>
      <c r="R961">
        <f>_xlfn.XLOOKUP(fSales[[#This Row],[ProductID]],dProduct[ProductID],dProduct[CratePrice])</f>
        <v>29.75</v>
      </c>
      <c r="S961">
        <f>_xlfn.XLOOKUP(fSales[[#This Row],[ProductID]],dProduct[ProductID],dProduct[CrateCost])</f>
        <v>17.254999999999999</v>
      </c>
    </row>
    <row r="962" spans="7:19" x14ac:dyDescent="0.25">
      <c r="G962" s="2">
        <v>45960</v>
      </c>
      <c r="H962">
        <v>276</v>
      </c>
      <c r="I962" t="s">
        <v>28</v>
      </c>
      <c r="J962" t="s">
        <v>29</v>
      </c>
      <c r="K962">
        <f>_xlfn.XLOOKUP(fSales[[#This Row],[ProductID]],dProduct[ProductID],dProduct[CratePrice])*fSales[[#This Row],[Units]]</f>
        <v>12061.2</v>
      </c>
      <c r="L962">
        <f>fSales[[#This Row],[Total sales]]-_xlfn.XLOOKUP(fSales[[#This Row],[ProductID]],dProduct[ProductID],dProduct[CrateCost])*fSales[[#This Row],[Units]]</f>
        <v>5065.7040000000006</v>
      </c>
      <c r="M962">
        <f>(_xlfn.XLOOKUP(fSales[[#This Row],[ProductID]],dProduct[ProductID],dProduct[CratePrice])-_xlfn.XLOOKUP(fSales[[#This Row],[ProductID]],dProduct[ProductID],dProduct[CrateCost]))/_xlfn.XLOOKUP(fSales[[#This Row],[ProductID]],dProduct[ProductID],dProduct[CratePrice])</f>
        <v>0.42000000000000004</v>
      </c>
      <c r="N962" t="str">
        <f>_xlfn.XLOOKUP(fSales[[#This Row],[SalesRepID]],dPSalesRep[SalesRepID],dPSalesRep[SalesRep])</f>
        <v>Sioux Best</v>
      </c>
      <c r="O962" t="str">
        <f>_xlfn.XLOOKUP(fSales[[#This Row],[SalesRepID]],dPSalesRep[SalesRepID],dPSalesRep[Region])</f>
        <v>West</v>
      </c>
      <c r="P962" t="str">
        <f>_xlfn.XLOOKUP(fSales[[#This Row],[ProductID]],dProduct[ProductID],dProduct[Product])</f>
        <v>Cherry</v>
      </c>
      <c r="Q962">
        <f>_xlfn.XLOOKUP(fSales[[#This Row],[ProductID]],dProduct[ProductID],dProduct[CratePrice])-_xlfn.XLOOKUP(fSales[[#This Row],[ProductID]],dProduct[ProductID],dProduct[CrateCost])</f>
        <v>18.354000000000003</v>
      </c>
      <c r="R962">
        <f>_xlfn.XLOOKUP(fSales[[#This Row],[ProductID]],dProduct[ProductID],dProduct[CratePrice])</f>
        <v>43.7</v>
      </c>
      <c r="S962">
        <f>_xlfn.XLOOKUP(fSales[[#This Row],[ProductID]],dProduct[ProductID],dProduct[CrateCost])</f>
        <v>25.346</v>
      </c>
    </row>
    <row r="963" spans="7:19" x14ac:dyDescent="0.25">
      <c r="G963" s="2">
        <v>45961</v>
      </c>
      <c r="H963">
        <v>60</v>
      </c>
      <c r="I963" t="s">
        <v>19</v>
      </c>
      <c r="J963" t="s">
        <v>32</v>
      </c>
      <c r="K963">
        <f>_xlfn.XLOOKUP(fSales[[#This Row],[ProductID]],dProduct[ProductID],dProduct[CratePrice])*fSales[[#This Row],[Units]]</f>
        <v>2100</v>
      </c>
      <c r="L963">
        <f>fSales[[#This Row],[Total sales]]-_xlfn.XLOOKUP(fSales[[#This Row],[ProductID]],dProduct[ProductID],dProduct[CrateCost])*fSales[[#This Row],[Units]]</f>
        <v>1176</v>
      </c>
      <c r="M963">
        <f>(_xlfn.XLOOKUP(fSales[[#This Row],[ProductID]],dProduct[ProductID],dProduct[CratePrice])-_xlfn.XLOOKUP(fSales[[#This Row],[ProductID]],dProduct[ProductID],dProduct[CrateCost]))/_xlfn.XLOOKUP(fSales[[#This Row],[ProductID]],dProduct[ProductID],dProduct[CratePrice])</f>
        <v>0.56000000000000005</v>
      </c>
      <c r="N963" t="str">
        <f>_xlfn.XLOOKUP(fSales[[#This Row],[SalesRepID]],dPSalesRep[SalesRepID],dPSalesRep[SalesRep])</f>
        <v>Shihara Fazzaa</v>
      </c>
      <c r="O963" t="str">
        <f>_xlfn.XLOOKUP(fSales[[#This Row],[SalesRepID]],dPSalesRep[SalesRepID],dPSalesRep[Region])</f>
        <v>East</v>
      </c>
      <c r="P963" t="str">
        <f>_xlfn.XLOOKUP(fSales[[#This Row],[ProductID]],dProduct[ProductID],dProduct[Product])</f>
        <v>Apple</v>
      </c>
      <c r="Q963">
        <f>_xlfn.XLOOKUP(fSales[[#This Row],[ProductID]],dProduct[ProductID],dProduct[CratePrice])-_xlfn.XLOOKUP(fSales[[#This Row],[ProductID]],dProduct[ProductID],dProduct[CrateCost])</f>
        <v>19.600000000000001</v>
      </c>
      <c r="R963">
        <f>_xlfn.XLOOKUP(fSales[[#This Row],[ProductID]],dProduct[ProductID],dProduct[CratePrice])</f>
        <v>35</v>
      </c>
      <c r="S963">
        <f>_xlfn.XLOOKUP(fSales[[#This Row],[ProductID]],dProduct[ProductID],dProduct[CrateCost])</f>
        <v>15.4</v>
      </c>
    </row>
    <row r="964" spans="7:19" x14ac:dyDescent="0.25">
      <c r="G964" s="2">
        <v>45962</v>
      </c>
      <c r="H964">
        <v>72</v>
      </c>
      <c r="I964" t="s">
        <v>21</v>
      </c>
      <c r="J964" t="s">
        <v>37</v>
      </c>
      <c r="K964">
        <f>_xlfn.XLOOKUP(fSales[[#This Row],[ProductID]],dProduct[ProductID],dProduct[CratePrice])*fSales[[#This Row],[Units]]</f>
        <v>1620</v>
      </c>
      <c r="L964">
        <f>fSales[[#This Row],[Total sales]]-_xlfn.XLOOKUP(fSales[[#This Row],[ProductID]],dProduct[ProductID],dProduct[CrateCost])*fSales[[#This Row],[Units]]</f>
        <v>712.8</v>
      </c>
      <c r="M964">
        <f>(_xlfn.XLOOKUP(fSales[[#This Row],[ProductID]],dProduct[ProductID],dProduct[CratePrice])-_xlfn.XLOOKUP(fSales[[#This Row],[ProductID]],dProduct[ProductID],dProduct[CrateCost]))/_xlfn.XLOOKUP(fSales[[#This Row],[ProductID]],dProduct[ProductID],dProduct[CratePrice])</f>
        <v>0.43999999999999995</v>
      </c>
      <c r="N964" t="str">
        <f>_xlfn.XLOOKUP(fSales[[#This Row],[SalesRepID]],dPSalesRep[SalesRepID],dPSalesRep[SalesRep])</f>
        <v>Chantel Mims</v>
      </c>
      <c r="O964" t="str">
        <f>_xlfn.XLOOKUP(fSales[[#This Row],[SalesRepID]],dPSalesRep[SalesRepID],dPSalesRep[Region])</f>
        <v>NW</v>
      </c>
      <c r="P964" t="str">
        <f>_xlfn.XLOOKUP(fSales[[#This Row],[ProductID]],dProduct[ProductID],dProduct[Product])</f>
        <v>Kiwi</v>
      </c>
      <c r="Q964">
        <f>_xlfn.XLOOKUP(fSales[[#This Row],[ProductID]],dProduct[ProductID],dProduct[CratePrice])-_xlfn.XLOOKUP(fSales[[#This Row],[ProductID]],dProduct[ProductID],dProduct[CrateCost])</f>
        <v>9.8999999999999986</v>
      </c>
      <c r="R964">
        <f>_xlfn.XLOOKUP(fSales[[#This Row],[ProductID]],dProduct[ProductID],dProduct[CratePrice])</f>
        <v>22.5</v>
      </c>
      <c r="S964">
        <f>_xlfn.XLOOKUP(fSales[[#This Row],[ProductID]],dProduct[ProductID],dProduct[CrateCost])</f>
        <v>12.600000000000001</v>
      </c>
    </row>
    <row r="965" spans="7:19" x14ac:dyDescent="0.25">
      <c r="G965" s="2">
        <v>45963</v>
      </c>
      <c r="H965">
        <v>156</v>
      </c>
      <c r="I965" t="s">
        <v>28</v>
      </c>
      <c r="J965" t="s">
        <v>32</v>
      </c>
      <c r="K965">
        <f>_xlfn.XLOOKUP(fSales[[#This Row],[ProductID]],dProduct[ProductID],dProduct[CratePrice])*fSales[[#This Row],[Units]]</f>
        <v>6817.2000000000007</v>
      </c>
      <c r="L965">
        <f>fSales[[#This Row],[Total sales]]-_xlfn.XLOOKUP(fSales[[#This Row],[ProductID]],dProduct[ProductID],dProduct[CrateCost])*fSales[[#This Row],[Units]]</f>
        <v>2863.2240000000006</v>
      </c>
      <c r="M965">
        <f>(_xlfn.XLOOKUP(fSales[[#This Row],[ProductID]],dProduct[ProductID],dProduct[CratePrice])-_xlfn.XLOOKUP(fSales[[#This Row],[ProductID]],dProduct[ProductID],dProduct[CrateCost]))/_xlfn.XLOOKUP(fSales[[#This Row],[ProductID]],dProduct[ProductID],dProduct[CratePrice])</f>
        <v>0.42000000000000004</v>
      </c>
      <c r="N965" t="str">
        <f>_xlfn.XLOOKUP(fSales[[#This Row],[SalesRepID]],dPSalesRep[SalesRepID],dPSalesRep[SalesRep])</f>
        <v>Shihara Fazzaa</v>
      </c>
      <c r="O965" t="str">
        <f>_xlfn.XLOOKUP(fSales[[#This Row],[SalesRepID]],dPSalesRep[SalesRepID],dPSalesRep[Region])</f>
        <v>East</v>
      </c>
      <c r="P965" t="str">
        <f>_xlfn.XLOOKUP(fSales[[#This Row],[ProductID]],dProduct[ProductID],dProduct[Product])</f>
        <v>Cherry</v>
      </c>
      <c r="Q965">
        <f>_xlfn.XLOOKUP(fSales[[#This Row],[ProductID]],dProduct[ProductID],dProduct[CratePrice])-_xlfn.XLOOKUP(fSales[[#This Row],[ProductID]],dProduct[ProductID],dProduct[CrateCost])</f>
        <v>18.354000000000003</v>
      </c>
      <c r="R965">
        <f>_xlfn.XLOOKUP(fSales[[#This Row],[ProductID]],dProduct[ProductID],dProduct[CratePrice])</f>
        <v>43.7</v>
      </c>
      <c r="S965">
        <f>_xlfn.XLOOKUP(fSales[[#This Row],[ProductID]],dProduct[ProductID],dProduct[CrateCost])</f>
        <v>25.346</v>
      </c>
    </row>
    <row r="966" spans="7:19" x14ac:dyDescent="0.25">
      <c r="G966" s="2">
        <v>45963</v>
      </c>
      <c r="H966">
        <v>84</v>
      </c>
      <c r="I966" t="s">
        <v>19</v>
      </c>
      <c r="J966" t="s">
        <v>29</v>
      </c>
      <c r="K966">
        <f>_xlfn.XLOOKUP(fSales[[#This Row],[ProductID]],dProduct[ProductID],dProduct[CratePrice])*fSales[[#This Row],[Units]]</f>
        <v>2940</v>
      </c>
      <c r="L966">
        <f>fSales[[#This Row],[Total sales]]-_xlfn.XLOOKUP(fSales[[#This Row],[ProductID]],dProduct[ProductID],dProduct[CrateCost])*fSales[[#This Row],[Units]]</f>
        <v>1646.3999999999999</v>
      </c>
      <c r="M966">
        <f>(_xlfn.XLOOKUP(fSales[[#This Row],[ProductID]],dProduct[ProductID],dProduct[CratePrice])-_xlfn.XLOOKUP(fSales[[#This Row],[ProductID]],dProduct[ProductID],dProduct[CrateCost]))/_xlfn.XLOOKUP(fSales[[#This Row],[ProductID]],dProduct[ProductID],dProduct[CratePrice])</f>
        <v>0.56000000000000005</v>
      </c>
      <c r="N966" t="str">
        <f>_xlfn.XLOOKUP(fSales[[#This Row],[SalesRepID]],dPSalesRep[SalesRepID],dPSalesRep[SalesRep])</f>
        <v>Sioux Best</v>
      </c>
      <c r="O966" t="str">
        <f>_xlfn.XLOOKUP(fSales[[#This Row],[SalesRepID]],dPSalesRep[SalesRepID],dPSalesRep[Region])</f>
        <v>West</v>
      </c>
      <c r="P966" t="str">
        <f>_xlfn.XLOOKUP(fSales[[#This Row],[ProductID]],dProduct[ProductID],dProduct[Product])</f>
        <v>Apple</v>
      </c>
      <c r="Q966">
        <f>_xlfn.XLOOKUP(fSales[[#This Row],[ProductID]],dProduct[ProductID],dProduct[CratePrice])-_xlfn.XLOOKUP(fSales[[#This Row],[ProductID]],dProduct[ProductID],dProduct[CrateCost])</f>
        <v>19.600000000000001</v>
      </c>
      <c r="R966">
        <f>_xlfn.XLOOKUP(fSales[[#This Row],[ProductID]],dProduct[ProductID],dProduct[CratePrice])</f>
        <v>35</v>
      </c>
      <c r="S966">
        <f>_xlfn.XLOOKUP(fSales[[#This Row],[ProductID]],dProduct[ProductID],dProduct[CrateCost])</f>
        <v>15.4</v>
      </c>
    </row>
    <row r="967" spans="7:19" x14ac:dyDescent="0.25">
      <c r="G967" s="2">
        <v>45965</v>
      </c>
      <c r="H967">
        <v>60</v>
      </c>
      <c r="I967" t="s">
        <v>28</v>
      </c>
      <c r="J967" t="s">
        <v>22</v>
      </c>
      <c r="K967">
        <f>_xlfn.XLOOKUP(fSales[[#This Row],[ProductID]],dProduct[ProductID],dProduct[CratePrice])*fSales[[#This Row],[Units]]</f>
        <v>2622</v>
      </c>
      <c r="L967">
        <f>fSales[[#This Row],[Total sales]]-_xlfn.XLOOKUP(fSales[[#This Row],[ProductID]],dProduct[ProductID],dProduct[CrateCost])*fSales[[#This Row],[Units]]</f>
        <v>1101.24</v>
      </c>
      <c r="M967">
        <f>(_xlfn.XLOOKUP(fSales[[#This Row],[ProductID]],dProduct[ProductID],dProduct[CratePrice])-_xlfn.XLOOKUP(fSales[[#This Row],[ProductID]],dProduct[ProductID],dProduct[CrateCost]))/_xlfn.XLOOKUP(fSales[[#This Row],[ProductID]],dProduct[ProductID],dProduct[CratePrice])</f>
        <v>0.42000000000000004</v>
      </c>
      <c r="N967" t="str">
        <f>_xlfn.XLOOKUP(fSales[[#This Row],[SalesRepID]],dPSalesRep[SalesRepID],dPSalesRep[SalesRep])</f>
        <v>Timmy Kips</v>
      </c>
      <c r="O967" t="str">
        <f>_xlfn.XLOOKUP(fSales[[#This Row],[SalesRepID]],dPSalesRep[SalesRepID],dPSalesRep[Region])</f>
        <v>East</v>
      </c>
      <c r="P967" t="str">
        <f>_xlfn.XLOOKUP(fSales[[#This Row],[ProductID]],dProduct[ProductID],dProduct[Product])</f>
        <v>Cherry</v>
      </c>
      <c r="Q967">
        <f>_xlfn.XLOOKUP(fSales[[#This Row],[ProductID]],dProduct[ProductID],dProduct[CratePrice])-_xlfn.XLOOKUP(fSales[[#This Row],[ProductID]],dProduct[ProductID],dProduct[CrateCost])</f>
        <v>18.354000000000003</v>
      </c>
      <c r="R967">
        <f>_xlfn.XLOOKUP(fSales[[#This Row],[ProductID]],dProduct[ProductID],dProduct[CratePrice])</f>
        <v>43.7</v>
      </c>
      <c r="S967">
        <f>_xlfn.XLOOKUP(fSales[[#This Row],[ProductID]],dProduct[ProductID],dProduct[CrateCost])</f>
        <v>25.346</v>
      </c>
    </row>
    <row r="968" spans="7:19" x14ac:dyDescent="0.25">
      <c r="G968" s="2">
        <v>45966</v>
      </c>
      <c r="H968">
        <v>144</v>
      </c>
      <c r="I968" t="s">
        <v>34</v>
      </c>
      <c r="J968" t="s">
        <v>32</v>
      </c>
      <c r="K968">
        <f>_xlfn.XLOOKUP(fSales[[#This Row],[ProductID]],dProduct[ProductID],dProduct[CratePrice])*fSales[[#This Row],[Units]]</f>
        <v>2520</v>
      </c>
      <c r="L968">
        <f>fSales[[#This Row],[Total sales]]-_xlfn.XLOOKUP(fSales[[#This Row],[ProductID]],dProduct[ProductID],dProduct[CrateCost])*fSales[[#This Row],[Units]]</f>
        <v>831.59999999999991</v>
      </c>
      <c r="M968">
        <f>(_xlfn.XLOOKUP(fSales[[#This Row],[ProductID]],dProduct[ProductID],dProduct[CratePrice])-_xlfn.XLOOKUP(fSales[[#This Row],[ProductID]],dProduct[ProductID],dProduct[CrateCost]))/_xlfn.XLOOKUP(fSales[[#This Row],[ProductID]],dProduct[ProductID],dProduct[CratePrice])</f>
        <v>0.3299999999999999</v>
      </c>
      <c r="N968" t="str">
        <f>_xlfn.XLOOKUP(fSales[[#This Row],[SalesRepID]],dPSalesRep[SalesRepID],dPSalesRep[SalesRep])</f>
        <v>Shihara Fazzaa</v>
      </c>
      <c r="O968" t="str">
        <f>_xlfn.XLOOKUP(fSales[[#This Row],[SalesRepID]],dPSalesRep[SalesRepID],dPSalesRep[Region])</f>
        <v>East</v>
      </c>
      <c r="P968" t="str">
        <f>_xlfn.XLOOKUP(fSales[[#This Row],[ProductID]],dProduct[ProductID],dProduct[Product])</f>
        <v>Banana</v>
      </c>
      <c r="Q968">
        <f>_xlfn.XLOOKUP(fSales[[#This Row],[ProductID]],dProduct[ProductID],dProduct[CratePrice])-_xlfn.XLOOKUP(fSales[[#This Row],[ProductID]],dProduct[ProductID],dProduct[CrateCost])</f>
        <v>5.7749999999999986</v>
      </c>
      <c r="R968">
        <f>_xlfn.XLOOKUP(fSales[[#This Row],[ProductID]],dProduct[ProductID],dProduct[CratePrice])</f>
        <v>17.5</v>
      </c>
      <c r="S968">
        <f>_xlfn.XLOOKUP(fSales[[#This Row],[ProductID]],dProduct[ProductID],dProduct[CrateCost])</f>
        <v>11.725000000000001</v>
      </c>
    </row>
    <row r="969" spans="7:19" x14ac:dyDescent="0.25">
      <c r="G969" s="2">
        <v>45966</v>
      </c>
      <c r="H969">
        <v>276</v>
      </c>
      <c r="I969" t="s">
        <v>21</v>
      </c>
      <c r="J969" t="s">
        <v>22</v>
      </c>
      <c r="K969">
        <f>_xlfn.XLOOKUP(fSales[[#This Row],[ProductID]],dProduct[ProductID],dProduct[CratePrice])*fSales[[#This Row],[Units]]</f>
        <v>6210</v>
      </c>
      <c r="L969">
        <f>fSales[[#This Row],[Total sales]]-_xlfn.XLOOKUP(fSales[[#This Row],[ProductID]],dProduct[ProductID],dProduct[CrateCost])*fSales[[#This Row],[Units]]</f>
        <v>2732.3999999999996</v>
      </c>
      <c r="M969">
        <f>(_xlfn.XLOOKUP(fSales[[#This Row],[ProductID]],dProduct[ProductID],dProduct[CratePrice])-_xlfn.XLOOKUP(fSales[[#This Row],[ProductID]],dProduct[ProductID],dProduct[CrateCost]))/_xlfn.XLOOKUP(fSales[[#This Row],[ProductID]],dProduct[ProductID],dProduct[CratePrice])</f>
        <v>0.43999999999999995</v>
      </c>
      <c r="N969" t="str">
        <f>_xlfn.XLOOKUP(fSales[[#This Row],[SalesRepID]],dPSalesRep[SalesRepID],dPSalesRep[SalesRep])</f>
        <v>Timmy Kips</v>
      </c>
      <c r="O969" t="str">
        <f>_xlfn.XLOOKUP(fSales[[#This Row],[SalesRepID]],dPSalesRep[SalesRepID],dPSalesRep[Region])</f>
        <v>East</v>
      </c>
      <c r="P969" t="str">
        <f>_xlfn.XLOOKUP(fSales[[#This Row],[ProductID]],dProduct[ProductID],dProduct[Product])</f>
        <v>Kiwi</v>
      </c>
      <c r="Q969">
        <f>_xlfn.XLOOKUP(fSales[[#This Row],[ProductID]],dProduct[ProductID],dProduct[CratePrice])-_xlfn.XLOOKUP(fSales[[#This Row],[ProductID]],dProduct[ProductID],dProduct[CrateCost])</f>
        <v>9.8999999999999986</v>
      </c>
      <c r="R969">
        <f>_xlfn.XLOOKUP(fSales[[#This Row],[ProductID]],dProduct[ProductID],dProduct[CratePrice])</f>
        <v>22.5</v>
      </c>
      <c r="S969">
        <f>_xlfn.XLOOKUP(fSales[[#This Row],[ProductID]],dProduct[ProductID],dProduct[CrateCost])</f>
        <v>12.600000000000001</v>
      </c>
    </row>
    <row r="970" spans="7:19" x14ac:dyDescent="0.25">
      <c r="G970" s="2">
        <v>45967</v>
      </c>
      <c r="H970">
        <v>252</v>
      </c>
      <c r="I970" t="s">
        <v>19</v>
      </c>
      <c r="J970" t="s">
        <v>52</v>
      </c>
      <c r="K970">
        <f>_xlfn.XLOOKUP(fSales[[#This Row],[ProductID]],dProduct[ProductID],dProduct[CratePrice])*fSales[[#This Row],[Units]]</f>
        <v>8820</v>
      </c>
      <c r="L970">
        <f>fSales[[#This Row],[Total sales]]-_xlfn.XLOOKUP(fSales[[#This Row],[ProductID]],dProduct[ProductID],dProduct[CrateCost])*fSales[[#This Row],[Units]]</f>
        <v>4939.2</v>
      </c>
      <c r="M970">
        <f>(_xlfn.XLOOKUP(fSales[[#This Row],[ProductID]],dProduct[ProductID],dProduct[CratePrice])-_xlfn.XLOOKUP(fSales[[#This Row],[ProductID]],dProduct[ProductID],dProduct[CrateCost]))/_xlfn.XLOOKUP(fSales[[#This Row],[ProductID]],dProduct[ProductID],dProduct[CratePrice])</f>
        <v>0.56000000000000005</v>
      </c>
      <c r="N970" t="str">
        <f>_xlfn.XLOOKUP(fSales[[#This Row],[SalesRepID]],dPSalesRep[SalesRepID],dPSalesRep[SalesRep])</f>
        <v>Smitty Rad</v>
      </c>
      <c r="O970" t="str">
        <f>_xlfn.XLOOKUP(fSales[[#This Row],[SalesRepID]],dPSalesRep[SalesRepID],dPSalesRep[Region])</f>
        <v>MidWest</v>
      </c>
      <c r="P970" t="str">
        <f>_xlfn.XLOOKUP(fSales[[#This Row],[ProductID]],dProduct[ProductID],dProduct[Product])</f>
        <v>Apple</v>
      </c>
      <c r="Q970">
        <f>_xlfn.XLOOKUP(fSales[[#This Row],[ProductID]],dProduct[ProductID],dProduct[CratePrice])-_xlfn.XLOOKUP(fSales[[#This Row],[ProductID]],dProduct[ProductID],dProduct[CrateCost])</f>
        <v>19.600000000000001</v>
      </c>
      <c r="R970">
        <f>_xlfn.XLOOKUP(fSales[[#This Row],[ProductID]],dProduct[ProductID],dProduct[CratePrice])</f>
        <v>35</v>
      </c>
      <c r="S970">
        <f>_xlfn.XLOOKUP(fSales[[#This Row],[ProductID]],dProduct[ProductID],dProduct[CrateCost])</f>
        <v>15.4</v>
      </c>
    </row>
    <row r="971" spans="7:19" x14ac:dyDescent="0.25">
      <c r="G971" s="2">
        <v>45967</v>
      </c>
      <c r="H971">
        <v>24</v>
      </c>
      <c r="I971" t="s">
        <v>34</v>
      </c>
      <c r="J971" t="s">
        <v>37</v>
      </c>
      <c r="K971">
        <f>_xlfn.XLOOKUP(fSales[[#This Row],[ProductID]],dProduct[ProductID],dProduct[CratePrice])*fSales[[#This Row],[Units]]</f>
        <v>420</v>
      </c>
      <c r="L971">
        <f>fSales[[#This Row],[Total sales]]-_xlfn.XLOOKUP(fSales[[#This Row],[ProductID]],dProduct[ProductID],dProduct[CrateCost])*fSales[[#This Row],[Units]]</f>
        <v>138.59999999999997</v>
      </c>
      <c r="M971">
        <f>(_xlfn.XLOOKUP(fSales[[#This Row],[ProductID]],dProduct[ProductID],dProduct[CratePrice])-_xlfn.XLOOKUP(fSales[[#This Row],[ProductID]],dProduct[ProductID],dProduct[CrateCost]))/_xlfn.XLOOKUP(fSales[[#This Row],[ProductID]],dProduct[ProductID],dProduct[CratePrice])</f>
        <v>0.3299999999999999</v>
      </c>
      <c r="N971" t="str">
        <f>_xlfn.XLOOKUP(fSales[[#This Row],[SalesRepID]],dPSalesRep[SalesRepID],dPSalesRep[SalesRep])</f>
        <v>Chantel Mims</v>
      </c>
      <c r="O971" t="str">
        <f>_xlfn.XLOOKUP(fSales[[#This Row],[SalesRepID]],dPSalesRep[SalesRepID],dPSalesRep[Region])</f>
        <v>NW</v>
      </c>
      <c r="P971" t="str">
        <f>_xlfn.XLOOKUP(fSales[[#This Row],[ProductID]],dProduct[ProductID],dProduct[Product])</f>
        <v>Banana</v>
      </c>
      <c r="Q971">
        <f>_xlfn.XLOOKUP(fSales[[#This Row],[ProductID]],dProduct[ProductID],dProduct[CratePrice])-_xlfn.XLOOKUP(fSales[[#This Row],[ProductID]],dProduct[ProductID],dProduct[CrateCost])</f>
        <v>5.7749999999999986</v>
      </c>
      <c r="R971">
        <f>_xlfn.XLOOKUP(fSales[[#This Row],[ProductID]],dProduct[ProductID],dProduct[CratePrice])</f>
        <v>17.5</v>
      </c>
      <c r="S971">
        <f>_xlfn.XLOOKUP(fSales[[#This Row],[ProductID]],dProduct[ProductID],dProduct[CrateCost])</f>
        <v>11.725000000000001</v>
      </c>
    </row>
    <row r="972" spans="7:19" x14ac:dyDescent="0.25">
      <c r="G972" s="2">
        <v>45968</v>
      </c>
      <c r="H972">
        <v>288</v>
      </c>
      <c r="I972" t="s">
        <v>28</v>
      </c>
      <c r="J972" t="s">
        <v>29</v>
      </c>
      <c r="K972">
        <f>_xlfn.XLOOKUP(fSales[[#This Row],[ProductID]],dProduct[ProductID],dProduct[CratePrice])*fSales[[#This Row],[Units]]</f>
        <v>12585.6</v>
      </c>
      <c r="L972">
        <f>fSales[[#This Row],[Total sales]]-_xlfn.XLOOKUP(fSales[[#This Row],[ProductID]],dProduct[ProductID],dProduct[CrateCost])*fSales[[#This Row],[Units]]</f>
        <v>5285.9520000000002</v>
      </c>
      <c r="M972">
        <f>(_xlfn.XLOOKUP(fSales[[#This Row],[ProductID]],dProduct[ProductID],dProduct[CratePrice])-_xlfn.XLOOKUP(fSales[[#This Row],[ProductID]],dProduct[ProductID],dProduct[CrateCost]))/_xlfn.XLOOKUP(fSales[[#This Row],[ProductID]],dProduct[ProductID],dProduct[CratePrice])</f>
        <v>0.42000000000000004</v>
      </c>
      <c r="N972" t="str">
        <f>_xlfn.XLOOKUP(fSales[[#This Row],[SalesRepID]],dPSalesRep[SalesRepID],dPSalesRep[SalesRep])</f>
        <v>Sioux Best</v>
      </c>
      <c r="O972" t="str">
        <f>_xlfn.XLOOKUP(fSales[[#This Row],[SalesRepID]],dPSalesRep[SalesRepID],dPSalesRep[Region])</f>
        <v>West</v>
      </c>
      <c r="P972" t="str">
        <f>_xlfn.XLOOKUP(fSales[[#This Row],[ProductID]],dProduct[ProductID],dProduct[Product])</f>
        <v>Cherry</v>
      </c>
      <c r="Q972">
        <f>_xlfn.XLOOKUP(fSales[[#This Row],[ProductID]],dProduct[ProductID],dProduct[CratePrice])-_xlfn.XLOOKUP(fSales[[#This Row],[ProductID]],dProduct[ProductID],dProduct[CrateCost])</f>
        <v>18.354000000000003</v>
      </c>
      <c r="R972">
        <f>_xlfn.XLOOKUP(fSales[[#This Row],[ProductID]],dProduct[ProductID],dProduct[CratePrice])</f>
        <v>43.7</v>
      </c>
      <c r="S972">
        <f>_xlfn.XLOOKUP(fSales[[#This Row],[ProductID]],dProduct[ProductID],dProduct[CrateCost])</f>
        <v>25.346</v>
      </c>
    </row>
    <row r="973" spans="7:19" x14ac:dyDescent="0.25">
      <c r="G973" s="2">
        <v>45969</v>
      </c>
      <c r="H973">
        <v>276</v>
      </c>
      <c r="I973" t="s">
        <v>21</v>
      </c>
      <c r="J973" t="s">
        <v>29</v>
      </c>
      <c r="K973">
        <f>_xlfn.XLOOKUP(fSales[[#This Row],[ProductID]],dProduct[ProductID],dProduct[CratePrice])*fSales[[#This Row],[Units]]</f>
        <v>6210</v>
      </c>
      <c r="L973">
        <f>fSales[[#This Row],[Total sales]]-_xlfn.XLOOKUP(fSales[[#This Row],[ProductID]],dProduct[ProductID],dProduct[CrateCost])*fSales[[#This Row],[Units]]</f>
        <v>2732.3999999999996</v>
      </c>
      <c r="M973">
        <f>(_xlfn.XLOOKUP(fSales[[#This Row],[ProductID]],dProduct[ProductID],dProduct[CratePrice])-_xlfn.XLOOKUP(fSales[[#This Row],[ProductID]],dProduct[ProductID],dProduct[CrateCost]))/_xlfn.XLOOKUP(fSales[[#This Row],[ProductID]],dProduct[ProductID],dProduct[CratePrice])</f>
        <v>0.43999999999999995</v>
      </c>
      <c r="N973" t="str">
        <f>_xlfn.XLOOKUP(fSales[[#This Row],[SalesRepID]],dPSalesRep[SalesRepID],dPSalesRep[SalesRep])</f>
        <v>Sioux Best</v>
      </c>
      <c r="O973" t="str">
        <f>_xlfn.XLOOKUP(fSales[[#This Row],[SalesRepID]],dPSalesRep[SalesRepID],dPSalesRep[Region])</f>
        <v>West</v>
      </c>
      <c r="P973" t="str">
        <f>_xlfn.XLOOKUP(fSales[[#This Row],[ProductID]],dProduct[ProductID],dProduct[Product])</f>
        <v>Kiwi</v>
      </c>
      <c r="Q973">
        <f>_xlfn.XLOOKUP(fSales[[#This Row],[ProductID]],dProduct[ProductID],dProduct[CratePrice])-_xlfn.XLOOKUP(fSales[[#This Row],[ProductID]],dProduct[ProductID],dProduct[CrateCost])</f>
        <v>9.8999999999999986</v>
      </c>
      <c r="R973">
        <f>_xlfn.XLOOKUP(fSales[[#This Row],[ProductID]],dProduct[ProductID],dProduct[CratePrice])</f>
        <v>22.5</v>
      </c>
      <c r="S973">
        <f>_xlfn.XLOOKUP(fSales[[#This Row],[ProductID]],dProduct[ProductID],dProduct[CrateCost])</f>
        <v>12.600000000000001</v>
      </c>
    </row>
    <row r="974" spans="7:19" x14ac:dyDescent="0.25">
      <c r="G974" s="2">
        <v>45970</v>
      </c>
      <c r="H974">
        <v>264</v>
      </c>
      <c r="I974" t="s">
        <v>28</v>
      </c>
      <c r="J974" t="s">
        <v>52</v>
      </c>
      <c r="K974">
        <f>_xlfn.XLOOKUP(fSales[[#This Row],[ProductID]],dProduct[ProductID],dProduct[CratePrice])*fSales[[#This Row],[Units]]</f>
        <v>11536.800000000001</v>
      </c>
      <c r="L974">
        <f>fSales[[#This Row],[Total sales]]-_xlfn.XLOOKUP(fSales[[#This Row],[ProductID]],dProduct[ProductID],dProduct[CrateCost])*fSales[[#This Row],[Units]]</f>
        <v>4845.456000000001</v>
      </c>
      <c r="M974">
        <f>(_xlfn.XLOOKUP(fSales[[#This Row],[ProductID]],dProduct[ProductID],dProduct[CratePrice])-_xlfn.XLOOKUP(fSales[[#This Row],[ProductID]],dProduct[ProductID],dProduct[CrateCost]))/_xlfn.XLOOKUP(fSales[[#This Row],[ProductID]],dProduct[ProductID],dProduct[CratePrice])</f>
        <v>0.42000000000000004</v>
      </c>
      <c r="N974" t="str">
        <f>_xlfn.XLOOKUP(fSales[[#This Row],[SalesRepID]],dPSalesRep[SalesRepID],dPSalesRep[SalesRep])</f>
        <v>Smitty Rad</v>
      </c>
      <c r="O974" t="str">
        <f>_xlfn.XLOOKUP(fSales[[#This Row],[SalesRepID]],dPSalesRep[SalesRepID],dPSalesRep[Region])</f>
        <v>MidWest</v>
      </c>
      <c r="P974" t="str">
        <f>_xlfn.XLOOKUP(fSales[[#This Row],[ProductID]],dProduct[ProductID],dProduct[Product])</f>
        <v>Cherry</v>
      </c>
      <c r="Q974">
        <f>_xlfn.XLOOKUP(fSales[[#This Row],[ProductID]],dProduct[ProductID],dProduct[CratePrice])-_xlfn.XLOOKUP(fSales[[#This Row],[ProductID]],dProduct[ProductID],dProduct[CrateCost])</f>
        <v>18.354000000000003</v>
      </c>
      <c r="R974">
        <f>_xlfn.XLOOKUP(fSales[[#This Row],[ProductID]],dProduct[ProductID],dProduct[CratePrice])</f>
        <v>43.7</v>
      </c>
      <c r="S974">
        <f>_xlfn.XLOOKUP(fSales[[#This Row],[ProductID]],dProduct[ProductID],dProduct[CrateCost])</f>
        <v>25.346</v>
      </c>
    </row>
    <row r="975" spans="7:19" x14ac:dyDescent="0.25">
      <c r="G975" s="2">
        <v>45970</v>
      </c>
      <c r="H975">
        <v>276</v>
      </c>
      <c r="I975" t="s">
        <v>34</v>
      </c>
      <c r="J975" t="s">
        <v>52</v>
      </c>
      <c r="K975">
        <f>_xlfn.XLOOKUP(fSales[[#This Row],[ProductID]],dProduct[ProductID],dProduct[CratePrice])*fSales[[#This Row],[Units]]</f>
        <v>4830</v>
      </c>
      <c r="L975">
        <f>fSales[[#This Row],[Total sales]]-_xlfn.XLOOKUP(fSales[[#This Row],[ProductID]],dProduct[ProductID],dProduct[CrateCost])*fSales[[#This Row],[Units]]</f>
        <v>1593.8999999999996</v>
      </c>
      <c r="M975">
        <f>(_xlfn.XLOOKUP(fSales[[#This Row],[ProductID]],dProduct[ProductID],dProduct[CratePrice])-_xlfn.XLOOKUP(fSales[[#This Row],[ProductID]],dProduct[ProductID],dProduct[CrateCost]))/_xlfn.XLOOKUP(fSales[[#This Row],[ProductID]],dProduct[ProductID],dProduct[CratePrice])</f>
        <v>0.3299999999999999</v>
      </c>
      <c r="N975" t="str">
        <f>_xlfn.XLOOKUP(fSales[[#This Row],[SalesRepID]],dPSalesRep[SalesRepID],dPSalesRep[SalesRep])</f>
        <v>Smitty Rad</v>
      </c>
      <c r="O975" t="str">
        <f>_xlfn.XLOOKUP(fSales[[#This Row],[SalesRepID]],dPSalesRep[SalesRepID],dPSalesRep[Region])</f>
        <v>MidWest</v>
      </c>
      <c r="P975" t="str">
        <f>_xlfn.XLOOKUP(fSales[[#This Row],[ProductID]],dProduct[ProductID],dProduct[Product])</f>
        <v>Banana</v>
      </c>
      <c r="Q975">
        <f>_xlfn.XLOOKUP(fSales[[#This Row],[ProductID]],dProduct[ProductID],dProduct[CratePrice])-_xlfn.XLOOKUP(fSales[[#This Row],[ProductID]],dProduct[ProductID],dProduct[CrateCost])</f>
        <v>5.7749999999999986</v>
      </c>
      <c r="R975">
        <f>_xlfn.XLOOKUP(fSales[[#This Row],[ProductID]],dProduct[ProductID],dProduct[CratePrice])</f>
        <v>17.5</v>
      </c>
      <c r="S975">
        <f>_xlfn.XLOOKUP(fSales[[#This Row],[ProductID]],dProduct[ProductID],dProduct[CrateCost])</f>
        <v>11.725000000000001</v>
      </c>
    </row>
    <row r="976" spans="7:19" x14ac:dyDescent="0.25">
      <c r="G976" s="2">
        <v>45971</v>
      </c>
      <c r="H976">
        <v>120</v>
      </c>
      <c r="I976" t="s">
        <v>28</v>
      </c>
      <c r="J976" t="s">
        <v>52</v>
      </c>
      <c r="K976">
        <f>_xlfn.XLOOKUP(fSales[[#This Row],[ProductID]],dProduct[ProductID],dProduct[CratePrice])*fSales[[#This Row],[Units]]</f>
        <v>5244</v>
      </c>
      <c r="L976">
        <f>fSales[[#This Row],[Total sales]]-_xlfn.XLOOKUP(fSales[[#This Row],[ProductID]],dProduct[ProductID],dProduct[CrateCost])*fSales[[#This Row],[Units]]</f>
        <v>2202.48</v>
      </c>
      <c r="M976">
        <f>(_xlfn.XLOOKUP(fSales[[#This Row],[ProductID]],dProduct[ProductID],dProduct[CratePrice])-_xlfn.XLOOKUP(fSales[[#This Row],[ProductID]],dProduct[ProductID],dProduct[CrateCost]))/_xlfn.XLOOKUP(fSales[[#This Row],[ProductID]],dProduct[ProductID],dProduct[CratePrice])</f>
        <v>0.42000000000000004</v>
      </c>
      <c r="N976" t="str">
        <f>_xlfn.XLOOKUP(fSales[[#This Row],[SalesRepID]],dPSalesRep[SalesRepID],dPSalesRep[SalesRep])</f>
        <v>Smitty Rad</v>
      </c>
      <c r="O976" t="str">
        <f>_xlfn.XLOOKUP(fSales[[#This Row],[SalesRepID]],dPSalesRep[SalesRepID],dPSalesRep[Region])</f>
        <v>MidWest</v>
      </c>
      <c r="P976" t="str">
        <f>_xlfn.XLOOKUP(fSales[[#This Row],[ProductID]],dProduct[ProductID],dProduct[Product])</f>
        <v>Cherry</v>
      </c>
      <c r="Q976">
        <f>_xlfn.XLOOKUP(fSales[[#This Row],[ProductID]],dProduct[ProductID],dProduct[CratePrice])-_xlfn.XLOOKUP(fSales[[#This Row],[ProductID]],dProduct[ProductID],dProduct[CrateCost])</f>
        <v>18.354000000000003</v>
      </c>
      <c r="R976">
        <f>_xlfn.XLOOKUP(fSales[[#This Row],[ProductID]],dProduct[ProductID],dProduct[CratePrice])</f>
        <v>43.7</v>
      </c>
      <c r="S976">
        <f>_xlfn.XLOOKUP(fSales[[#This Row],[ProductID]],dProduct[ProductID],dProduct[CrateCost])</f>
        <v>25.346</v>
      </c>
    </row>
    <row r="977" spans="7:19" x14ac:dyDescent="0.25">
      <c r="G977" s="2">
        <v>45971</v>
      </c>
      <c r="H977">
        <v>168</v>
      </c>
      <c r="I977" t="s">
        <v>28</v>
      </c>
      <c r="J977" t="s">
        <v>32</v>
      </c>
      <c r="K977">
        <f>_xlfn.XLOOKUP(fSales[[#This Row],[ProductID]],dProduct[ProductID],dProduct[CratePrice])*fSales[[#This Row],[Units]]</f>
        <v>7341.6</v>
      </c>
      <c r="L977">
        <f>fSales[[#This Row],[Total sales]]-_xlfn.XLOOKUP(fSales[[#This Row],[ProductID]],dProduct[ProductID],dProduct[CrateCost])*fSales[[#This Row],[Units]]</f>
        <v>3083.4720000000007</v>
      </c>
      <c r="M977">
        <f>(_xlfn.XLOOKUP(fSales[[#This Row],[ProductID]],dProduct[ProductID],dProduct[CratePrice])-_xlfn.XLOOKUP(fSales[[#This Row],[ProductID]],dProduct[ProductID],dProduct[CrateCost]))/_xlfn.XLOOKUP(fSales[[#This Row],[ProductID]],dProduct[ProductID],dProduct[CratePrice])</f>
        <v>0.42000000000000004</v>
      </c>
      <c r="N977" t="str">
        <f>_xlfn.XLOOKUP(fSales[[#This Row],[SalesRepID]],dPSalesRep[SalesRepID],dPSalesRep[SalesRep])</f>
        <v>Shihara Fazzaa</v>
      </c>
      <c r="O977" t="str">
        <f>_xlfn.XLOOKUP(fSales[[#This Row],[SalesRepID]],dPSalesRep[SalesRepID],dPSalesRep[Region])</f>
        <v>East</v>
      </c>
      <c r="P977" t="str">
        <f>_xlfn.XLOOKUP(fSales[[#This Row],[ProductID]],dProduct[ProductID],dProduct[Product])</f>
        <v>Cherry</v>
      </c>
      <c r="Q977">
        <f>_xlfn.XLOOKUP(fSales[[#This Row],[ProductID]],dProduct[ProductID],dProduct[CratePrice])-_xlfn.XLOOKUP(fSales[[#This Row],[ProductID]],dProduct[ProductID],dProduct[CrateCost])</f>
        <v>18.354000000000003</v>
      </c>
      <c r="R977">
        <f>_xlfn.XLOOKUP(fSales[[#This Row],[ProductID]],dProduct[ProductID],dProduct[CratePrice])</f>
        <v>43.7</v>
      </c>
      <c r="S977">
        <f>_xlfn.XLOOKUP(fSales[[#This Row],[ProductID]],dProduct[ProductID],dProduct[CrateCost])</f>
        <v>25.346</v>
      </c>
    </row>
    <row r="978" spans="7:19" x14ac:dyDescent="0.25">
      <c r="G978" s="2">
        <v>45972</v>
      </c>
      <c r="H978">
        <v>108</v>
      </c>
      <c r="I978" t="s">
        <v>19</v>
      </c>
      <c r="J978" t="s">
        <v>37</v>
      </c>
      <c r="K978">
        <f>_xlfn.XLOOKUP(fSales[[#This Row],[ProductID]],dProduct[ProductID],dProduct[CratePrice])*fSales[[#This Row],[Units]]</f>
        <v>3780</v>
      </c>
      <c r="L978">
        <f>fSales[[#This Row],[Total sales]]-_xlfn.XLOOKUP(fSales[[#This Row],[ProductID]],dProduct[ProductID],dProduct[CrateCost])*fSales[[#This Row],[Units]]</f>
        <v>2116.8000000000002</v>
      </c>
      <c r="M978">
        <f>(_xlfn.XLOOKUP(fSales[[#This Row],[ProductID]],dProduct[ProductID],dProduct[CratePrice])-_xlfn.XLOOKUP(fSales[[#This Row],[ProductID]],dProduct[ProductID],dProduct[CrateCost]))/_xlfn.XLOOKUP(fSales[[#This Row],[ProductID]],dProduct[ProductID],dProduct[CratePrice])</f>
        <v>0.56000000000000005</v>
      </c>
      <c r="N978" t="str">
        <f>_xlfn.XLOOKUP(fSales[[#This Row],[SalesRepID]],dPSalesRep[SalesRepID],dPSalesRep[SalesRep])</f>
        <v>Chantel Mims</v>
      </c>
      <c r="O978" t="str">
        <f>_xlfn.XLOOKUP(fSales[[#This Row],[SalesRepID]],dPSalesRep[SalesRepID],dPSalesRep[Region])</f>
        <v>NW</v>
      </c>
      <c r="P978" t="str">
        <f>_xlfn.XLOOKUP(fSales[[#This Row],[ProductID]],dProduct[ProductID],dProduct[Product])</f>
        <v>Apple</v>
      </c>
      <c r="Q978">
        <f>_xlfn.XLOOKUP(fSales[[#This Row],[ProductID]],dProduct[ProductID],dProduct[CratePrice])-_xlfn.XLOOKUP(fSales[[#This Row],[ProductID]],dProduct[ProductID],dProduct[CrateCost])</f>
        <v>19.600000000000001</v>
      </c>
      <c r="R978">
        <f>_xlfn.XLOOKUP(fSales[[#This Row],[ProductID]],dProduct[ProductID],dProduct[CratePrice])</f>
        <v>35</v>
      </c>
      <c r="S978">
        <f>_xlfn.XLOOKUP(fSales[[#This Row],[ProductID]],dProduct[ProductID],dProduct[CrateCost])</f>
        <v>15.4</v>
      </c>
    </row>
    <row r="979" spans="7:19" x14ac:dyDescent="0.25">
      <c r="G979" s="2">
        <v>45973</v>
      </c>
      <c r="H979">
        <v>204</v>
      </c>
      <c r="I979" t="s">
        <v>28</v>
      </c>
      <c r="J979" t="s">
        <v>29</v>
      </c>
      <c r="K979">
        <f>_xlfn.XLOOKUP(fSales[[#This Row],[ProductID]],dProduct[ProductID],dProduct[CratePrice])*fSales[[#This Row],[Units]]</f>
        <v>8914.8000000000011</v>
      </c>
      <c r="L979">
        <f>fSales[[#This Row],[Total sales]]-_xlfn.XLOOKUP(fSales[[#This Row],[ProductID]],dProduct[ProductID],dProduct[CrateCost])*fSales[[#This Row],[Units]]</f>
        <v>3744.2160000000013</v>
      </c>
      <c r="M979">
        <f>(_xlfn.XLOOKUP(fSales[[#This Row],[ProductID]],dProduct[ProductID],dProduct[CratePrice])-_xlfn.XLOOKUP(fSales[[#This Row],[ProductID]],dProduct[ProductID],dProduct[CrateCost]))/_xlfn.XLOOKUP(fSales[[#This Row],[ProductID]],dProduct[ProductID],dProduct[CratePrice])</f>
        <v>0.42000000000000004</v>
      </c>
      <c r="N979" t="str">
        <f>_xlfn.XLOOKUP(fSales[[#This Row],[SalesRepID]],dPSalesRep[SalesRepID],dPSalesRep[SalesRep])</f>
        <v>Sioux Best</v>
      </c>
      <c r="O979" t="str">
        <f>_xlfn.XLOOKUP(fSales[[#This Row],[SalesRepID]],dPSalesRep[SalesRepID],dPSalesRep[Region])</f>
        <v>West</v>
      </c>
      <c r="P979" t="str">
        <f>_xlfn.XLOOKUP(fSales[[#This Row],[ProductID]],dProduct[ProductID],dProduct[Product])</f>
        <v>Cherry</v>
      </c>
      <c r="Q979">
        <f>_xlfn.XLOOKUP(fSales[[#This Row],[ProductID]],dProduct[ProductID],dProduct[CratePrice])-_xlfn.XLOOKUP(fSales[[#This Row],[ProductID]],dProduct[ProductID],dProduct[CrateCost])</f>
        <v>18.354000000000003</v>
      </c>
      <c r="R979">
        <f>_xlfn.XLOOKUP(fSales[[#This Row],[ProductID]],dProduct[ProductID],dProduct[CratePrice])</f>
        <v>43.7</v>
      </c>
      <c r="S979">
        <f>_xlfn.XLOOKUP(fSales[[#This Row],[ProductID]],dProduct[ProductID],dProduct[CrateCost])</f>
        <v>25.346</v>
      </c>
    </row>
    <row r="980" spans="7:19" x14ac:dyDescent="0.25">
      <c r="G980" s="2">
        <v>45973</v>
      </c>
      <c r="H980">
        <v>204</v>
      </c>
      <c r="I980" t="s">
        <v>21</v>
      </c>
      <c r="J980" t="s">
        <v>22</v>
      </c>
      <c r="K980">
        <f>_xlfn.XLOOKUP(fSales[[#This Row],[ProductID]],dProduct[ProductID],dProduct[CratePrice])*fSales[[#This Row],[Units]]</f>
        <v>4590</v>
      </c>
      <c r="L980">
        <f>fSales[[#This Row],[Total sales]]-_xlfn.XLOOKUP(fSales[[#This Row],[ProductID]],dProduct[ProductID],dProduct[CrateCost])*fSales[[#This Row],[Units]]</f>
        <v>2019.6</v>
      </c>
      <c r="M980">
        <f>(_xlfn.XLOOKUP(fSales[[#This Row],[ProductID]],dProduct[ProductID],dProduct[CratePrice])-_xlfn.XLOOKUP(fSales[[#This Row],[ProductID]],dProduct[ProductID],dProduct[CrateCost]))/_xlfn.XLOOKUP(fSales[[#This Row],[ProductID]],dProduct[ProductID],dProduct[CratePrice])</f>
        <v>0.43999999999999995</v>
      </c>
      <c r="N980" t="str">
        <f>_xlfn.XLOOKUP(fSales[[#This Row],[SalesRepID]],dPSalesRep[SalesRepID],dPSalesRep[SalesRep])</f>
        <v>Timmy Kips</v>
      </c>
      <c r="O980" t="str">
        <f>_xlfn.XLOOKUP(fSales[[#This Row],[SalesRepID]],dPSalesRep[SalesRepID],dPSalesRep[Region])</f>
        <v>East</v>
      </c>
      <c r="P980" t="str">
        <f>_xlfn.XLOOKUP(fSales[[#This Row],[ProductID]],dProduct[ProductID],dProduct[Product])</f>
        <v>Kiwi</v>
      </c>
      <c r="Q980">
        <f>_xlfn.XLOOKUP(fSales[[#This Row],[ProductID]],dProduct[ProductID],dProduct[CratePrice])-_xlfn.XLOOKUP(fSales[[#This Row],[ProductID]],dProduct[ProductID],dProduct[CrateCost])</f>
        <v>9.8999999999999986</v>
      </c>
      <c r="R980">
        <f>_xlfn.XLOOKUP(fSales[[#This Row],[ProductID]],dProduct[ProductID],dProduct[CratePrice])</f>
        <v>22.5</v>
      </c>
      <c r="S980">
        <f>_xlfn.XLOOKUP(fSales[[#This Row],[ProductID]],dProduct[ProductID],dProduct[CrateCost])</f>
        <v>12.600000000000001</v>
      </c>
    </row>
    <row r="981" spans="7:19" x14ac:dyDescent="0.25">
      <c r="G981" s="2">
        <v>45973</v>
      </c>
      <c r="H981">
        <v>60</v>
      </c>
      <c r="I981" t="s">
        <v>28</v>
      </c>
      <c r="J981" t="s">
        <v>37</v>
      </c>
      <c r="K981">
        <f>_xlfn.XLOOKUP(fSales[[#This Row],[ProductID]],dProduct[ProductID],dProduct[CratePrice])*fSales[[#This Row],[Units]]</f>
        <v>2622</v>
      </c>
      <c r="L981">
        <f>fSales[[#This Row],[Total sales]]-_xlfn.XLOOKUP(fSales[[#This Row],[ProductID]],dProduct[ProductID],dProduct[CrateCost])*fSales[[#This Row],[Units]]</f>
        <v>1101.24</v>
      </c>
      <c r="M981">
        <f>(_xlfn.XLOOKUP(fSales[[#This Row],[ProductID]],dProduct[ProductID],dProduct[CratePrice])-_xlfn.XLOOKUP(fSales[[#This Row],[ProductID]],dProduct[ProductID],dProduct[CrateCost]))/_xlfn.XLOOKUP(fSales[[#This Row],[ProductID]],dProduct[ProductID],dProduct[CratePrice])</f>
        <v>0.42000000000000004</v>
      </c>
      <c r="N981" t="str">
        <f>_xlfn.XLOOKUP(fSales[[#This Row],[SalesRepID]],dPSalesRep[SalesRepID],dPSalesRep[SalesRep])</f>
        <v>Chantel Mims</v>
      </c>
      <c r="O981" t="str">
        <f>_xlfn.XLOOKUP(fSales[[#This Row],[SalesRepID]],dPSalesRep[SalesRepID],dPSalesRep[Region])</f>
        <v>NW</v>
      </c>
      <c r="P981" t="str">
        <f>_xlfn.XLOOKUP(fSales[[#This Row],[ProductID]],dProduct[ProductID],dProduct[Product])</f>
        <v>Cherry</v>
      </c>
      <c r="Q981">
        <f>_xlfn.XLOOKUP(fSales[[#This Row],[ProductID]],dProduct[ProductID],dProduct[CratePrice])-_xlfn.XLOOKUP(fSales[[#This Row],[ProductID]],dProduct[ProductID],dProduct[CrateCost])</f>
        <v>18.354000000000003</v>
      </c>
      <c r="R981">
        <f>_xlfn.XLOOKUP(fSales[[#This Row],[ProductID]],dProduct[ProductID],dProduct[CratePrice])</f>
        <v>43.7</v>
      </c>
      <c r="S981">
        <f>_xlfn.XLOOKUP(fSales[[#This Row],[ProductID]],dProduct[ProductID],dProduct[CrateCost])</f>
        <v>25.346</v>
      </c>
    </row>
    <row r="982" spans="7:19" x14ac:dyDescent="0.25">
      <c r="G982" s="2">
        <v>45973</v>
      </c>
      <c r="H982">
        <v>180</v>
      </c>
      <c r="I982" t="s">
        <v>19</v>
      </c>
      <c r="J982" t="s">
        <v>29</v>
      </c>
      <c r="K982">
        <f>_xlfn.XLOOKUP(fSales[[#This Row],[ProductID]],dProduct[ProductID],dProduct[CratePrice])*fSales[[#This Row],[Units]]</f>
        <v>6300</v>
      </c>
      <c r="L982">
        <f>fSales[[#This Row],[Total sales]]-_xlfn.XLOOKUP(fSales[[#This Row],[ProductID]],dProduct[ProductID],dProduct[CrateCost])*fSales[[#This Row],[Units]]</f>
        <v>3528</v>
      </c>
      <c r="M982">
        <f>(_xlfn.XLOOKUP(fSales[[#This Row],[ProductID]],dProduct[ProductID],dProduct[CratePrice])-_xlfn.XLOOKUP(fSales[[#This Row],[ProductID]],dProduct[ProductID],dProduct[CrateCost]))/_xlfn.XLOOKUP(fSales[[#This Row],[ProductID]],dProduct[ProductID],dProduct[CratePrice])</f>
        <v>0.56000000000000005</v>
      </c>
      <c r="N982" t="str">
        <f>_xlfn.XLOOKUP(fSales[[#This Row],[SalesRepID]],dPSalesRep[SalesRepID],dPSalesRep[SalesRep])</f>
        <v>Sioux Best</v>
      </c>
      <c r="O982" t="str">
        <f>_xlfn.XLOOKUP(fSales[[#This Row],[SalesRepID]],dPSalesRep[SalesRepID],dPSalesRep[Region])</f>
        <v>West</v>
      </c>
      <c r="P982" t="str">
        <f>_xlfn.XLOOKUP(fSales[[#This Row],[ProductID]],dProduct[ProductID],dProduct[Product])</f>
        <v>Apple</v>
      </c>
      <c r="Q982">
        <f>_xlfn.XLOOKUP(fSales[[#This Row],[ProductID]],dProduct[ProductID],dProduct[CratePrice])-_xlfn.XLOOKUP(fSales[[#This Row],[ProductID]],dProduct[ProductID],dProduct[CrateCost])</f>
        <v>19.600000000000001</v>
      </c>
      <c r="R982">
        <f>_xlfn.XLOOKUP(fSales[[#This Row],[ProductID]],dProduct[ProductID],dProduct[CratePrice])</f>
        <v>35</v>
      </c>
      <c r="S982">
        <f>_xlfn.XLOOKUP(fSales[[#This Row],[ProductID]],dProduct[ProductID],dProduct[CrateCost])</f>
        <v>15.4</v>
      </c>
    </row>
    <row r="983" spans="7:19" x14ac:dyDescent="0.25">
      <c r="G983" s="2">
        <v>45974</v>
      </c>
      <c r="H983">
        <v>300</v>
      </c>
      <c r="I983" t="s">
        <v>19</v>
      </c>
      <c r="J983" t="s">
        <v>22</v>
      </c>
      <c r="K983">
        <f>_xlfn.XLOOKUP(fSales[[#This Row],[ProductID]],dProduct[ProductID],dProduct[CratePrice])*fSales[[#This Row],[Units]]</f>
        <v>10500</v>
      </c>
      <c r="L983">
        <f>fSales[[#This Row],[Total sales]]-_xlfn.XLOOKUP(fSales[[#This Row],[ProductID]],dProduct[ProductID],dProduct[CrateCost])*fSales[[#This Row],[Units]]</f>
        <v>5880</v>
      </c>
      <c r="M983">
        <f>(_xlfn.XLOOKUP(fSales[[#This Row],[ProductID]],dProduct[ProductID],dProduct[CratePrice])-_xlfn.XLOOKUP(fSales[[#This Row],[ProductID]],dProduct[ProductID],dProduct[CrateCost]))/_xlfn.XLOOKUP(fSales[[#This Row],[ProductID]],dProduct[ProductID],dProduct[CratePrice])</f>
        <v>0.56000000000000005</v>
      </c>
      <c r="N983" t="str">
        <f>_xlfn.XLOOKUP(fSales[[#This Row],[SalesRepID]],dPSalesRep[SalesRepID],dPSalesRep[SalesRep])</f>
        <v>Timmy Kips</v>
      </c>
      <c r="O983" t="str">
        <f>_xlfn.XLOOKUP(fSales[[#This Row],[SalesRepID]],dPSalesRep[SalesRepID],dPSalesRep[Region])</f>
        <v>East</v>
      </c>
      <c r="P983" t="str">
        <f>_xlfn.XLOOKUP(fSales[[#This Row],[ProductID]],dProduct[ProductID],dProduct[Product])</f>
        <v>Apple</v>
      </c>
      <c r="Q983">
        <f>_xlfn.XLOOKUP(fSales[[#This Row],[ProductID]],dProduct[ProductID],dProduct[CratePrice])-_xlfn.XLOOKUP(fSales[[#This Row],[ProductID]],dProduct[ProductID],dProduct[CrateCost])</f>
        <v>19.600000000000001</v>
      </c>
      <c r="R983">
        <f>_xlfn.XLOOKUP(fSales[[#This Row],[ProductID]],dProduct[ProductID],dProduct[CratePrice])</f>
        <v>35</v>
      </c>
      <c r="S983">
        <f>_xlfn.XLOOKUP(fSales[[#This Row],[ProductID]],dProduct[ProductID],dProduct[CrateCost])</f>
        <v>15.4</v>
      </c>
    </row>
    <row r="984" spans="7:19" x14ac:dyDescent="0.25">
      <c r="G984" s="2">
        <v>45974</v>
      </c>
      <c r="H984">
        <v>252</v>
      </c>
      <c r="I984" t="s">
        <v>34</v>
      </c>
      <c r="J984" t="s">
        <v>37</v>
      </c>
      <c r="K984">
        <f>_xlfn.XLOOKUP(fSales[[#This Row],[ProductID]],dProduct[ProductID],dProduct[CratePrice])*fSales[[#This Row],[Units]]</f>
        <v>4410</v>
      </c>
      <c r="L984">
        <f>fSales[[#This Row],[Total sales]]-_xlfn.XLOOKUP(fSales[[#This Row],[ProductID]],dProduct[ProductID],dProduct[CrateCost])*fSales[[#This Row],[Units]]</f>
        <v>1455.2999999999997</v>
      </c>
      <c r="M984">
        <f>(_xlfn.XLOOKUP(fSales[[#This Row],[ProductID]],dProduct[ProductID],dProduct[CratePrice])-_xlfn.XLOOKUP(fSales[[#This Row],[ProductID]],dProduct[ProductID],dProduct[CrateCost]))/_xlfn.XLOOKUP(fSales[[#This Row],[ProductID]],dProduct[ProductID],dProduct[CratePrice])</f>
        <v>0.3299999999999999</v>
      </c>
      <c r="N984" t="str">
        <f>_xlfn.XLOOKUP(fSales[[#This Row],[SalesRepID]],dPSalesRep[SalesRepID],dPSalesRep[SalesRep])</f>
        <v>Chantel Mims</v>
      </c>
      <c r="O984" t="str">
        <f>_xlfn.XLOOKUP(fSales[[#This Row],[SalesRepID]],dPSalesRep[SalesRepID],dPSalesRep[Region])</f>
        <v>NW</v>
      </c>
      <c r="P984" t="str">
        <f>_xlfn.XLOOKUP(fSales[[#This Row],[ProductID]],dProduct[ProductID],dProduct[Product])</f>
        <v>Banana</v>
      </c>
      <c r="Q984">
        <f>_xlfn.XLOOKUP(fSales[[#This Row],[ProductID]],dProduct[ProductID],dProduct[CratePrice])-_xlfn.XLOOKUP(fSales[[#This Row],[ProductID]],dProduct[ProductID],dProduct[CrateCost])</f>
        <v>5.7749999999999986</v>
      </c>
      <c r="R984">
        <f>_xlfn.XLOOKUP(fSales[[#This Row],[ProductID]],dProduct[ProductID],dProduct[CratePrice])</f>
        <v>17.5</v>
      </c>
      <c r="S984">
        <f>_xlfn.XLOOKUP(fSales[[#This Row],[ProductID]],dProduct[ProductID],dProduct[CrateCost])</f>
        <v>11.725000000000001</v>
      </c>
    </row>
    <row r="985" spans="7:19" x14ac:dyDescent="0.25">
      <c r="G985" s="2">
        <v>45974</v>
      </c>
      <c r="H985">
        <v>204</v>
      </c>
      <c r="I985" t="s">
        <v>28</v>
      </c>
      <c r="J985" t="s">
        <v>29</v>
      </c>
      <c r="K985">
        <f>_xlfn.XLOOKUP(fSales[[#This Row],[ProductID]],dProduct[ProductID],dProduct[CratePrice])*fSales[[#This Row],[Units]]</f>
        <v>8914.8000000000011</v>
      </c>
      <c r="L985">
        <f>fSales[[#This Row],[Total sales]]-_xlfn.XLOOKUP(fSales[[#This Row],[ProductID]],dProduct[ProductID],dProduct[CrateCost])*fSales[[#This Row],[Units]]</f>
        <v>3744.2160000000013</v>
      </c>
      <c r="M985">
        <f>(_xlfn.XLOOKUP(fSales[[#This Row],[ProductID]],dProduct[ProductID],dProduct[CratePrice])-_xlfn.XLOOKUP(fSales[[#This Row],[ProductID]],dProduct[ProductID],dProduct[CrateCost]))/_xlfn.XLOOKUP(fSales[[#This Row],[ProductID]],dProduct[ProductID],dProduct[CratePrice])</f>
        <v>0.42000000000000004</v>
      </c>
      <c r="N985" t="str">
        <f>_xlfn.XLOOKUP(fSales[[#This Row],[SalesRepID]],dPSalesRep[SalesRepID],dPSalesRep[SalesRep])</f>
        <v>Sioux Best</v>
      </c>
      <c r="O985" t="str">
        <f>_xlfn.XLOOKUP(fSales[[#This Row],[SalesRepID]],dPSalesRep[SalesRepID],dPSalesRep[Region])</f>
        <v>West</v>
      </c>
      <c r="P985" t="str">
        <f>_xlfn.XLOOKUP(fSales[[#This Row],[ProductID]],dProduct[ProductID],dProduct[Product])</f>
        <v>Cherry</v>
      </c>
      <c r="Q985">
        <f>_xlfn.XLOOKUP(fSales[[#This Row],[ProductID]],dProduct[ProductID],dProduct[CratePrice])-_xlfn.XLOOKUP(fSales[[#This Row],[ProductID]],dProduct[ProductID],dProduct[CrateCost])</f>
        <v>18.354000000000003</v>
      </c>
      <c r="R985">
        <f>_xlfn.XLOOKUP(fSales[[#This Row],[ProductID]],dProduct[ProductID],dProduct[CratePrice])</f>
        <v>43.7</v>
      </c>
      <c r="S985">
        <f>_xlfn.XLOOKUP(fSales[[#This Row],[ProductID]],dProduct[ProductID],dProduct[CrateCost])</f>
        <v>25.346</v>
      </c>
    </row>
    <row r="986" spans="7:19" x14ac:dyDescent="0.25">
      <c r="G986" s="2">
        <v>45974</v>
      </c>
      <c r="H986">
        <v>276</v>
      </c>
      <c r="I986" t="s">
        <v>26</v>
      </c>
      <c r="J986" t="s">
        <v>32</v>
      </c>
      <c r="K986">
        <f>_xlfn.XLOOKUP(fSales[[#This Row],[ProductID]],dProduct[ProductID],dProduct[CratePrice])*fSales[[#This Row],[Units]]</f>
        <v>8211</v>
      </c>
      <c r="L986">
        <f>fSales[[#This Row],[Total sales]]-_xlfn.XLOOKUP(fSales[[#This Row],[ProductID]],dProduct[ProductID],dProduct[CrateCost])*fSales[[#This Row],[Units]]</f>
        <v>3448.62</v>
      </c>
      <c r="M986">
        <f>(_xlfn.XLOOKUP(fSales[[#This Row],[ProductID]],dProduct[ProductID],dProduct[CratePrice])-_xlfn.XLOOKUP(fSales[[#This Row],[ProductID]],dProduct[ProductID],dProduct[CrateCost]))/_xlfn.XLOOKUP(fSales[[#This Row],[ProductID]],dProduct[ProductID],dProduct[CratePrice])</f>
        <v>0.42000000000000004</v>
      </c>
      <c r="N986" t="str">
        <f>_xlfn.XLOOKUP(fSales[[#This Row],[SalesRepID]],dPSalesRep[SalesRepID],dPSalesRep[SalesRep])</f>
        <v>Shihara Fazzaa</v>
      </c>
      <c r="O986" t="str">
        <f>_xlfn.XLOOKUP(fSales[[#This Row],[SalesRepID]],dPSalesRep[SalesRepID],dPSalesRep[Region])</f>
        <v>East</v>
      </c>
      <c r="P986" t="str">
        <f>_xlfn.XLOOKUP(fSales[[#This Row],[ProductID]],dProduct[ProductID],dProduct[Product])</f>
        <v>Orange</v>
      </c>
      <c r="Q986">
        <f>_xlfn.XLOOKUP(fSales[[#This Row],[ProductID]],dProduct[ProductID],dProduct[CratePrice])-_xlfn.XLOOKUP(fSales[[#This Row],[ProductID]],dProduct[ProductID],dProduct[CrateCost])</f>
        <v>12.495000000000001</v>
      </c>
      <c r="R986">
        <f>_xlfn.XLOOKUP(fSales[[#This Row],[ProductID]],dProduct[ProductID],dProduct[CratePrice])</f>
        <v>29.75</v>
      </c>
      <c r="S986">
        <f>_xlfn.XLOOKUP(fSales[[#This Row],[ProductID]],dProduct[ProductID],dProduct[CrateCost])</f>
        <v>17.254999999999999</v>
      </c>
    </row>
    <row r="987" spans="7:19" x14ac:dyDescent="0.25">
      <c r="G987" s="2">
        <v>45974</v>
      </c>
      <c r="H987">
        <v>288</v>
      </c>
      <c r="I987" t="s">
        <v>26</v>
      </c>
      <c r="J987" t="s">
        <v>32</v>
      </c>
      <c r="K987">
        <f>_xlfn.XLOOKUP(fSales[[#This Row],[ProductID]],dProduct[ProductID],dProduct[CratePrice])*fSales[[#This Row],[Units]]</f>
        <v>8568</v>
      </c>
      <c r="L987">
        <f>fSales[[#This Row],[Total sales]]-_xlfn.XLOOKUP(fSales[[#This Row],[ProductID]],dProduct[ProductID],dProduct[CrateCost])*fSales[[#This Row],[Units]]</f>
        <v>3598.5600000000004</v>
      </c>
      <c r="M987">
        <f>(_xlfn.XLOOKUP(fSales[[#This Row],[ProductID]],dProduct[ProductID],dProduct[CratePrice])-_xlfn.XLOOKUP(fSales[[#This Row],[ProductID]],dProduct[ProductID],dProduct[CrateCost]))/_xlfn.XLOOKUP(fSales[[#This Row],[ProductID]],dProduct[ProductID],dProduct[CratePrice])</f>
        <v>0.42000000000000004</v>
      </c>
      <c r="N987" t="str">
        <f>_xlfn.XLOOKUP(fSales[[#This Row],[SalesRepID]],dPSalesRep[SalesRepID],dPSalesRep[SalesRep])</f>
        <v>Shihara Fazzaa</v>
      </c>
      <c r="O987" t="str">
        <f>_xlfn.XLOOKUP(fSales[[#This Row],[SalesRepID]],dPSalesRep[SalesRepID],dPSalesRep[Region])</f>
        <v>East</v>
      </c>
      <c r="P987" t="str">
        <f>_xlfn.XLOOKUP(fSales[[#This Row],[ProductID]],dProduct[ProductID],dProduct[Product])</f>
        <v>Orange</v>
      </c>
      <c r="Q987">
        <f>_xlfn.XLOOKUP(fSales[[#This Row],[ProductID]],dProduct[ProductID],dProduct[CratePrice])-_xlfn.XLOOKUP(fSales[[#This Row],[ProductID]],dProduct[ProductID],dProduct[CrateCost])</f>
        <v>12.495000000000001</v>
      </c>
      <c r="R987">
        <f>_xlfn.XLOOKUP(fSales[[#This Row],[ProductID]],dProduct[ProductID],dProduct[CratePrice])</f>
        <v>29.75</v>
      </c>
      <c r="S987">
        <f>_xlfn.XLOOKUP(fSales[[#This Row],[ProductID]],dProduct[ProductID],dProduct[CrateCost])</f>
        <v>17.254999999999999</v>
      </c>
    </row>
    <row r="988" spans="7:19" x14ac:dyDescent="0.25">
      <c r="G988" s="2">
        <v>45976</v>
      </c>
      <c r="H988">
        <v>132</v>
      </c>
      <c r="I988" t="s">
        <v>19</v>
      </c>
      <c r="J988" t="s">
        <v>37</v>
      </c>
      <c r="K988">
        <f>_xlfn.XLOOKUP(fSales[[#This Row],[ProductID]],dProduct[ProductID],dProduct[CratePrice])*fSales[[#This Row],[Units]]</f>
        <v>4620</v>
      </c>
      <c r="L988">
        <f>fSales[[#This Row],[Total sales]]-_xlfn.XLOOKUP(fSales[[#This Row],[ProductID]],dProduct[ProductID],dProduct[CrateCost])*fSales[[#This Row],[Units]]</f>
        <v>2587.1999999999998</v>
      </c>
      <c r="M988">
        <f>(_xlfn.XLOOKUP(fSales[[#This Row],[ProductID]],dProduct[ProductID],dProduct[CratePrice])-_xlfn.XLOOKUP(fSales[[#This Row],[ProductID]],dProduct[ProductID],dProduct[CrateCost]))/_xlfn.XLOOKUP(fSales[[#This Row],[ProductID]],dProduct[ProductID],dProduct[CratePrice])</f>
        <v>0.56000000000000005</v>
      </c>
      <c r="N988" t="str">
        <f>_xlfn.XLOOKUP(fSales[[#This Row],[SalesRepID]],dPSalesRep[SalesRepID],dPSalesRep[SalesRep])</f>
        <v>Chantel Mims</v>
      </c>
      <c r="O988" t="str">
        <f>_xlfn.XLOOKUP(fSales[[#This Row],[SalesRepID]],dPSalesRep[SalesRepID],dPSalesRep[Region])</f>
        <v>NW</v>
      </c>
      <c r="P988" t="str">
        <f>_xlfn.XLOOKUP(fSales[[#This Row],[ProductID]],dProduct[ProductID],dProduct[Product])</f>
        <v>Apple</v>
      </c>
      <c r="Q988">
        <f>_xlfn.XLOOKUP(fSales[[#This Row],[ProductID]],dProduct[ProductID],dProduct[CratePrice])-_xlfn.XLOOKUP(fSales[[#This Row],[ProductID]],dProduct[ProductID],dProduct[CrateCost])</f>
        <v>19.600000000000001</v>
      </c>
      <c r="R988">
        <f>_xlfn.XLOOKUP(fSales[[#This Row],[ProductID]],dProduct[ProductID],dProduct[CratePrice])</f>
        <v>35</v>
      </c>
      <c r="S988">
        <f>_xlfn.XLOOKUP(fSales[[#This Row],[ProductID]],dProduct[ProductID],dProduct[CrateCost])</f>
        <v>15.4</v>
      </c>
    </row>
    <row r="989" spans="7:19" x14ac:dyDescent="0.25">
      <c r="G989" s="2">
        <v>45977</v>
      </c>
      <c r="H989">
        <v>264</v>
      </c>
      <c r="I989" t="s">
        <v>28</v>
      </c>
      <c r="J989" t="s">
        <v>22</v>
      </c>
      <c r="K989">
        <f>_xlfn.XLOOKUP(fSales[[#This Row],[ProductID]],dProduct[ProductID],dProduct[CratePrice])*fSales[[#This Row],[Units]]</f>
        <v>11536.800000000001</v>
      </c>
      <c r="L989">
        <f>fSales[[#This Row],[Total sales]]-_xlfn.XLOOKUP(fSales[[#This Row],[ProductID]],dProduct[ProductID],dProduct[CrateCost])*fSales[[#This Row],[Units]]</f>
        <v>4845.456000000001</v>
      </c>
      <c r="M989">
        <f>(_xlfn.XLOOKUP(fSales[[#This Row],[ProductID]],dProduct[ProductID],dProduct[CratePrice])-_xlfn.XLOOKUP(fSales[[#This Row],[ProductID]],dProduct[ProductID],dProduct[CrateCost]))/_xlfn.XLOOKUP(fSales[[#This Row],[ProductID]],dProduct[ProductID],dProduct[CratePrice])</f>
        <v>0.42000000000000004</v>
      </c>
      <c r="N989" t="str">
        <f>_xlfn.XLOOKUP(fSales[[#This Row],[SalesRepID]],dPSalesRep[SalesRepID],dPSalesRep[SalesRep])</f>
        <v>Timmy Kips</v>
      </c>
      <c r="O989" t="str">
        <f>_xlfn.XLOOKUP(fSales[[#This Row],[SalesRepID]],dPSalesRep[SalesRepID],dPSalesRep[Region])</f>
        <v>East</v>
      </c>
      <c r="P989" t="str">
        <f>_xlfn.XLOOKUP(fSales[[#This Row],[ProductID]],dProduct[ProductID],dProduct[Product])</f>
        <v>Cherry</v>
      </c>
      <c r="Q989">
        <f>_xlfn.XLOOKUP(fSales[[#This Row],[ProductID]],dProduct[ProductID],dProduct[CratePrice])-_xlfn.XLOOKUP(fSales[[#This Row],[ProductID]],dProduct[ProductID],dProduct[CrateCost])</f>
        <v>18.354000000000003</v>
      </c>
      <c r="R989">
        <f>_xlfn.XLOOKUP(fSales[[#This Row],[ProductID]],dProduct[ProductID],dProduct[CratePrice])</f>
        <v>43.7</v>
      </c>
      <c r="S989">
        <f>_xlfn.XLOOKUP(fSales[[#This Row],[ProductID]],dProduct[ProductID],dProduct[CrateCost])</f>
        <v>25.346</v>
      </c>
    </row>
    <row r="990" spans="7:19" x14ac:dyDescent="0.25">
      <c r="G990" s="2">
        <v>45978</v>
      </c>
      <c r="H990">
        <v>48</v>
      </c>
      <c r="I990" t="s">
        <v>21</v>
      </c>
      <c r="J990" t="s">
        <v>52</v>
      </c>
      <c r="K990">
        <f>_xlfn.XLOOKUP(fSales[[#This Row],[ProductID]],dProduct[ProductID],dProduct[CratePrice])*fSales[[#This Row],[Units]]</f>
        <v>1080</v>
      </c>
      <c r="L990">
        <f>fSales[[#This Row],[Total sales]]-_xlfn.XLOOKUP(fSales[[#This Row],[ProductID]],dProduct[ProductID],dProduct[CrateCost])*fSales[[#This Row],[Units]]</f>
        <v>475.19999999999993</v>
      </c>
      <c r="M990">
        <f>(_xlfn.XLOOKUP(fSales[[#This Row],[ProductID]],dProduct[ProductID],dProduct[CratePrice])-_xlfn.XLOOKUP(fSales[[#This Row],[ProductID]],dProduct[ProductID],dProduct[CrateCost]))/_xlfn.XLOOKUP(fSales[[#This Row],[ProductID]],dProduct[ProductID],dProduct[CratePrice])</f>
        <v>0.43999999999999995</v>
      </c>
      <c r="N990" t="str">
        <f>_xlfn.XLOOKUP(fSales[[#This Row],[SalesRepID]],dPSalesRep[SalesRepID],dPSalesRep[SalesRep])</f>
        <v>Smitty Rad</v>
      </c>
      <c r="O990" t="str">
        <f>_xlfn.XLOOKUP(fSales[[#This Row],[SalesRepID]],dPSalesRep[SalesRepID],dPSalesRep[Region])</f>
        <v>MidWest</v>
      </c>
      <c r="P990" t="str">
        <f>_xlfn.XLOOKUP(fSales[[#This Row],[ProductID]],dProduct[ProductID],dProduct[Product])</f>
        <v>Kiwi</v>
      </c>
      <c r="Q990">
        <f>_xlfn.XLOOKUP(fSales[[#This Row],[ProductID]],dProduct[ProductID],dProduct[CratePrice])-_xlfn.XLOOKUP(fSales[[#This Row],[ProductID]],dProduct[ProductID],dProduct[CrateCost])</f>
        <v>9.8999999999999986</v>
      </c>
      <c r="R990">
        <f>_xlfn.XLOOKUP(fSales[[#This Row],[ProductID]],dProduct[ProductID],dProduct[CratePrice])</f>
        <v>22.5</v>
      </c>
      <c r="S990">
        <f>_xlfn.XLOOKUP(fSales[[#This Row],[ProductID]],dProduct[ProductID],dProduct[CrateCost])</f>
        <v>12.600000000000001</v>
      </c>
    </row>
    <row r="991" spans="7:19" x14ac:dyDescent="0.25">
      <c r="G991" s="2">
        <v>45978</v>
      </c>
      <c r="H991">
        <v>240</v>
      </c>
      <c r="I991" t="s">
        <v>21</v>
      </c>
      <c r="J991" t="s">
        <v>52</v>
      </c>
      <c r="K991">
        <f>_xlfn.XLOOKUP(fSales[[#This Row],[ProductID]],dProduct[ProductID],dProduct[CratePrice])*fSales[[#This Row],[Units]]</f>
        <v>5400</v>
      </c>
      <c r="L991">
        <f>fSales[[#This Row],[Total sales]]-_xlfn.XLOOKUP(fSales[[#This Row],[ProductID]],dProduct[ProductID],dProduct[CrateCost])*fSales[[#This Row],[Units]]</f>
        <v>2375.9999999999995</v>
      </c>
      <c r="M991">
        <f>(_xlfn.XLOOKUP(fSales[[#This Row],[ProductID]],dProduct[ProductID],dProduct[CratePrice])-_xlfn.XLOOKUP(fSales[[#This Row],[ProductID]],dProduct[ProductID],dProduct[CrateCost]))/_xlfn.XLOOKUP(fSales[[#This Row],[ProductID]],dProduct[ProductID],dProduct[CratePrice])</f>
        <v>0.43999999999999995</v>
      </c>
      <c r="N991" t="str">
        <f>_xlfn.XLOOKUP(fSales[[#This Row],[SalesRepID]],dPSalesRep[SalesRepID],dPSalesRep[SalesRep])</f>
        <v>Smitty Rad</v>
      </c>
      <c r="O991" t="str">
        <f>_xlfn.XLOOKUP(fSales[[#This Row],[SalesRepID]],dPSalesRep[SalesRepID],dPSalesRep[Region])</f>
        <v>MidWest</v>
      </c>
      <c r="P991" t="str">
        <f>_xlfn.XLOOKUP(fSales[[#This Row],[ProductID]],dProduct[ProductID],dProduct[Product])</f>
        <v>Kiwi</v>
      </c>
      <c r="Q991">
        <f>_xlfn.XLOOKUP(fSales[[#This Row],[ProductID]],dProduct[ProductID],dProduct[CratePrice])-_xlfn.XLOOKUP(fSales[[#This Row],[ProductID]],dProduct[ProductID],dProduct[CrateCost])</f>
        <v>9.8999999999999986</v>
      </c>
      <c r="R991">
        <f>_xlfn.XLOOKUP(fSales[[#This Row],[ProductID]],dProduct[ProductID],dProduct[CratePrice])</f>
        <v>22.5</v>
      </c>
      <c r="S991">
        <f>_xlfn.XLOOKUP(fSales[[#This Row],[ProductID]],dProduct[ProductID],dProduct[CrateCost])</f>
        <v>12.600000000000001</v>
      </c>
    </row>
    <row r="992" spans="7:19" x14ac:dyDescent="0.25">
      <c r="G992" s="2">
        <v>45979</v>
      </c>
      <c r="H992">
        <v>288</v>
      </c>
      <c r="I992" t="s">
        <v>19</v>
      </c>
      <c r="J992" t="s">
        <v>52</v>
      </c>
      <c r="K992">
        <f>_xlfn.XLOOKUP(fSales[[#This Row],[ProductID]],dProduct[ProductID],dProduct[CratePrice])*fSales[[#This Row],[Units]]</f>
        <v>10080</v>
      </c>
      <c r="L992">
        <f>fSales[[#This Row],[Total sales]]-_xlfn.XLOOKUP(fSales[[#This Row],[ProductID]],dProduct[ProductID],dProduct[CrateCost])*fSales[[#This Row],[Units]]</f>
        <v>5644.8</v>
      </c>
      <c r="M992">
        <f>(_xlfn.XLOOKUP(fSales[[#This Row],[ProductID]],dProduct[ProductID],dProduct[CratePrice])-_xlfn.XLOOKUP(fSales[[#This Row],[ProductID]],dProduct[ProductID],dProduct[CrateCost]))/_xlfn.XLOOKUP(fSales[[#This Row],[ProductID]],dProduct[ProductID],dProduct[CratePrice])</f>
        <v>0.56000000000000005</v>
      </c>
      <c r="N992" t="str">
        <f>_xlfn.XLOOKUP(fSales[[#This Row],[SalesRepID]],dPSalesRep[SalesRepID],dPSalesRep[SalesRep])</f>
        <v>Smitty Rad</v>
      </c>
      <c r="O992" t="str">
        <f>_xlfn.XLOOKUP(fSales[[#This Row],[SalesRepID]],dPSalesRep[SalesRepID],dPSalesRep[Region])</f>
        <v>MidWest</v>
      </c>
      <c r="P992" t="str">
        <f>_xlfn.XLOOKUP(fSales[[#This Row],[ProductID]],dProduct[ProductID],dProduct[Product])</f>
        <v>Apple</v>
      </c>
      <c r="Q992">
        <f>_xlfn.XLOOKUP(fSales[[#This Row],[ProductID]],dProduct[ProductID],dProduct[CratePrice])-_xlfn.XLOOKUP(fSales[[#This Row],[ProductID]],dProduct[ProductID],dProduct[CrateCost])</f>
        <v>19.600000000000001</v>
      </c>
      <c r="R992">
        <f>_xlfn.XLOOKUP(fSales[[#This Row],[ProductID]],dProduct[ProductID],dProduct[CratePrice])</f>
        <v>35</v>
      </c>
      <c r="S992">
        <f>_xlfn.XLOOKUP(fSales[[#This Row],[ProductID]],dProduct[ProductID],dProduct[CrateCost])</f>
        <v>15.4</v>
      </c>
    </row>
    <row r="993" spans="7:19" x14ac:dyDescent="0.25">
      <c r="G993" s="2">
        <v>45979</v>
      </c>
      <c r="H993">
        <v>36</v>
      </c>
      <c r="I993" t="s">
        <v>26</v>
      </c>
      <c r="J993" t="s">
        <v>32</v>
      </c>
      <c r="K993">
        <f>_xlfn.XLOOKUP(fSales[[#This Row],[ProductID]],dProduct[ProductID],dProduct[CratePrice])*fSales[[#This Row],[Units]]</f>
        <v>1071</v>
      </c>
      <c r="L993">
        <f>fSales[[#This Row],[Total sales]]-_xlfn.XLOOKUP(fSales[[#This Row],[ProductID]],dProduct[ProductID],dProduct[CrateCost])*fSales[[#This Row],[Units]]</f>
        <v>449.82000000000005</v>
      </c>
      <c r="M993">
        <f>(_xlfn.XLOOKUP(fSales[[#This Row],[ProductID]],dProduct[ProductID],dProduct[CratePrice])-_xlfn.XLOOKUP(fSales[[#This Row],[ProductID]],dProduct[ProductID],dProduct[CrateCost]))/_xlfn.XLOOKUP(fSales[[#This Row],[ProductID]],dProduct[ProductID],dProduct[CratePrice])</f>
        <v>0.42000000000000004</v>
      </c>
      <c r="N993" t="str">
        <f>_xlfn.XLOOKUP(fSales[[#This Row],[SalesRepID]],dPSalesRep[SalesRepID],dPSalesRep[SalesRep])</f>
        <v>Shihara Fazzaa</v>
      </c>
      <c r="O993" t="str">
        <f>_xlfn.XLOOKUP(fSales[[#This Row],[SalesRepID]],dPSalesRep[SalesRepID],dPSalesRep[Region])</f>
        <v>East</v>
      </c>
      <c r="P993" t="str">
        <f>_xlfn.XLOOKUP(fSales[[#This Row],[ProductID]],dProduct[ProductID],dProduct[Product])</f>
        <v>Orange</v>
      </c>
      <c r="Q993">
        <f>_xlfn.XLOOKUP(fSales[[#This Row],[ProductID]],dProduct[ProductID],dProduct[CratePrice])-_xlfn.XLOOKUP(fSales[[#This Row],[ProductID]],dProduct[ProductID],dProduct[CrateCost])</f>
        <v>12.495000000000001</v>
      </c>
      <c r="R993">
        <f>_xlfn.XLOOKUP(fSales[[#This Row],[ProductID]],dProduct[ProductID],dProduct[CratePrice])</f>
        <v>29.75</v>
      </c>
      <c r="S993">
        <f>_xlfn.XLOOKUP(fSales[[#This Row],[ProductID]],dProduct[ProductID],dProduct[CrateCost])</f>
        <v>17.254999999999999</v>
      </c>
    </row>
    <row r="994" spans="7:19" x14ac:dyDescent="0.25">
      <c r="G994" s="2">
        <v>45979</v>
      </c>
      <c r="H994">
        <v>60</v>
      </c>
      <c r="I994" t="s">
        <v>34</v>
      </c>
      <c r="J994" t="s">
        <v>37</v>
      </c>
      <c r="K994">
        <f>_xlfn.XLOOKUP(fSales[[#This Row],[ProductID]],dProduct[ProductID],dProduct[CratePrice])*fSales[[#This Row],[Units]]</f>
        <v>1050</v>
      </c>
      <c r="L994">
        <f>fSales[[#This Row],[Total sales]]-_xlfn.XLOOKUP(fSales[[#This Row],[ProductID]],dProduct[ProductID],dProduct[CrateCost])*fSales[[#This Row],[Units]]</f>
        <v>346.49999999999989</v>
      </c>
      <c r="M994">
        <f>(_xlfn.XLOOKUP(fSales[[#This Row],[ProductID]],dProduct[ProductID],dProduct[CratePrice])-_xlfn.XLOOKUP(fSales[[#This Row],[ProductID]],dProduct[ProductID],dProduct[CrateCost]))/_xlfn.XLOOKUP(fSales[[#This Row],[ProductID]],dProduct[ProductID],dProduct[CratePrice])</f>
        <v>0.3299999999999999</v>
      </c>
      <c r="N994" t="str">
        <f>_xlfn.XLOOKUP(fSales[[#This Row],[SalesRepID]],dPSalesRep[SalesRepID],dPSalesRep[SalesRep])</f>
        <v>Chantel Mims</v>
      </c>
      <c r="O994" t="str">
        <f>_xlfn.XLOOKUP(fSales[[#This Row],[SalesRepID]],dPSalesRep[SalesRepID],dPSalesRep[Region])</f>
        <v>NW</v>
      </c>
      <c r="P994" t="str">
        <f>_xlfn.XLOOKUP(fSales[[#This Row],[ProductID]],dProduct[ProductID],dProduct[Product])</f>
        <v>Banana</v>
      </c>
      <c r="Q994">
        <f>_xlfn.XLOOKUP(fSales[[#This Row],[ProductID]],dProduct[ProductID],dProduct[CratePrice])-_xlfn.XLOOKUP(fSales[[#This Row],[ProductID]],dProduct[ProductID],dProduct[CrateCost])</f>
        <v>5.7749999999999986</v>
      </c>
      <c r="R994">
        <f>_xlfn.XLOOKUP(fSales[[#This Row],[ProductID]],dProduct[ProductID],dProduct[CratePrice])</f>
        <v>17.5</v>
      </c>
      <c r="S994">
        <f>_xlfn.XLOOKUP(fSales[[#This Row],[ProductID]],dProduct[ProductID],dProduct[CrateCost])</f>
        <v>11.725000000000001</v>
      </c>
    </row>
    <row r="995" spans="7:19" x14ac:dyDescent="0.25">
      <c r="G995" s="2">
        <v>45980</v>
      </c>
      <c r="H995">
        <v>84</v>
      </c>
      <c r="I995" t="s">
        <v>21</v>
      </c>
      <c r="J995" t="s">
        <v>29</v>
      </c>
      <c r="K995">
        <f>_xlfn.XLOOKUP(fSales[[#This Row],[ProductID]],dProduct[ProductID],dProduct[CratePrice])*fSales[[#This Row],[Units]]</f>
        <v>1890</v>
      </c>
      <c r="L995">
        <f>fSales[[#This Row],[Total sales]]-_xlfn.XLOOKUP(fSales[[#This Row],[ProductID]],dProduct[ProductID],dProduct[CrateCost])*fSales[[#This Row],[Units]]</f>
        <v>831.59999999999991</v>
      </c>
      <c r="M995">
        <f>(_xlfn.XLOOKUP(fSales[[#This Row],[ProductID]],dProduct[ProductID],dProduct[CratePrice])-_xlfn.XLOOKUP(fSales[[#This Row],[ProductID]],dProduct[ProductID],dProduct[CrateCost]))/_xlfn.XLOOKUP(fSales[[#This Row],[ProductID]],dProduct[ProductID],dProduct[CratePrice])</f>
        <v>0.43999999999999995</v>
      </c>
      <c r="N995" t="str">
        <f>_xlfn.XLOOKUP(fSales[[#This Row],[SalesRepID]],dPSalesRep[SalesRepID],dPSalesRep[SalesRep])</f>
        <v>Sioux Best</v>
      </c>
      <c r="O995" t="str">
        <f>_xlfn.XLOOKUP(fSales[[#This Row],[SalesRepID]],dPSalesRep[SalesRepID],dPSalesRep[Region])</f>
        <v>West</v>
      </c>
      <c r="P995" t="str">
        <f>_xlfn.XLOOKUP(fSales[[#This Row],[ProductID]],dProduct[ProductID],dProduct[Product])</f>
        <v>Kiwi</v>
      </c>
      <c r="Q995">
        <f>_xlfn.XLOOKUP(fSales[[#This Row],[ProductID]],dProduct[ProductID],dProduct[CratePrice])-_xlfn.XLOOKUP(fSales[[#This Row],[ProductID]],dProduct[ProductID],dProduct[CrateCost])</f>
        <v>9.8999999999999986</v>
      </c>
      <c r="R995">
        <f>_xlfn.XLOOKUP(fSales[[#This Row],[ProductID]],dProduct[ProductID],dProduct[CratePrice])</f>
        <v>22.5</v>
      </c>
      <c r="S995">
        <f>_xlfn.XLOOKUP(fSales[[#This Row],[ProductID]],dProduct[ProductID],dProduct[CrateCost])</f>
        <v>12.600000000000001</v>
      </c>
    </row>
    <row r="996" spans="7:19" x14ac:dyDescent="0.25">
      <c r="G996" s="2">
        <v>45980</v>
      </c>
      <c r="H996">
        <v>36</v>
      </c>
      <c r="I996" t="s">
        <v>28</v>
      </c>
      <c r="J996" t="s">
        <v>37</v>
      </c>
      <c r="K996">
        <f>_xlfn.XLOOKUP(fSales[[#This Row],[ProductID]],dProduct[ProductID],dProduct[CratePrice])*fSales[[#This Row],[Units]]</f>
        <v>1573.2</v>
      </c>
      <c r="L996">
        <f>fSales[[#This Row],[Total sales]]-_xlfn.XLOOKUP(fSales[[#This Row],[ProductID]],dProduct[ProductID],dProduct[CrateCost])*fSales[[#This Row],[Units]]</f>
        <v>660.74400000000003</v>
      </c>
      <c r="M996">
        <f>(_xlfn.XLOOKUP(fSales[[#This Row],[ProductID]],dProduct[ProductID],dProduct[CratePrice])-_xlfn.XLOOKUP(fSales[[#This Row],[ProductID]],dProduct[ProductID],dProduct[CrateCost]))/_xlfn.XLOOKUP(fSales[[#This Row],[ProductID]],dProduct[ProductID],dProduct[CratePrice])</f>
        <v>0.42000000000000004</v>
      </c>
      <c r="N996" t="str">
        <f>_xlfn.XLOOKUP(fSales[[#This Row],[SalesRepID]],dPSalesRep[SalesRepID],dPSalesRep[SalesRep])</f>
        <v>Chantel Mims</v>
      </c>
      <c r="O996" t="str">
        <f>_xlfn.XLOOKUP(fSales[[#This Row],[SalesRepID]],dPSalesRep[SalesRepID],dPSalesRep[Region])</f>
        <v>NW</v>
      </c>
      <c r="P996" t="str">
        <f>_xlfn.XLOOKUP(fSales[[#This Row],[ProductID]],dProduct[ProductID],dProduct[Product])</f>
        <v>Cherry</v>
      </c>
      <c r="Q996">
        <f>_xlfn.XLOOKUP(fSales[[#This Row],[ProductID]],dProduct[ProductID],dProduct[CratePrice])-_xlfn.XLOOKUP(fSales[[#This Row],[ProductID]],dProduct[ProductID],dProduct[CrateCost])</f>
        <v>18.354000000000003</v>
      </c>
      <c r="R996">
        <f>_xlfn.XLOOKUP(fSales[[#This Row],[ProductID]],dProduct[ProductID],dProduct[CratePrice])</f>
        <v>43.7</v>
      </c>
      <c r="S996">
        <f>_xlfn.XLOOKUP(fSales[[#This Row],[ProductID]],dProduct[ProductID],dProduct[CrateCost])</f>
        <v>25.346</v>
      </c>
    </row>
    <row r="997" spans="7:19" x14ac:dyDescent="0.25">
      <c r="G997" s="2">
        <v>45981</v>
      </c>
      <c r="H997">
        <v>216</v>
      </c>
      <c r="I997" t="s">
        <v>19</v>
      </c>
      <c r="J997" t="s">
        <v>29</v>
      </c>
      <c r="K997">
        <f>_xlfn.XLOOKUP(fSales[[#This Row],[ProductID]],dProduct[ProductID],dProduct[CratePrice])*fSales[[#This Row],[Units]]</f>
        <v>7560</v>
      </c>
      <c r="L997">
        <f>fSales[[#This Row],[Total sales]]-_xlfn.XLOOKUP(fSales[[#This Row],[ProductID]],dProduct[ProductID],dProduct[CrateCost])*fSales[[#This Row],[Units]]</f>
        <v>4233.6000000000004</v>
      </c>
      <c r="M997">
        <f>(_xlfn.XLOOKUP(fSales[[#This Row],[ProductID]],dProduct[ProductID],dProduct[CratePrice])-_xlfn.XLOOKUP(fSales[[#This Row],[ProductID]],dProduct[ProductID],dProduct[CrateCost]))/_xlfn.XLOOKUP(fSales[[#This Row],[ProductID]],dProduct[ProductID],dProduct[CratePrice])</f>
        <v>0.56000000000000005</v>
      </c>
      <c r="N997" t="str">
        <f>_xlfn.XLOOKUP(fSales[[#This Row],[SalesRepID]],dPSalesRep[SalesRepID],dPSalesRep[SalesRep])</f>
        <v>Sioux Best</v>
      </c>
      <c r="O997" t="str">
        <f>_xlfn.XLOOKUP(fSales[[#This Row],[SalesRepID]],dPSalesRep[SalesRepID],dPSalesRep[Region])</f>
        <v>West</v>
      </c>
      <c r="P997" t="str">
        <f>_xlfn.XLOOKUP(fSales[[#This Row],[ProductID]],dProduct[ProductID],dProduct[Product])</f>
        <v>Apple</v>
      </c>
      <c r="Q997">
        <f>_xlfn.XLOOKUP(fSales[[#This Row],[ProductID]],dProduct[ProductID],dProduct[CratePrice])-_xlfn.XLOOKUP(fSales[[#This Row],[ProductID]],dProduct[ProductID],dProduct[CrateCost])</f>
        <v>19.600000000000001</v>
      </c>
      <c r="R997">
        <f>_xlfn.XLOOKUP(fSales[[#This Row],[ProductID]],dProduct[ProductID],dProduct[CratePrice])</f>
        <v>35</v>
      </c>
      <c r="S997">
        <f>_xlfn.XLOOKUP(fSales[[#This Row],[ProductID]],dProduct[ProductID],dProduct[CrateCost])</f>
        <v>15.4</v>
      </c>
    </row>
    <row r="998" spans="7:19" x14ac:dyDescent="0.25">
      <c r="G998" s="2">
        <v>45983</v>
      </c>
      <c r="H998">
        <v>276</v>
      </c>
      <c r="I998" t="s">
        <v>21</v>
      </c>
      <c r="J998" t="s">
        <v>22</v>
      </c>
      <c r="K998">
        <f>_xlfn.XLOOKUP(fSales[[#This Row],[ProductID]],dProduct[ProductID],dProduct[CratePrice])*fSales[[#This Row],[Units]]</f>
        <v>6210</v>
      </c>
      <c r="L998">
        <f>fSales[[#This Row],[Total sales]]-_xlfn.XLOOKUP(fSales[[#This Row],[ProductID]],dProduct[ProductID],dProduct[CrateCost])*fSales[[#This Row],[Units]]</f>
        <v>2732.3999999999996</v>
      </c>
      <c r="M998">
        <f>(_xlfn.XLOOKUP(fSales[[#This Row],[ProductID]],dProduct[ProductID],dProduct[CratePrice])-_xlfn.XLOOKUP(fSales[[#This Row],[ProductID]],dProduct[ProductID],dProduct[CrateCost]))/_xlfn.XLOOKUP(fSales[[#This Row],[ProductID]],dProduct[ProductID],dProduct[CratePrice])</f>
        <v>0.43999999999999995</v>
      </c>
      <c r="N998" t="str">
        <f>_xlfn.XLOOKUP(fSales[[#This Row],[SalesRepID]],dPSalesRep[SalesRepID],dPSalesRep[SalesRep])</f>
        <v>Timmy Kips</v>
      </c>
      <c r="O998" t="str">
        <f>_xlfn.XLOOKUP(fSales[[#This Row],[SalesRepID]],dPSalesRep[SalesRepID],dPSalesRep[Region])</f>
        <v>East</v>
      </c>
      <c r="P998" t="str">
        <f>_xlfn.XLOOKUP(fSales[[#This Row],[ProductID]],dProduct[ProductID],dProduct[Product])</f>
        <v>Kiwi</v>
      </c>
      <c r="Q998">
        <f>_xlfn.XLOOKUP(fSales[[#This Row],[ProductID]],dProduct[ProductID],dProduct[CratePrice])-_xlfn.XLOOKUP(fSales[[#This Row],[ProductID]],dProduct[ProductID],dProduct[CrateCost])</f>
        <v>9.8999999999999986</v>
      </c>
      <c r="R998">
        <f>_xlfn.XLOOKUP(fSales[[#This Row],[ProductID]],dProduct[ProductID],dProduct[CratePrice])</f>
        <v>22.5</v>
      </c>
      <c r="S998">
        <f>_xlfn.XLOOKUP(fSales[[#This Row],[ProductID]],dProduct[ProductID],dProduct[CrateCost])</f>
        <v>12.600000000000001</v>
      </c>
    </row>
    <row r="999" spans="7:19" x14ac:dyDescent="0.25">
      <c r="G999" s="2">
        <v>45983</v>
      </c>
      <c r="H999">
        <v>228</v>
      </c>
      <c r="I999" t="s">
        <v>26</v>
      </c>
      <c r="J999" t="s">
        <v>37</v>
      </c>
      <c r="K999">
        <f>_xlfn.XLOOKUP(fSales[[#This Row],[ProductID]],dProduct[ProductID],dProduct[CratePrice])*fSales[[#This Row],[Units]]</f>
        <v>6783</v>
      </c>
      <c r="L999">
        <f>fSales[[#This Row],[Total sales]]-_xlfn.XLOOKUP(fSales[[#This Row],[ProductID]],dProduct[ProductID],dProduct[CrateCost])*fSales[[#This Row],[Units]]</f>
        <v>2848.86</v>
      </c>
      <c r="M999">
        <f>(_xlfn.XLOOKUP(fSales[[#This Row],[ProductID]],dProduct[ProductID],dProduct[CratePrice])-_xlfn.XLOOKUP(fSales[[#This Row],[ProductID]],dProduct[ProductID],dProduct[CrateCost]))/_xlfn.XLOOKUP(fSales[[#This Row],[ProductID]],dProduct[ProductID],dProduct[CratePrice])</f>
        <v>0.42000000000000004</v>
      </c>
      <c r="N999" t="str">
        <f>_xlfn.XLOOKUP(fSales[[#This Row],[SalesRepID]],dPSalesRep[SalesRepID],dPSalesRep[SalesRep])</f>
        <v>Chantel Mims</v>
      </c>
      <c r="O999" t="str">
        <f>_xlfn.XLOOKUP(fSales[[#This Row],[SalesRepID]],dPSalesRep[SalesRepID],dPSalesRep[Region])</f>
        <v>NW</v>
      </c>
      <c r="P999" t="str">
        <f>_xlfn.XLOOKUP(fSales[[#This Row],[ProductID]],dProduct[ProductID],dProduct[Product])</f>
        <v>Orange</v>
      </c>
      <c r="Q999">
        <f>_xlfn.XLOOKUP(fSales[[#This Row],[ProductID]],dProduct[ProductID],dProduct[CratePrice])-_xlfn.XLOOKUP(fSales[[#This Row],[ProductID]],dProduct[ProductID],dProduct[CrateCost])</f>
        <v>12.495000000000001</v>
      </c>
      <c r="R999">
        <f>_xlfn.XLOOKUP(fSales[[#This Row],[ProductID]],dProduct[ProductID],dProduct[CratePrice])</f>
        <v>29.75</v>
      </c>
      <c r="S999">
        <f>_xlfn.XLOOKUP(fSales[[#This Row],[ProductID]],dProduct[ProductID],dProduct[CrateCost])</f>
        <v>17.254999999999999</v>
      </c>
    </row>
    <row r="1000" spans="7:19" x14ac:dyDescent="0.25">
      <c r="G1000" s="2">
        <v>45983</v>
      </c>
      <c r="H1000">
        <v>264</v>
      </c>
      <c r="I1000" t="s">
        <v>21</v>
      </c>
      <c r="J1000" t="s">
        <v>32</v>
      </c>
      <c r="K1000">
        <f>_xlfn.XLOOKUP(fSales[[#This Row],[ProductID]],dProduct[ProductID],dProduct[CratePrice])*fSales[[#This Row],[Units]]</f>
        <v>5940</v>
      </c>
      <c r="L1000">
        <f>fSales[[#This Row],[Total sales]]-_xlfn.XLOOKUP(fSales[[#This Row],[ProductID]],dProduct[ProductID],dProduct[CrateCost])*fSales[[#This Row],[Units]]</f>
        <v>2613.5999999999995</v>
      </c>
      <c r="M1000">
        <f>(_xlfn.XLOOKUP(fSales[[#This Row],[ProductID]],dProduct[ProductID],dProduct[CratePrice])-_xlfn.XLOOKUP(fSales[[#This Row],[ProductID]],dProduct[ProductID],dProduct[CrateCost]))/_xlfn.XLOOKUP(fSales[[#This Row],[ProductID]],dProduct[ProductID],dProduct[CratePrice])</f>
        <v>0.43999999999999995</v>
      </c>
      <c r="N1000" t="str">
        <f>_xlfn.XLOOKUP(fSales[[#This Row],[SalesRepID]],dPSalesRep[SalesRepID],dPSalesRep[SalesRep])</f>
        <v>Shihara Fazzaa</v>
      </c>
      <c r="O1000" t="str">
        <f>_xlfn.XLOOKUP(fSales[[#This Row],[SalesRepID]],dPSalesRep[SalesRepID],dPSalesRep[Region])</f>
        <v>East</v>
      </c>
      <c r="P1000" t="str">
        <f>_xlfn.XLOOKUP(fSales[[#This Row],[ProductID]],dProduct[ProductID],dProduct[Product])</f>
        <v>Kiwi</v>
      </c>
      <c r="Q1000">
        <f>_xlfn.XLOOKUP(fSales[[#This Row],[ProductID]],dProduct[ProductID],dProduct[CratePrice])-_xlfn.XLOOKUP(fSales[[#This Row],[ProductID]],dProduct[ProductID],dProduct[CrateCost])</f>
        <v>9.8999999999999986</v>
      </c>
      <c r="R1000">
        <f>_xlfn.XLOOKUP(fSales[[#This Row],[ProductID]],dProduct[ProductID],dProduct[CratePrice])</f>
        <v>22.5</v>
      </c>
      <c r="S1000">
        <f>_xlfn.XLOOKUP(fSales[[#This Row],[ProductID]],dProduct[ProductID],dProduct[CrateCost])</f>
        <v>12.600000000000001</v>
      </c>
    </row>
    <row r="1001" spans="7:19" x14ac:dyDescent="0.25">
      <c r="G1001" s="2">
        <v>45983</v>
      </c>
      <c r="H1001">
        <v>276</v>
      </c>
      <c r="I1001" t="s">
        <v>21</v>
      </c>
      <c r="J1001" t="s">
        <v>29</v>
      </c>
      <c r="K1001">
        <f>_xlfn.XLOOKUP(fSales[[#This Row],[ProductID]],dProduct[ProductID],dProduct[CratePrice])*fSales[[#This Row],[Units]]</f>
        <v>6210</v>
      </c>
      <c r="L1001">
        <f>fSales[[#This Row],[Total sales]]-_xlfn.XLOOKUP(fSales[[#This Row],[ProductID]],dProduct[ProductID],dProduct[CrateCost])*fSales[[#This Row],[Units]]</f>
        <v>2732.3999999999996</v>
      </c>
      <c r="M1001">
        <f>(_xlfn.XLOOKUP(fSales[[#This Row],[ProductID]],dProduct[ProductID],dProduct[CratePrice])-_xlfn.XLOOKUP(fSales[[#This Row],[ProductID]],dProduct[ProductID],dProduct[CrateCost]))/_xlfn.XLOOKUP(fSales[[#This Row],[ProductID]],dProduct[ProductID],dProduct[CratePrice])</f>
        <v>0.43999999999999995</v>
      </c>
      <c r="N1001" t="str">
        <f>_xlfn.XLOOKUP(fSales[[#This Row],[SalesRepID]],dPSalesRep[SalesRepID],dPSalesRep[SalesRep])</f>
        <v>Sioux Best</v>
      </c>
      <c r="O1001" t="str">
        <f>_xlfn.XLOOKUP(fSales[[#This Row],[SalesRepID]],dPSalesRep[SalesRepID],dPSalesRep[Region])</f>
        <v>West</v>
      </c>
      <c r="P1001" t="str">
        <f>_xlfn.XLOOKUP(fSales[[#This Row],[ProductID]],dProduct[ProductID],dProduct[Product])</f>
        <v>Kiwi</v>
      </c>
      <c r="Q1001">
        <f>_xlfn.XLOOKUP(fSales[[#This Row],[ProductID]],dProduct[ProductID],dProduct[CratePrice])-_xlfn.XLOOKUP(fSales[[#This Row],[ProductID]],dProduct[ProductID],dProduct[CrateCost])</f>
        <v>9.8999999999999986</v>
      </c>
      <c r="R1001">
        <f>_xlfn.XLOOKUP(fSales[[#This Row],[ProductID]],dProduct[ProductID],dProduct[CratePrice])</f>
        <v>22.5</v>
      </c>
      <c r="S1001">
        <f>_xlfn.XLOOKUP(fSales[[#This Row],[ProductID]],dProduct[ProductID],dProduct[CrateCost])</f>
        <v>12.600000000000001</v>
      </c>
    </row>
    <row r="1002" spans="7:19" x14ac:dyDescent="0.25">
      <c r="G1002" s="2">
        <v>45983</v>
      </c>
      <c r="H1002">
        <v>204</v>
      </c>
      <c r="I1002" t="s">
        <v>28</v>
      </c>
      <c r="J1002" t="s">
        <v>29</v>
      </c>
      <c r="K1002">
        <f>_xlfn.XLOOKUP(fSales[[#This Row],[ProductID]],dProduct[ProductID],dProduct[CratePrice])*fSales[[#This Row],[Units]]</f>
        <v>8914.8000000000011</v>
      </c>
      <c r="L1002">
        <f>fSales[[#This Row],[Total sales]]-_xlfn.XLOOKUP(fSales[[#This Row],[ProductID]],dProduct[ProductID],dProduct[CrateCost])*fSales[[#This Row],[Units]]</f>
        <v>3744.2160000000013</v>
      </c>
      <c r="M1002">
        <f>(_xlfn.XLOOKUP(fSales[[#This Row],[ProductID]],dProduct[ProductID],dProduct[CratePrice])-_xlfn.XLOOKUP(fSales[[#This Row],[ProductID]],dProduct[ProductID],dProduct[CrateCost]))/_xlfn.XLOOKUP(fSales[[#This Row],[ProductID]],dProduct[ProductID],dProduct[CratePrice])</f>
        <v>0.42000000000000004</v>
      </c>
      <c r="N1002" t="str">
        <f>_xlfn.XLOOKUP(fSales[[#This Row],[SalesRepID]],dPSalesRep[SalesRepID],dPSalesRep[SalesRep])</f>
        <v>Sioux Best</v>
      </c>
      <c r="O1002" t="str">
        <f>_xlfn.XLOOKUP(fSales[[#This Row],[SalesRepID]],dPSalesRep[SalesRepID],dPSalesRep[Region])</f>
        <v>West</v>
      </c>
      <c r="P1002" t="str">
        <f>_xlfn.XLOOKUP(fSales[[#This Row],[ProductID]],dProduct[ProductID],dProduct[Product])</f>
        <v>Cherry</v>
      </c>
      <c r="Q1002">
        <f>_xlfn.XLOOKUP(fSales[[#This Row],[ProductID]],dProduct[ProductID],dProduct[CratePrice])-_xlfn.XLOOKUP(fSales[[#This Row],[ProductID]],dProduct[ProductID],dProduct[CrateCost])</f>
        <v>18.354000000000003</v>
      </c>
      <c r="R1002">
        <f>_xlfn.XLOOKUP(fSales[[#This Row],[ProductID]],dProduct[ProductID],dProduct[CratePrice])</f>
        <v>43.7</v>
      </c>
      <c r="S1002">
        <f>_xlfn.XLOOKUP(fSales[[#This Row],[ProductID]],dProduct[ProductID],dProduct[CrateCost])</f>
        <v>25.346</v>
      </c>
    </row>
    <row r="1003" spans="7:19" x14ac:dyDescent="0.25">
      <c r="G1003" s="2">
        <v>45984</v>
      </c>
      <c r="H1003">
        <v>288</v>
      </c>
      <c r="I1003" t="s">
        <v>26</v>
      </c>
      <c r="J1003" t="s">
        <v>22</v>
      </c>
      <c r="K1003">
        <f>_xlfn.XLOOKUP(fSales[[#This Row],[ProductID]],dProduct[ProductID],dProduct[CratePrice])*fSales[[#This Row],[Units]]</f>
        <v>8568</v>
      </c>
      <c r="L1003">
        <f>fSales[[#This Row],[Total sales]]-_xlfn.XLOOKUP(fSales[[#This Row],[ProductID]],dProduct[ProductID],dProduct[CrateCost])*fSales[[#This Row],[Units]]</f>
        <v>3598.5600000000004</v>
      </c>
      <c r="M1003">
        <f>(_xlfn.XLOOKUP(fSales[[#This Row],[ProductID]],dProduct[ProductID],dProduct[CratePrice])-_xlfn.XLOOKUP(fSales[[#This Row],[ProductID]],dProduct[ProductID],dProduct[CrateCost]))/_xlfn.XLOOKUP(fSales[[#This Row],[ProductID]],dProduct[ProductID],dProduct[CratePrice])</f>
        <v>0.42000000000000004</v>
      </c>
      <c r="N1003" t="str">
        <f>_xlfn.XLOOKUP(fSales[[#This Row],[SalesRepID]],dPSalesRep[SalesRepID],dPSalesRep[SalesRep])</f>
        <v>Timmy Kips</v>
      </c>
      <c r="O1003" t="str">
        <f>_xlfn.XLOOKUP(fSales[[#This Row],[SalesRepID]],dPSalesRep[SalesRepID],dPSalesRep[Region])</f>
        <v>East</v>
      </c>
      <c r="P1003" t="str">
        <f>_xlfn.XLOOKUP(fSales[[#This Row],[ProductID]],dProduct[ProductID],dProduct[Product])</f>
        <v>Orange</v>
      </c>
      <c r="Q1003">
        <f>_xlfn.XLOOKUP(fSales[[#This Row],[ProductID]],dProduct[ProductID],dProduct[CratePrice])-_xlfn.XLOOKUP(fSales[[#This Row],[ProductID]],dProduct[ProductID],dProduct[CrateCost])</f>
        <v>12.495000000000001</v>
      </c>
      <c r="R1003">
        <f>_xlfn.XLOOKUP(fSales[[#This Row],[ProductID]],dProduct[ProductID],dProduct[CratePrice])</f>
        <v>29.75</v>
      </c>
      <c r="S1003">
        <f>_xlfn.XLOOKUP(fSales[[#This Row],[ProductID]],dProduct[ProductID],dProduct[CrateCost])</f>
        <v>17.254999999999999</v>
      </c>
    </row>
    <row r="1004" spans="7:19" x14ac:dyDescent="0.25">
      <c r="G1004" s="2">
        <v>45984</v>
      </c>
      <c r="H1004">
        <v>300</v>
      </c>
      <c r="I1004" t="s">
        <v>28</v>
      </c>
      <c r="J1004" t="s">
        <v>29</v>
      </c>
      <c r="K1004">
        <f>_xlfn.XLOOKUP(fSales[[#This Row],[ProductID]],dProduct[ProductID],dProduct[CratePrice])*fSales[[#This Row],[Units]]</f>
        <v>13110</v>
      </c>
      <c r="L1004">
        <f>fSales[[#This Row],[Total sales]]-_xlfn.XLOOKUP(fSales[[#This Row],[ProductID]],dProduct[ProductID],dProduct[CrateCost])*fSales[[#This Row],[Units]]</f>
        <v>5506.2</v>
      </c>
      <c r="M1004">
        <f>(_xlfn.XLOOKUP(fSales[[#This Row],[ProductID]],dProduct[ProductID],dProduct[CratePrice])-_xlfn.XLOOKUP(fSales[[#This Row],[ProductID]],dProduct[ProductID],dProduct[CrateCost]))/_xlfn.XLOOKUP(fSales[[#This Row],[ProductID]],dProduct[ProductID],dProduct[CratePrice])</f>
        <v>0.42000000000000004</v>
      </c>
      <c r="N1004" t="str">
        <f>_xlfn.XLOOKUP(fSales[[#This Row],[SalesRepID]],dPSalesRep[SalesRepID],dPSalesRep[SalesRep])</f>
        <v>Sioux Best</v>
      </c>
      <c r="O1004" t="str">
        <f>_xlfn.XLOOKUP(fSales[[#This Row],[SalesRepID]],dPSalesRep[SalesRepID],dPSalesRep[Region])</f>
        <v>West</v>
      </c>
      <c r="P1004" t="str">
        <f>_xlfn.XLOOKUP(fSales[[#This Row],[ProductID]],dProduct[ProductID],dProduct[Product])</f>
        <v>Cherry</v>
      </c>
      <c r="Q1004">
        <f>_xlfn.XLOOKUP(fSales[[#This Row],[ProductID]],dProduct[ProductID],dProduct[CratePrice])-_xlfn.XLOOKUP(fSales[[#This Row],[ProductID]],dProduct[ProductID],dProduct[CrateCost])</f>
        <v>18.354000000000003</v>
      </c>
      <c r="R1004">
        <f>_xlfn.XLOOKUP(fSales[[#This Row],[ProductID]],dProduct[ProductID],dProduct[CratePrice])</f>
        <v>43.7</v>
      </c>
      <c r="S1004">
        <f>_xlfn.XLOOKUP(fSales[[#This Row],[ProductID]],dProduct[ProductID],dProduct[CrateCost])</f>
        <v>25.346</v>
      </c>
    </row>
    <row r="1005" spans="7:19" x14ac:dyDescent="0.25">
      <c r="G1005" s="2">
        <v>45986</v>
      </c>
      <c r="H1005">
        <v>24</v>
      </c>
      <c r="I1005" t="s">
        <v>19</v>
      </c>
      <c r="J1005" t="s">
        <v>52</v>
      </c>
      <c r="K1005">
        <f>_xlfn.XLOOKUP(fSales[[#This Row],[ProductID]],dProduct[ProductID],dProduct[CratePrice])*fSales[[#This Row],[Units]]</f>
        <v>840</v>
      </c>
      <c r="L1005">
        <f>fSales[[#This Row],[Total sales]]-_xlfn.XLOOKUP(fSales[[#This Row],[ProductID]],dProduct[ProductID],dProduct[CrateCost])*fSales[[#This Row],[Units]]</f>
        <v>470.4</v>
      </c>
      <c r="M1005">
        <f>(_xlfn.XLOOKUP(fSales[[#This Row],[ProductID]],dProduct[ProductID],dProduct[CratePrice])-_xlfn.XLOOKUP(fSales[[#This Row],[ProductID]],dProduct[ProductID],dProduct[CrateCost]))/_xlfn.XLOOKUP(fSales[[#This Row],[ProductID]],dProduct[ProductID],dProduct[CratePrice])</f>
        <v>0.56000000000000005</v>
      </c>
      <c r="N1005" t="str">
        <f>_xlfn.XLOOKUP(fSales[[#This Row],[SalesRepID]],dPSalesRep[SalesRepID],dPSalesRep[SalesRep])</f>
        <v>Smitty Rad</v>
      </c>
      <c r="O1005" t="str">
        <f>_xlfn.XLOOKUP(fSales[[#This Row],[SalesRepID]],dPSalesRep[SalesRepID],dPSalesRep[Region])</f>
        <v>MidWest</v>
      </c>
      <c r="P1005" t="str">
        <f>_xlfn.XLOOKUP(fSales[[#This Row],[ProductID]],dProduct[ProductID],dProduct[Product])</f>
        <v>Apple</v>
      </c>
      <c r="Q1005">
        <f>_xlfn.XLOOKUP(fSales[[#This Row],[ProductID]],dProduct[ProductID],dProduct[CratePrice])-_xlfn.XLOOKUP(fSales[[#This Row],[ProductID]],dProduct[ProductID],dProduct[CrateCost])</f>
        <v>19.600000000000001</v>
      </c>
      <c r="R1005">
        <f>_xlfn.XLOOKUP(fSales[[#This Row],[ProductID]],dProduct[ProductID],dProduct[CratePrice])</f>
        <v>35</v>
      </c>
      <c r="S1005">
        <f>_xlfn.XLOOKUP(fSales[[#This Row],[ProductID]],dProduct[ProductID],dProduct[CrateCost])</f>
        <v>15.4</v>
      </c>
    </row>
    <row r="1006" spans="7:19" x14ac:dyDescent="0.25">
      <c r="G1006" s="2">
        <v>45988</v>
      </c>
      <c r="H1006">
        <v>96</v>
      </c>
      <c r="I1006" t="s">
        <v>34</v>
      </c>
      <c r="J1006" t="s">
        <v>37</v>
      </c>
      <c r="K1006">
        <f>_xlfn.XLOOKUP(fSales[[#This Row],[ProductID]],dProduct[ProductID],dProduct[CratePrice])*fSales[[#This Row],[Units]]</f>
        <v>1680</v>
      </c>
      <c r="L1006">
        <f>fSales[[#This Row],[Total sales]]-_xlfn.XLOOKUP(fSales[[#This Row],[ProductID]],dProduct[ProductID],dProduct[CrateCost])*fSales[[#This Row],[Units]]</f>
        <v>554.39999999999986</v>
      </c>
      <c r="M1006">
        <f>(_xlfn.XLOOKUP(fSales[[#This Row],[ProductID]],dProduct[ProductID],dProduct[CratePrice])-_xlfn.XLOOKUP(fSales[[#This Row],[ProductID]],dProduct[ProductID],dProduct[CrateCost]))/_xlfn.XLOOKUP(fSales[[#This Row],[ProductID]],dProduct[ProductID],dProduct[CratePrice])</f>
        <v>0.3299999999999999</v>
      </c>
      <c r="N1006" t="str">
        <f>_xlfn.XLOOKUP(fSales[[#This Row],[SalesRepID]],dPSalesRep[SalesRepID],dPSalesRep[SalesRep])</f>
        <v>Chantel Mims</v>
      </c>
      <c r="O1006" t="str">
        <f>_xlfn.XLOOKUP(fSales[[#This Row],[SalesRepID]],dPSalesRep[SalesRepID],dPSalesRep[Region])</f>
        <v>NW</v>
      </c>
      <c r="P1006" t="str">
        <f>_xlfn.XLOOKUP(fSales[[#This Row],[ProductID]],dProduct[ProductID],dProduct[Product])</f>
        <v>Banana</v>
      </c>
      <c r="Q1006">
        <f>_xlfn.XLOOKUP(fSales[[#This Row],[ProductID]],dProduct[ProductID],dProduct[CratePrice])-_xlfn.XLOOKUP(fSales[[#This Row],[ProductID]],dProduct[ProductID],dProduct[CrateCost])</f>
        <v>5.7749999999999986</v>
      </c>
      <c r="R1006">
        <f>_xlfn.XLOOKUP(fSales[[#This Row],[ProductID]],dProduct[ProductID],dProduct[CratePrice])</f>
        <v>17.5</v>
      </c>
      <c r="S1006">
        <f>_xlfn.XLOOKUP(fSales[[#This Row],[ProductID]],dProduct[ProductID],dProduct[CrateCost])</f>
        <v>11.725000000000001</v>
      </c>
    </row>
    <row r="1007" spans="7:19" x14ac:dyDescent="0.25">
      <c r="G1007" s="2">
        <v>45988</v>
      </c>
      <c r="H1007">
        <v>276</v>
      </c>
      <c r="I1007" t="s">
        <v>21</v>
      </c>
      <c r="J1007" t="s">
        <v>22</v>
      </c>
      <c r="K1007">
        <f>_xlfn.XLOOKUP(fSales[[#This Row],[ProductID]],dProduct[ProductID],dProduct[CratePrice])*fSales[[#This Row],[Units]]</f>
        <v>6210</v>
      </c>
      <c r="L1007">
        <f>fSales[[#This Row],[Total sales]]-_xlfn.XLOOKUP(fSales[[#This Row],[ProductID]],dProduct[ProductID],dProduct[CrateCost])*fSales[[#This Row],[Units]]</f>
        <v>2732.3999999999996</v>
      </c>
      <c r="M1007">
        <f>(_xlfn.XLOOKUP(fSales[[#This Row],[ProductID]],dProduct[ProductID],dProduct[CratePrice])-_xlfn.XLOOKUP(fSales[[#This Row],[ProductID]],dProduct[ProductID],dProduct[CrateCost]))/_xlfn.XLOOKUP(fSales[[#This Row],[ProductID]],dProduct[ProductID],dProduct[CratePrice])</f>
        <v>0.43999999999999995</v>
      </c>
      <c r="N1007" t="str">
        <f>_xlfn.XLOOKUP(fSales[[#This Row],[SalesRepID]],dPSalesRep[SalesRepID],dPSalesRep[SalesRep])</f>
        <v>Timmy Kips</v>
      </c>
      <c r="O1007" t="str">
        <f>_xlfn.XLOOKUP(fSales[[#This Row],[SalesRepID]],dPSalesRep[SalesRepID],dPSalesRep[Region])</f>
        <v>East</v>
      </c>
      <c r="P1007" t="str">
        <f>_xlfn.XLOOKUP(fSales[[#This Row],[ProductID]],dProduct[ProductID],dProduct[Product])</f>
        <v>Kiwi</v>
      </c>
      <c r="Q1007">
        <f>_xlfn.XLOOKUP(fSales[[#This Row],[ProductID]],dProduct[ProductID],dProduct[CratePrice])-_xlfn.XLOOKUP(fSales[[#This Row],[ProductID]],dProduct[ProductID],dProduct[CrateCost])</f>
        <v>9.8999999999999986</v>
      </c>
      <c r="R1007">
        <f>_xlfn.XLOOKUP(fSales[[#This Row],[ProductID]],dProduct[ProductID],dProduct[CratePrice])</f>
        <v>22.5</v>
      </c>
      <c r="S1007">
        <f>_xlfn.XLOOKUP(fSales[[#This Row],[ProductID]],dProduct[ProductID],dProduct[CrateCost])</f>
        <v>12.600000000000001</v>
      </c>
    </row>
    <row r="1008" spans="7:19" x14ac:dyDescent="0.25">
      <c r="G1008" s="2">
        <v>45988</v>
      </c>
      <c r="H1008">
        <v>84</v>
      </c>
      <c r="I1008" t="s">
        <v>28</v>
      </c>
      <c r="J1008" t="s">
        <v>37</v>
      </c>
      <c r="K1008">
        <f>_xlfn.XLOOKUP(fSales[[#This Row],[ProductID]],dProduct[ProductID],dProduct[CratePrice])*fSales[[#This Row],[Units]]</f>
        <v>3670.8</v>
      </c>
      <c r="L1008">
        <f>fSales[[#This Row],[Total sales]]-_xlfn.XLOOKUP(fSales[[#This Row],[ProductID]],dProduct[ProductID],dProduct[CrateCost])*fSales[[#This Row],[Units]]</f>
        <v>1541.7360000000003</v>
      </c>
      <c r="M1008">
        <f>(_xlfn.XLOOKUP(fSales[[#This Row],[ProductID]],dProduct[ProductID],dProduct[CratePrice])-_xlfn.XLOOKUP(fSales[[#This Row],[ProductID]],dProduct[ProductID],dProduct[CrateCost]))/_xlfn.XLOOKUP(fSales[[#This Row],[ProductID]],dProduct[ProductID],dProduct[CratePrice])</f>
        <v>0.42000000000000004</v>
      </c>
      <c r="N1008" t="str">
        <f>_xlfn.XLOOKUP(fSales[[#This Row],[SalesRepID]],dPSalesRep[SalesRepID],dPSalesRep[SalesRep])</f>
        <v>Chantel Mims</v>
      </c>
      <c r="O1008" t="str">
        <f>_xlfn.XLOOKUP(fSales[[#This Row],[SalesRepID]],dPSalesRep[SalesRepID],dPSalesRep[Region])</f>
        <v>NW</v>
      </c>
      <c r="P1008" t="str">
        <f>_xlfn.XLOOKUP(fSales[[#This Row],[ProductID]],dProduct[ProductID],dProduct[Product])</f>
        <v>Cherry</v>
      </c>
      <c r="Q1008">
        <f>_xlfn.XLOOKUP(fSales[[#This Row],[ProductID]],dProduct[ProductID],dProduct[CratePrice])-_xlfn.XLOOKUP(fSales[[#This Row],[ProductID]],dProduct[ProductID],dProduct[CrateCost])</f>
        <v>18.354000000000003</v>
      </c>
      <c r="R1008">
        <f>_xlfn.XLOOKUP(fSales[[#This Row],[ProductID]],dProduct[ProductID],dProduct[CratePrice])</f>
        <v>43.7</v>
      </c>
      <c r="S1008">
        <f>_xlfn.XLOOKUP(fSales[[#This Row],[ProductID]],dProduct[ProductID],dProduct[CrateCost])</f>
        <v>25.346</v>
      </c>
    </row>
    <row r="1009" spans="7:19" x14ac:dyDescent="0.25">
      <c r="G1009" s="2">
        <v>45989</v>
      </c>
      <c r="H1009">
        <v>84</v>
      </c>
      <c r="I1009" t="s">
        <v>28</v>
      </c>
      <c r="J1009" t="s">
        <v>29</v>
      </c>
      <c r="K1009">
        <f>_xlfn.XLOOKUP(fSales[[#This Row],[ProductID]],dProduct[ProductID],dProduct[CratePrice])*fSales[[#This Row],[Units]]</f>
        <v>3670.8</v>
      </c>
      <c r="L1009">
        <f>fSales[[#This Row],[Total sales]]-_xlfn.XLOOKUP(fSales[[#This Row],[ProductID]],dProduct[ProductID],dProduct[CrateCost])*fSales[[#This Row],[Units]]</f>
        <v>1541.7360000000003</v>
      </c>
      <c r="M1009">
        <f>(_xlfn.XLOOKUP(fSales[[#This Row],[ProductID]],dProduct[ProductID],dProduct[CratePrice])-_xlfn.XLOOKUP(fSales[[#This Row],[ProductID]],dProduct[ProductID],dProduct[CrateCost]))/_xlfn.XLOOKUP(fSales[[#This Row],[ProductID]],dProduct[ProductID],dProduct[CratePrice])</f>
        <v>0.42000000000000004</v>
      </c>
      <c r="N1009" t="str">
        <f>_xlfn.XLOOKUP(fSales[[#This Row],[SalesRepID]],dPSalesRep[SalesRepID],dPSalesRep[SalesRep])</f>
        <v>Sioux Best</v>
      </c>
      <c r="O1009" t="str">
        <f>_xlfn.XLOOKUP(fSales[[#This Row],[SalesRepID]],dPSalesRep[SalesRepID],dPSalesRep[Region])</f>
        <v>West</v>
      </c>
      <c r="P1009" t="str">
        <f>_xlfn.XLOOKUP(fSales[[#This Row],[ProductID]],dProduct[ProductID],dProduct[Product])</f>
        <v>Cherry</v>
      </c>
      <c r="Q1009">
        <f>_xlfn.XLOOKUP(fSales[[#This Row],[ProductID]],dProduct[ProductID],dProduct[CratePrice])-_xlfn.XLOOKUP(fSales[[#This Row],[ProductID]],dProduct[ProductID],dProduct[CrateCost])</f>
        <v>18.354000000000003</v>
      </c>
      <c r="R1009">
        <f>_xlfn.XLOOKUP(fSales[[#This Row],[ProductID]],dProduct[ProductID],dProduct[CratePrice])</f>
        <v>43.7</v>
      </c>
      <c r="S1009">
        <f>_xlfn.XLOOKUP(fSales[[#This Row],[ProductID]],dProduct[ProductID],dProduct[CrateCost])</f>
        <v>25.346</v>
      </c>
    </row>
    <row r="1010" spans="7:19" x14ac:dyDescent="0.25">
      <c r="G1010" s="2">
        <v>45990</v>
      </c>
      <c r="H1010">
        <v>60</v>
      </c>
      <c r="I1010" t="s">
        <v>28</v>
      </c>
      <c r="J1010" t="s">
        <v>52</v>
      </c>
      <c r="K1010">
        <f>_xlfn.XLOOKUP(fSales[[#This Row],[ProductID]],dProduct[ProductID],dProduct[CratePrice])*fSales[[#This Row],[Units]]</f>
        <v>2622</v>
      </c>
      <c r="L1010">
        <f>fSales[[#This Row],[Total sales]]-_xlfn.XLOOKUP(fSales[[#This Row],[ProductID]],dProduct[ProductID],dProduct[CrateCost])*fSales[[#This Row],[Units]]</f>
        <v>1101.24</v>
      </c>
      <c r="M1010">
        <f>(_xlfn.XLOOKUP(fSales[[#This Row],[ProductID]],dProduct[ProductID],dProduct[CratePrice])-_xlfn.XLOOKUP(fSales[[#This Row],[ProductID]],dProduct[ProductID],dProduct[CrateCost]))/_xlfn.XLOOKUP(fSales[[#This Row],[ProductID]],dProduct[ProductID],dProduct[CratePrice])</f>
        <v>0.42000000000000004</v>
      </c>
      <c r="N1010" t="str">
        <f>_xlfn.XLOOKUP(fSales[[#This Row],[SalesRepID]],dPSalesRep[SalesRepID],dPSalesRep[SalesRep])</f>
        <v>Smitty Rad</v>
      </c>
      <c r="O1010" t="str">
        <f>_xlfn.XLOOKUP(fSales[[#This Row],[SalesRepID]],dPSalesRep[SalesRepID],dPSalesRep[Region])</f>
        <v>MidWest</v>
      </c>
      <c r="P1010" t="str">
        <f>_xlfn.XLOOKUP(fSales[[#This Row],[ProductID]],dProduct[ProductID],dProduct[Product])</f>
        <v>Cherry</v>
      </c>
      <c r="Q1010">
        <f>_xlfn.XLOOKUP(fSales[[#This Row],[ProductID]],dProduct[ProductID],dProduct[CratePrice])-_xlfn.XLOOKUP(fSales[[#This Row],[ProductID]],dProduct[ProductID],dProduct[CrateCost])</f>
        <v>18.354000000000003</v>
      </c>
      <c r="R1010">
        <f>_xlfn.XLOOKUP(fSales[[#This Row],[ProductID]],dProduct[ProductID],dProduct[CratePrice])</f>
        <v>43.7</v>
      </c>
      <c r="S1010">
        <f>_xlfn.XLOOKUP(fSales[[#This Row],[ProductID]],dProduct[ProductID],dProduct[CrateCost])</f>
        <v>25.346</v>
      </c>
    </row>
    <row r="1011" spans="7:19" x14ac:dyDescent="0.25">
      <c r="G1011" s="2">
        <v>45991</v>
      </c>
      <c r="H1011">
        <v>276</v>
      </c>
      <c r="I1011" t="s">
        <v>28</v>
      </c>
      <c r="J1011" t="s">
        <v>22</v>
      </c>
      <c r="K1011">
        <f>_xlfn.XLOOKUP(fSales[[#This Row],[ProductID]],dProduct[ProductID],dProduct[CratePrice])*fSales[[#This Row],[Units]]</f>
        <v>12061.2</v>
      </c>
      <c r="L1011">
        <f>fSales[[#This Row],[Total sales]]-_xlfn.XLOOKUP(fSales[[#This Row],[ProductID]],dProduct[ProductID],dProduct[CrateCost])*fSales[[#This Row],[Units]]</f>
        <v>5065.7040000000006</v>
      </c>
      <c r="M1011">
        <f>(_xlfn.XLOOKUP(fSales[[#This Row],[ProductID]],dProduct[ProductID],dProduct[CratePrice])-_xlfn.XLOOKUP(fSales[[#This Row],[ProductID]],dProduct[ProductID],dProduct[CrateCost]))/_xlfn.XLOOKUP(fSales[[#This Row],[ProductID]],dProduct[ProductID],dProduct[CratePrice])</f>
        <v>0.42000000000000004</v>
      </c>
      <c r="N1011" t="str">
        <f>_xlfn.XLOOKUP(fSales[[#This Row],[SalesRepID]],dPSalesRep[SalesRepID],dPSalesRep[SalesRep])</f>
        <v>Timmy Kips</v>
      </c>
      <c r="O1011" t="str">
        <f>_xlfn.XLOOKUP(fSales[[#This Row],[SalesRepID]],dPSalesRep[SalesRepID],dPSalesRep[Region])</f>
        <v>East</v>
      </c>
      <c r="P1011" t="str">
        <f>_xlfn.XLOOKUP(fSales[[#This Row],[ProductID]],dProduct[ProductID],dProduct[Product])</f>
        <v>Cherry</v>
      </c>
      <c r="Q1011">
        <f>_xlfn.XLOOKUP(fSales[[#This Row],[ProductID]],dProduct[ProductID],dProduct[CratePrice])-_xlfn.XLOOKUP(fSales[[#This Row],[ProductID]],dProduct[ProductID],dProduct[CrateCost])</f>
        <v>18.354000000000003</v>
      </c>
      <c r="R1011">
        <f>_xlfn.XLOOKUP(fSales[[#This Row],[ProductID]],dProduct[ProductID],dProduct[CratePrice])</f>
        <v>43.7</v>
      </c>
      <c r="S1011">
        <f>_xlfn.XLOOKUP(fSales[[#This Row],[ProductID]],dProduct[ProductID],dProduct[CrateCost])</f>
        <v>25.346</v>
      </c>
    </row>
    <row r="1012" spans="7:19" x14ac:dyDescent="0.25">
      <c r="G1012" s="2">
        <v>45991</v>
      </c>
      <c r="H1012">
        <v>96</v>
      </c>
      <c r="I1012" t="s">
        <v>34</v>
      </c>
      <c r="J1012" t="s">
        <v>52</v>
      </c>
      <c r="K1012">
        <f>_xlfn.XLOOKUP(fSales[[#This Row],[ProductID]],dProduct[ProductID],dProduct[CratePrice])*fSales[[#This Row],[Units]]</f>
        <v>1680</v>
      </c>
      <c r="L1012">
        <f>fSales[[#This Row],[Total sales]]-_xlfn.XLOOKUP(fSales[[#This Row],[ProductID]],dProduct[ProductID],dProduct[CrateCost])*fSales[[#This Row],[Units]]</f>
        <v>554.39999999999986</v>
      </c>
      <c r="M1012">
        <f>(_xlfn.XLOOKUP(fSales[[#This Row],[ProductID]],dProduct[ProductID],dProduct[CratePrice])-_xlfn.XLOOKUP(fSales[[#This Row],[ProductID]],dProduct[ProductID],dProduct[CrateCost]))/_xlfn.XLOOKUP(fSales[[#This Row],[ProductID]],dProduct[ProductID],dProduct[CratePrice])</f>
        <v>0.3299999999999999</v>
      </c>
      <c r="N1012" t="str">
        <f>_xlfn.XLOOKUP(fSales[[#This Row],[SalesRepID]],dPSalesRep[SalesRepID],dPSalesRep[SalesRep])</f>
        <v>Smitty Rad</v>
      </c>
      <c r="O1012" t="str">
        <f>_xlfn.XLOOKUP(fSales[[#This Row],[SalesRepID]],dPSalesRep[SalesRepID],dPSalesRep[Region])</f>
        <v>MidWest</v>
      </c>
      <c r="P1012" t="str">
        <f>_xlfn.XLOOKUP(fSales[[#This Row],[ProductID]],dProduct[ProductID],dProduct[Product])</f>
        <v>Banana</v>
      </c>
      <c r="Q1012">
        <f>_xlfn.XLOOKUP(fSales[[#This Row],[ProductID]],dProduct[ProductID],dProduct[CratePrice])-_xlfn.XLOOKUP(fSales[[#This Row],[ProductID]],dProduct[ProductID],dProduct[CrateCost])</f>
        <v>5.7749999999999986</v>
      </c>
      <c r="R1012">
        <f>_xlfn.XLOOKUP(fSales[[#This Row],[ProductID]],dProduct[ProductID],dProduct[CratePrice])</f>
        <v>17.5</v>
      </c>
      <c r="S1012">
        <f>_xlfn.XLOOKUP(fSales[[#This Row],[ProductID]],dProduct[ProductID],dProduct[CrateCost])</f>
        <v>11.725000000000001</v>
      </c>
    </row>
    <row r="1013" spans="7:19" x14ac:dyDescent="0.25">
      <c r="G1013" s="2">
        <v>45991</v>
      </c>
      <c r="H1013">
        <v>252</v>
      </c>
      <c r="I1013" t="s">
        <v>19</v>
      </c>
      <c r="J1013" t="s">
        <v>37</v>
      </c>
      <c r="K1013">
        <f>_xlfn.XLOOKUP(fSales[[#This Row],[ProductID]],dProduct[ProductID],dProduct[CratePrice])*fSales[[#This Row],[Units]]</f>
        <v>8820</v>
      </c>
      <c r="L1013">
        <f>fSales[[#This Row],[Total sales]]-_xlfn.XLOOKUP(fSales[[#This Row],[ProductID]],dProduct[ProductID],dProduct[CrateCost])*fSales[[#This Row],[Units]]</f>
        <v>4939.2</v>
      </c>
      <c r="M1013">
        <f>(_xlfn.XLOOKUP(fSales[[#This Row],[ProductID]],dProduct[ProductID],dProduct[CratePrice])-_xlfn.XLOOKUP(fSales[[#This Row],[ProductID]],dProduct[ProductID],dProduct[CrateCost]))/_xlfn.XLOOKUP(fSales[[#This Row],[ProductID]],dProduct[ProductID],dProduct[CratePrice])</f>
        <v>0.56000000000000005</v>
      </c>
      <c r="N1013" t="str">
        <f>_xlfn.XLOOKUP(fSales[[#This Row],[SalesRepID]],dPSalesRep[SalesRepID],dPSalesRep[SalesRep])</f>
        <v>Chantel Mims</v>
      </c>
      <c r="O1013" t="str">
        <f>_xlfn.XLOOKUP(fSales[[#This Row],[SalesRepID]],dPSalesRep[SalesRepID],dPSalesRep[Region])</f>
        <v>NW</v>
      </c>
      <c r="P1013" t="str">
        <f>_xlfn.XLOOKUP(fSales[[#This Row],[ProductID]],dProduct[ProductID],dProduct[Product])</f>
        <v>Apple</v>
      </c>
      <c r="Q1013">
        <f>_xlfn.XLOOKUP(fSales[[#This Row],[ProductID]],dProduct[ProductID],dProduct[CratePrice])-_xlfn.XLOOKUP(fSales[[#This Row],[ProductID]],dProduct[ProductID],dProduct[CrateCost])</f>
        <v>19.600000000000001</v>
      </c>
      <c r="R1013">
        <f>_xlfn.XLOOKUP(fSales[[#This Row],[ProductID]],dProduct[ProductID],dProduct[CratePrice])</f>
        <v>35</v>
      </c>
      <c r="S1013">
        <f>_xlfn.XLOOKUP(fSales[[#This Row],[ProductID]],dProduct[ProductID],dProduct[CrateCost])</f>
        <v>15.4</v>
      </c>
    </row>
    <row r="1014" spans="7:19" x14ac:dyDescent="0.25">
      <c r="G1014" s="2">
        <v>45992</v>
      </c>
      <c r="H1014">
        <v>36</v>
      </c>
      <c r="I1014" t="s">
        <v>21</v>
      </c>
      <c r="J1014" t="s">
        <v>37</v>
      </c>
      <c r="K1014">
        <f>_xlfn.XLOOKUP(fSales[[#This Row],[ProductID]],dProduct[ProductID],dProduct[CratePrice])*fSales[[#This Row],[Units]]</f>
        <v>810</v>
      </c>
      <c r="L1014">
        <f>fSales[[#This Row],[Total sales]]-_xlfn.XLOOKUP(fSales[[#This Row],[ProductID]],dProduct[ProductID],dProduct[CrateCost])*fSales[[#This Row],[Units]]</f>
        <v>356.4</v>
      </c>
      <c r="M1014">
        <f>(_xlfn.XLOOKUP(fSales[[#This Row],[ProductID]],dProduct[ProductID],dProduct[CratePrice])-_xlfn.XLOOKUP(fSales[[#This Row],[ProductID]],dProduct[ProductID],dProduct[CrateCost]))/_xlfn.XLOOKUP(fSales[[#This Row],[ProductID]],dProduct[ProductID],dProduct[CratePrice])</f>
        <v>0.43999999999999995</v>
      </c>
      <c r="N1014" t="str">
        <f>_xlfn.XLOOKUP(fSales[[#This Row],[SalesRepID]],dPSalesRep[SalesRepID],dPSalesRep[SalesRep])</f>
        <v>Chantel Mims</v>
      </c>
      <c r="O1014" t="str">
        <f>_xlfn.XLOOKUP(fSales[[#This Row],[SalesRepID]],dPSalesRep[SalesRepID],dPSalesRep[Region])</f>
        <v>NW</v>
      </c>
      <c r="P1014" t="str">
        <f>_xlfn.XLOOKUP(fSales[[#This Row],[ProductID]],dProduct[ProductID],dProduct[Product])</f>
        <v>Kiwi</v>
      </c>
      <c r="Q1014">
        <f>_xlfn.XLOOKUP(fSales[[#This Row],[ProductID]],dProduct[ProductID],dProduct[CratePrice])-_xlfn.XLOOKUP(fSales[[#This Row],[ProductID]],dProduct[ProductID],dProduct[CrateCost])</f>
        <v>9.8999999999999986</v>
      </c>
      <c r="R1014">
        <f>_xlfn.XLOOKUP(fSales[[#This Row],[ProductID]],dProduct[ProductID],dProduct[CratePrice])</f>
        <v>22.5</v>
      </c>
      <c r="S1014">
        <f>_xlfn.XLOOKUP(fSales[[#This Row],[ProductID]],dProduct[ProductID],dProduct[CrateCost])</f>
        <v>12.600000000000001</v>
      </c>
    </row>
    <row r="1015" spans="7:19" x14ac:dyDescent="0.25">
      <c r="G1015" s="2">
        <v>45993</v>
      </c>
      <c r="H1015">
        <v>24</v>
      </c>
      <c r="I1015" t="s">
        <v>28</v>
      </c>
      <c r="J1015" t="s">
        <v>29</v>
      </c>
      <c r="K1015">
        <f>_xlfn.XLOOKUP(fSales[[#This Row],[ProductID]],dProduct[ProductID],dProduct[CratePrice])*fSales[[#This Row],[Units]]</f>
        <v>1048.8000000000002</v>
      </c>
      <c r="L1015">
        <f>fSales[[#This Row],[Total sales]]-_xlfn.XLOOKUP(fSales[[#This Row],[ProductID]],dProduct[ProductID],dProduct[CrateCost])*fSales[[#This Row],[Units]]</f>
        <v>440.49600000000021</v>
      </c>
      <c r="M1015">
        <f>(_xlfn.XLOOKUP(fSales[[#This Row],[ProductID]],dProduct[ProductID],dProduct[CratePrice])-_xlfn.XLOOKUP(fSales[[#This Row],[ProductID]],dProduct[ProductID],dProduct[CrateCost]))/_xlfn.XLOOKUP(fSales[[#This Row],[ProductID]],dProduct[ProductID],dProduct[CratePrice])</f>
        <v>0.42000000000000004</v>
      </c>
      <c r="N1015" t="str">
        <f>_xlfn.XLOOKUP(fSales[[#This Row],[SalesRepID]],dPSalesRep[SalesRepID],dPSalesRep[SalesRep])</f>
        <v>Sioux Best</v>
      </c>
      <c r="O1015" t="str">
        <f>_xlfn.XLOOKUP(fSales[[#This Row],[SalesRepID]],dPSalesRep[SalesRepID],dPSalesRep[Region])</f>
        <v>West</v>
      </c>
      <c r="P1015" t="str">
        <f>_xlfn.XLOOKUP(fSales[[#This Row],[ProductID]],dProduct[ProductID],dProduct[Product])</f>
        <v>Cherry</v>
      </c>
      <c r="Q1015">
        <f>_xlfn.XLOOKUP(fSales[[#This Row],[ProductID]],dProduct[ProductID],dProduct[CratePrice])-_xlfn.XLOOKUP(fSales[[#This Row],[ProductID]],dProduct[ProductID],dProduct[CrateCost])</f>
        <v>18.354000000000003</v>
      </c>
      <c r="R1015">
        <f>_xlfn.XLOOKUP(fSales[[#This Row],[ProductID]],dProduct[ProductID],dProduct[CratePrice])</f>
        <v>43.7</v>
      </c>
      <c r="S1015">
        <f>_xlfn.XLOOKUP(fSales[[#This Row],[ProductID]],dProduct[ProductID],dProduct[CrateCost])</f>
        <v>25.346</v>
      </c>
    </row>
    <row r="1016" spans="7:19" x14ac:dyDescent="0.25">
      <c r="G1016" s="2">
        <v>45994</v>
      </c>
      <c r="H1016">
        <v>168</v>
      </c>
      <c r="I1016" t="s">
        <v>26</v>
      </c>
      <c r="J1016" t="s">
        <v>29</v>
      </c>
      <c r="K1016">
        <f>_xlfn.XLOOKUP(fSales[[#This Row],[ProductID]],dProduct[ProductID],dProduct[CratePrice])*fSales[[#This Row],[Units]]</f>
        <v>4998</v>
      </c>
      <c r="L1016">
        <f>fSales[[#This Row],[Total sales]]-_xlfn.XLOOKUP(fSales[[#This Row],[ProductID]],dProduct[ProductID],dProduct[CrateCost])*fSales[[#This Row],[Units]]</f>
        <v>2099.1600000000003</v>
      </c>
      <c r="M1016">
        <f>(_xlfn.XLOOKUP(fSales[[#This Row],[ProductID]],dProduct[ProductID],dProduct[CratePrice])-_xlfn.XLOOKUP(fSales[[#This Row],[ProductID]],dProduct[ProductID],dProduct[CrateCost]))/_xlfn.XLOOKUP(fSales[[#This Row],[ProductID]],dProduct[ProductID],dProduct[CratePrice])</f>
        <v>0.42000000000000004</v>
      </c>
      <c r="N1016" t="str">
        <f>_xlfn.XLOOKUP(fSales[[#This Row],[SalesRepID]],dPSalesRep[SalesRepID],dPSalesRep[SalesRep])</f>
        <v>Sioux Best</v>
      </c>
      <c r="O1016" t="str">
        <f>_xlfn.XLOOKUP(fSales[[#This Row],[SalesRepID]],dPSalesRep[SalesRepID],dPSalesRep[Region])</f>
        <v>West</v>
      </c>
      <c r="P1016" t="str">
        <f>_xlfn.XLOOKUP(fSales[[#This Row],[ProductID]],dProduct[ProductID],dProduct[Product])</f>
        <v>Orange</v>
      </c>
      <c r="Q1016">
        <f>_xlfn.XLOOKUP(fSales[[#This Row],[ProductID]],dProduct[ProductID],dProduct[CratePrice])-_xlfn.XLOOKUP(fSales[[#This Row],[ProductID]],dProduct[ProductID],dProduct[CrateCost])</f>
        <v>12.495000000000001</v>
      </c>
      <c r="R1016">
        <f>_xlfn.XLOOKUP(fSales[[#This Row],[ProductID]],dProduct[ProductID],dProduct[CratePrice])</f>
        <v>29.75</v>
      </c>
      <c r="S1016">
        <f>_xlfn.XLOOKUP(fSales[[#This Row],[ProductID]],dProduct[ProductID],dProduct[CrateCost])</f>
        <v>17.254999999999999</v>
      </c>
    </row>
    <row r="1017" spans="7:19" x14ac:dyDescent="0.25">
      <c r="G1017" s="2">
        <v>45994</v>
      </c>
      <c r="H1017">
        <v>36</v>
      </c>
      <c r="I1017" t="s">
        <v>19</v>
      </c>
      <c r="J1017" t="s">
        <v>52</v>
      </c>
      <c r="K1017">
        <f>_xlfn.XLOOKUP(fSales[[#This Row],[ProductID]],dProduct[ProductID],dProduct[CratePrice])*fSales[[#This Row],[Units]]</f>
        <v>1260</v>
      </c>
      <c r="L1017">
        <f>fSales[[#This Row],[Total sales]]-_xlfn.XLOOKUP(fSales[[#This Row],[ProductID]],dProduct[ProductID],dProduct[CrateCost])*fSales[[#This Row],[Units]]</f>
        <v>705.6</v>
      </c>
      <c r="M1017">
        <f>(_xlfn.XLOOKUP(fSales[[#This Row],[ProductID]],dProduct[ProductID],dProduct[CratePrice])-_xlfn.XLOOKUP(fSales[[#This Row],[ProductID]],dProduct[ProductID],dProduct[CrateCost]))/_xlfn.XLOOKUP(fSales[[#This Row],[ProductID]],dProduct[ProductID],dProduct[CratePrice])</f>
        <v>0.56000000000000005</v>
      </c>
      <c r="N1017" t="str">
        <f>_xlfn.XLOOKUP(fSales[[#This Row],[SalesRepID]],dPSalesRep[SalesRepID],dPSalesRep[SalesRep])</f>
        <v>Smitty Rad</v>
      </c>
      <c r="O1017" t="str">
        <f>_xlfn.XLOOKUP(fSales[[#This Row],[SalesRepID]],dPSalesRep[SalesRepID],dPSalesRep[Region])</f>
        <v>MidWest</v>
      </c>
      <c r="P1017" t="str">
        <f>_xlfn.XLOOKUP(fSales[[#This Row],[ProductID]],dProduct[ProductID],dProduct[Product])</f>
        <v>Apple</v>
      </c>
      <c r="Q1017">
        <f>_xlfn.XLOOKUP(fSales[[#This Row],[ProductID]],dProduct[ProductID],dProduct[CratePrice])-_xlfn.XLOOKUP(fSales[[#This Row],[ProductID]],dProduct[ProductID],dProduct[CrateCost])</f>
        <v>19.600000000000001</v>
      </c>
      <c r="R1017">
        <f>_xlfn.XLOOKUP(fSales[[#This Row],[ProductID]],dProduct[ProductID],dProduct[CratePrice])</f>
        <v>35</v>
      </c>
      <c r="S1017">
        <f>_xlfn.XLOOKUP(fSales[[#This Row],[ProductID]],dProduct[ProductID],dProduct[CrateCost])</f>
        <v>15.4</v>
      </c>
    </row>
    <row r="1018" spans="7:19" x14ac:dyDescent="0.25">
      <c r="G1018" s="2">
        <v>45995</v>
      </c>
      <c r="H1018">
        <v>300</v>
      </c>
      <c r="I1018" t="s">
        <v>34</v>
      </c>
      <c r="J1018" t="s">
        <v>52</v>
      </c>
      <c r="K1018">
        <f>_xlfn.XLOOKUP(fSales[[#This Row],[ProductID]],dProduct[ProductID],dProduct[CratePrice])*fSales[[#This Row],[Units]]</f>
        <v>5250</v>
      </c>
      <c r="L1018">
        <f>fSales[[#This Row],[Total sales]]-_xlfn.XLOOKUP(fSales[[#This Row],[ProductID]],dProduct[ProductID],dProduct[CrateCost])*fSales[[#This Row],[Units]]</f>
        <v>1732.4999999999995</v>
      </c>
      <c r="M1018">
        <f>(_xlfn.XLOOKUP(fSales[[#This Row],[ProductID]],dProduct[ProductID],dProduct[CratePrice])-_xlfn.XLOOKUP(fSales[[#This Row],[ProductID]],dProduct[ProductID],dProduct[CrateCost]))/_xlfn.XLOOKUP(fSales[[#This Row],[ProductID]],dProduct[ProductID],dProduct[CratePrice])</f>
        <v>0.3299999999999999</v>
      </c>
      <c r="N1018" t="str">
        <f>_xlfn.XLOOKUP(fSales[[#This Row],[SalesRepID]],dPSalesRep[SalesRepID],dPSalesRep[SalesRep])</f>
        <v>Smitty Rad</v>
      </c>
      <c r="O1018" t="str">
        <f>_xlfn.XLOOKUP(fSales[[#This Row],[SalesRepID]],dPSalesRep[SalesRepID],dPSalesRep[Region])</f>
        <v>MidWest</v>
      </c>
      <c r="P1018" t="str">
        <f>_xlfn.XLOOKUP(fSales[[#This Row],[ProductID]],dProduct[ProductID],dProduct[Product])</f>
        <v>Banana</v>
      </c>
      <c r="Q1018">
        <f>_xlfn.XLOOKUP(fSales[[#This Row],[ProductID]],dProduct[ProductID],dProduct[CratePrice])-_xlfn.XLOOKUP(fSales[[#This Row],[ProductID]],dProduct[ProductID],dProduct[CrateCost])</f>
        <v>5.7749999999999986</v>
      </c>
      <c r="R1018">
        <f>_xlfn.XLOOKUP(fSales[[#This Row],[ProductID]],dProduct[ProductID],dProduct[CratePrice])</f>
        <v>17.5</v>
      </c>
      <c r="S1018">
        <f>_xlfn.XLOOKUP(fSales[[#This Row],[ProductID]],dProduct[ProductID],dProduct[CrateCost])</f>
        <v>11.725000000000001</v>
      </c>
    </row>
    <row r="1019" spans="7:19" x14ac:dyDescent="0.25">
      <c r="G1019" s="2">
        <v>45995</v>
      </c>
      <c r="H1019">
        <v>276</v>
      </c>
      <c r="I1019" t="s">
        <v>21</v>
      </c>
      <c r="J1019" t="s">
        <v>22</v>
      </c>
      <c r="K1019">
        <f>_xlfn.XLOOKUP(fSales[[#This Row],[ProductID]],dProduct[ProductID],dProduct[CratePrice])*fSales[[#This Row],[Units]]</f>
        <v>6210</v>
      </c>
      <c r="L1019">
        <f>fSales[[#This Row],[Total sales]]-_xlfn.XLOOKUP(fSales[[#This Row],[ProductID]],dProduct[ProductID],dProduct[CrateCost])*fSales[[#This Row],[Units]]</f>
        <v>2732.3999999999996</v>
      </c>
      <c r="M1019">
        <f>(_xlfn.XLOOKUP(fSales[[#This Row],[ProductID]],dProduct[ProductID],dProduct[CratePrice])-_xlfn.XLOOKUP(fSales[[#This Row],[ProductID]],dProduct[ProductID],dProduct[CrateCost]))/_xlfn.XLOOKUP(fSales[[#This Row],[ProductID]],dProduct[ProductID],dProduct[CratePrice])</f>
        <v>0.43999999999999995</v>
      </c>
      <c r="N1019" t="str">
        <f>_xlfn.XLOOKUP(fSales[[#This Row],[SalesRepID]],dPSalesRep[SalesRepID],dPSalesRep[SalesRep])</f>
        <v>Timmy Kips</v>
      </c>
      <c r="O1019" t="str">
        <f>_xlfn.XLOOKUP(fSales[[#This Row],[SalesRepID]],dPSalesRep[SalesRepID],dPSalesRep[Region])</f>
        <v>East</v>
      </c>
      <c r="P1019" t="str">
        <f>_xlfn.XLOOKUP(fSales[[#This Row],[ProductID]],dProduct[ProductID],dProduct[Product])</f>
        <v>Kiwi</v>
      </c>
      <c r="Q1019">
        <f>_xlfn.XLOOKUP(fSales[[#This Row],[ProductID]],dProduct[ProductID],dProduct[CratePrice])-_xlfn.XLOOKUP(fSales[[#This Row],[ProductID]],dProduct[ProductID],dProduct[CrateCost])</f>
        <v>9.8999999999999986</v>
      </c>
      <c r="R1019">
        <f>_xlfn.XLOOKUP(fSales[[#This Row],[ProductID]],dProduct[ProductID],dProduct[CratePrice])</f>
        <v>22.5</v>
      </c>
      <c r="S1019">
        <f>_xlfn.XLOOKUP(fSales[[#This Row],[ProductID]],dProduct[ProductID],dProduct[CrateCost])</f>
        <v>12.600000000000001</v>
      </c>
    </row>
    <row r="1020" spans="7:19" x14ac:dyDescent="0.25">
      <c r="G1020" s="2">
        <v>45995</v>
      </c>
      <c r="H1020">
        <v>264</v>
      </c>
      <c r="I1020" t="s">
        <v>28</v>
      </c>
      <c r="J1020" t="s">
        <v>29</v>
      </c>
      <c r="K1020">
        <f>_xlfn.XLOOKUP(fSales[[#This Row],[ProductID]],dProduct[ProductID],dProduct[CratePrice])*fSales[[#This Row],[Units]]</f>
        <v>11536.800000000001</v>
      </c>
      <c r="L1020">
        <f>fSales[[#This Row],[Total sales]]-_xlfn.XLOOKUP(fSales[[#This Row],[ProductID]],dProduct[ProductID],dProduct[CrateCost])*fSales[[#This Row],[Units]]</f>
        <v>4845.456000000001</v>
      </c>
      <c r="M1020">
        <f>(_xlfn.XLOOKUP(fSales[[#This Row],[ProductID]],dProduct[ProductID],dProduct[CratePrice])-_xlfn.XLOOKUP(fSales[[#This Row],[ProductID]],dProduct[ProductID],dProduct[CrateCost]))/_xlfn.XLOOKUP(fSales[[#This Row],[ProductID]],dProduct[ProductID],dProduct[CratePrice])</f>
        <v>0.42000000000000004</v>
      </c>
      <c r="N1020" t="str">
        <f>_xlfn.XLOOKUP(fSales[[#This Row],[SalesRepID]],dPSalesRep[SalesRepID],dPSalesRep[SalesRep])</f>
        <v>Sioux Best</v>
      </c>
      <c r="O1020" t="str">
        <f>_xlfn.XLOOKUP(fSales[[#This Row],[SalesRepID]],dPSalesRep[SalesRepID],dPSalesRep[Region])</f>
        <v>West</v>
      </c>
      <c r="P1020" t="str">
        <f>_xlfn.XLOOKUP(fSales[[#This Row],[ProductID]],dProduct[ProductID],dProduct[Product])</f>
        <v>Cherry</v>
      </c>
      <c r="Q1020">
        <f>_xlfn.XLOOKUP(fSales[[#This Row],[ProductID]],dProduct[ProductID],dProduct[CratePrice])-_xlfn.XLOOKUP(fSales[[#This Row],[ProductID]],dProduct[ProductID],dProduct[CrateCost])</f>
        <v>18.354000000000003</v>
      </c>
      <c r="R1020">
        <f>_xlfn.XLOOKUP(fSales[[#This Row],[ProductID]],dProduct[ProductID],dProduct[CratePrice])</f>
        <v>43.7</v>
      </c>
      <c r="S1020">
        <f>_xlfn.XLOOKUP(fSales[[#This Row],[ProductID]],dProduct[ProductID],dProduct[CrateCost])</f>
        <v>25.346</v>
      </c>
    </row>
    <row r="1021" spans="7:19" x14ac:dyDescent="0.25">
      <c r="G1021" s="2">
        <v>45997</v>
      </c>
      <c r="H1021">
        <v>192</v>
      </c>
      <c r="I1021" t="s">
        <v>28</v>
      </c>
      <c r="J1021" t="s">
        <v>29</v>
      </c>
      <c r="K1021">
        <f>_xlfn.XLOOKUP(fSales[[#This Row],[ProductID]],dProduct[ProductID],dProduct[CratePrice])*fSales[[#This Row],[Units]]</f>
        <v>8390.4000000000015</v>
      </c>
      <c r="L1021">
        <f>fSales[[#This Row],[Total sales]]-_xlfn.XLOOKUP(fSales[[#This Row],[ProductID]],dProduct[ProductID],dProduct[CrateCost])*fSales[[#This Row],[Units]]</f>
        <v>3523.9680000000017</v>
      </c>
      <c r="M1021">
        <f>(_xlfn.XLOOKUP(fSales[[#This Row],[ProductID]],dProduct[ProductID],dProduct[CratePrice])-_xlfn.XLOOKUP(fSales[[#This Row],[ProductID]],dProduct[ProductID],dProduct[CrateCost]))/_xlfn.XLOOKUP(fSales[[#This Row],[ProductID]],dProduct[ProductID],dProduct[CratePrice])</f>
        <v>0.42000000000000004</v>
      </c>
      <c r="N1021" t="str">
        <f>_xlfn.XLOOKUP(fSales[[#This Row],[SalesRepID]],dPSalesRep[SalesRepID],dPSalesRep[SalesRep])</f>
        <v>Sioux Best</v>
      </c>
      <c r="O1021" t="str">
        <f>_xlfn.XLOOKUP(fSales[[#This Row],[SalesRepID]],dPSalesRep[SalesRepID],dPSalesRep[Region])</f>
        <v>West</v>
      </c>
      <c r="P1021" t="str">
        <f>_xlfn.XLOOKUP(fSales[[#This Row],[ProductID]],dProduct[ProductID],dProduct[Product])</f>
        <v>Cherry</v>
      </c>
      <c r="Q1021">
        <f>_xlfn.XLOOKUP(fSales[[#This Row],[ProductID]],dProduct[ProductID],dProduct[CratePrice])-_xlfn.XLOOKUP(fSales[[#This Row],[ProductID]],dProduct[ProductID],dProduct[CrateCost])</f>
        <v>18.354000000000003</v>
      </c>
      <c r="R1021">
        <f>_xlfn.XLOOKUP(fSales[[#This Row],[ProductID]],dProduct[ProductID],dProduct[CratePrice])</f>
        <v>43.7</v>
      </c>
      <c r="S1021">
        <f>_xlfn.XLOOKUP(fSales[[#This Row],[ProductID]],dProduct[ProductID],dProduct[CrateCost])</f>
        <v>25.346</v>
      </c>
    </row>
    <row r="1022" spans="7:19" x14ac:dyDescent="0.25">
      <c r="G1022" s="2">
        <v>46000</v>
      </c>
      <c r="H1022">
        <v>120</v>
      </c>
      <c r="I1022" t="s">
        <v>19</v>
      </c>
      <c r="J1022" t="s">
        <v>22</v>
      </c>
      <c r="K1022">
        <f>_xlfn.XLOOKUP(fSales[[#This Row],[ProductID]],dProduct[ProductID],dProduct[CratePrice])*fSales[[#This Row],[Units]]</f>
        <v>4200</v>
      </c>
      <c r="L1022">
        <f>fSales[[#This Row],[Total sales]]-_xlfn.XLOOKUP(fSales[[#This Row],[ProductID]],dProduct[ProductID],dProduct[CrateCost])*fSales[[#This Row],[Units]]</f>
        <v>2352</v>
      </c>
      <c r="M1022">
        <f>(_xlfn.XLOOKUP(fSales[[#This Row],[ProductID]],dProduct[ProductID],dProduct[CratePrice])-_xlfn.XLOOKUP(fSales[[#This Row],[ProductID]],dProduct[ProductID],dProduct[CrateCost]))/_xlfn.XLOOKUP(fSales[[#This Row],[ProductID]],dProduct[ProductID],dProduct[CratePrice])</f>
        <v>0.56000000000000005</v>
      </c>
      <c r="N1022" t="str">
        <f>_xlfn.XLOOKUP(fSales[[#This Row],[SalesRepID]],dPSalesRep[SalesRepID],dPSalesRep[SalesRep])</f>
        <v>Timmy Kips</v>
      </c>
      <c r="O1022" t="str">
        <f>_xlfn.XLOOKUP(fSales[[#This Row],[SalesRepID]],dPSalesRep[SalesRepID],dPSalesRep[Region])</f>
        <v>East</v>
      </c>
      <c r="P1022" t="str">
        <f>_xlfn.XLOOKUP(fSales[[#This Row],[ProductID]],dProduct[ProductID],dProduct[Product])</f>
        <v>Apple</v>
      </c>
      <c r="Q1022">
        <f>_xlfn.XLOOKUP(fSales[[#This Row],[ProductID]],dProduct[ProductID],dProduct[CratePrice])-_xlfn.XLOOKUP(fSales[[#This Row],[ProductID]],dProduct[ProductID],dProduct[CrateCost])</f>
        <v>19.600000000000001</v>
      </c>
      <c r="R1022">
        <f>_xlfn.XLOOKUP(fSales[[#This Row],[ProductID]],dProduct[ProductID],dProduct[CratePrice])</f>
        <v>35</v>
      </c>
      <c r="S1022">
        <f>_xlfn.XLOOKUP(fSales[[#This Row],[ProductID]],dProduct[ProductID],dProduct[CrateCost])</f>
        <v>15.4</v>
      </c>
    </row>
    <row r="1023" spans="7:19" x14ac:dyDescent="0.25">
      <c r="G1023" s="2">
        <v>46001</v>
      </c>
      <c r="H1023">
        <v>72</v>
      </c>
      <c r="I1023" t="s">
        <v>34</v>
      </c>
      <c r="J1023" t="s">
        <v>32</v>
      </c>
      <c r="K1023">
        <f>_xlfn.XLOOKUP(fSales[[#This Row],[ProductID]],dProduct[ProductID],dProduct[CratePrice])*fSales[[#This Row],[Units]]</f>
        <v>1260</v>
      </c>
      <c r="L1023">
        <f>fSales[[#This Row],[Total sales]]-_xlfn.XLOOKUP(fSales[[#This Row],[ProductID]],dProduct[ProductID],dProduct[CrateCost])*fSales[[#This Row],[Units]]</f>
        <v>415.79999999999995</v>
      </c>
      <c r="M1023">
        <f>(_xlfn.XLOOKUP(fSales[[#This Row],[ProductID]],dProduct[ProductID],dProduct[CratePrice])-_xlfn.XLOOKUP(fSales[[#This Row],[ProductID]],dProduct[ProductID],dProduct[CrateCost]))/_xlfn.XLOOKUP(fSales[[#This Row],[ProductID]],dProduct[ProductID],dProduct[CratePrice])</f>
        <v>0.3299999999999999</v>
      </c>
      <c r="N1023" t="str">
        <f>_xlfn.XLOOKUP(fSales[[#This Row],[SalesRepID]],dPSalesRep[SalesRepID],dPSalesRep[SalesRep])</f>
        <v>Shihara Fazzaa</v>
      </c>
      <c r="O1023" t="str">
        <f>_xlfn.XLOOKUP(fSales[[#This Row],[SalesRepID]],dPSalesRep[SalesRepID],dPSalesRep[Region])</f>
        <v>East</v>
      </c>
      <c r="P1023" t="str">
        <f>_xlfn.XLOOKUP(fSales[[#This Row],[ProductID]],dProduct[ProductID],dProduct[Product])</f>
        <v>Banana</v>
      </c>
      <c r="Q1023">
        <f>_xlfn.XLOOKUP(fSales[[#This Row],[ProductID]],dProduct[ProductID],dProduct[CratePrice])-_xlfn.XLOOKUP(fSales[[#This Row],[ProductID]],dProduct[ProductID],dProduct[CrateCost])</f>
        <v>5.7749999999999986</v>
      </c>
      <c r="R1023">
        <f>_xlfn.XLOOKUP(fSales[[#This Row],[ProductID]],dProduct[ProductID],dProduct[CratePrice])</f>
        <v>17.5</v>
      </c>
      <c r="S1023">
        <f>_xlfn.XLOOKUP(fSales[[#This Row],[ProductID]],dProduct[ProductID],dProduct[CrateCost])</f>
        <v>11.725000000000001</v>
      </c>
    </row>
    <row r="1024" spans="7:19" x14ac:dyDescent="0.25">
      <c r="G1024" s="2">
        <v>46001</v>
      </c>
      <c r="H1024">
        <v>180</v>
      </c>
      <c r="I1024" t="s">
        <v>21</v>
      </c>
      <c r="J1024" t="s">
        <v>37</v>
      </c>
      <c r="K1024">
        <f>_xlfn.XLOOKUP(fSales[[#This Row],[ProductID]],dProduct[ProductID],dProduct[CratePrice])*fSales[[#This Row],[Units]]</f>
        <v>4050</v>
      </c>
      <c r="L1024">
        <f>fSales[[#This Row],[Total sales]]-_xlfn.XLOOKUP(fSales[[#This Row],[ProductID]],dProduct[ProductID],dProduct[CrateCost])*fSales[[#This Row],[Units]]</f>
        <v>1781.9999999999995</v>
      </c>
      <c r="M1024">
        <f>(_xlfn.XLOOKUP(fSales[[#This Row],[ProductID]],dProduct[ProductID],dProduct[CratePrice])-_xlfn.XLOOKUP(fSales[[#This Row],[ProductID]],dProduct[ProductID],dProduct[CrateCost]))/_xlfn.XLOOKUP(fSales[[#This Row],[ProductID]],dProduct[ProductID],dProduct[CratePrice])</f>
        <v>0.43999999999999995</v>
      </c>
      <c r="N1024" t="str">
        <f>_xlfn.XLOOKUP(fSales[[#This Row],[SalesRepID]],dPSalesRep[SalesRepID],dPSalesRep[SalesRep])</f>
        <v>Chantel Mims</v>
      </c>
      <c r="O1024" t="str">
        <f>_xlfn.XLOOKUP(fSales[[#This Row],[SalesRepID]],dPSalesRep[SalesRepID],dPSalesRep[Region])</f>
        <v>NW</v>
      </c>
      <c r="P1024" t="str">
        <f>_xlfn.XLOOKUP(fSales[[#This Row],[ProductID]],dProduct[ProductID],dProduct[Product])</f>
        <v>Kiwi</v>
      </c>
      <c r="Q1024">
        <f>_xlfn.XLOOKUP(fSales[[#This Row],[ProductID]],dProduct[ProductID],dProduct[CratePrice])-_xlfn.XLOOKUP(fSales[[#This Row],[ProductID]],dProduct[ProductID],dProduct[CrateCost])</f>
        <v>9.8999999999999986</v>
      </c>
      <c r="R1024">
        <f>_xlfn.XLOOKUP(fSales[[#This Row],[ProductID]],dProduct[ProductID],dProduct[CratePrice])</f>
        <v>22.5</v>
      </c>
      <c r="S1024">
        <f>_xlfn.XLOOKUP(fSales[[#This Row],[ProductID]],dProduct[ProductID],dProduct[CrateCost])</f>
        <v>12.600000000000001</v>
      </c>
    </row>
    <row r="1025" spans="7:19" x14ac:dyDescent="0.25">
      <c r="G1025" s="2">
        <v>46001</v>
      </c>
      <c r="H1025">
        <v>288</v>
      </c>
      <c r="I1025" t="s">
        <v>21</v>
      </c>
      <c r="J1025" t="s">
        <v>22</v>
      </c>
      <c r="K1025">
        <f>_xlfn.XLOOKUP(fSales[[#This Row],[ProductID]],dProduct[ProductID],dProduct[CratePrice])*fSales[[#This Row],[Units]]</f>
        <v>6480</v>
      </c>
      <c r="L1025">
        <f>fSales[[#This Row],[Total sales]]-_xlfn.XLOOKUP(fSales[[#This Row],[ProductID]],dProduct[ProductID],dProduct[CrateCost])*fSales[[#This Row],[Units]]</f>
        <v>2851.2</v>
      </c>
      <c r="M1025">
        <f>(_xlfn.XLOOKUP(fSales[[#This Row],[ProductID]],dProduct[ProductID],dProduct[CratePrice])-_xlfn.XLOOKUP(fSales[[#This Row],[ProductID]],dProduct[ProductID],dProduct[CrateCost]))/_xlfn.XLOOKUP(fSales[[#This Row],[ProductID]],dProduct[ProductID],dProduct[CratePrice])</f>
        <v>0.43999999999999995</v>
      </c>
      <c r="N1025" t="str">
        <f>_xlfn.XLOOKUP(fSales[[#This Row],[SalesRepID]],dPSalesRep[SalesRepID],dPSalesRep[SalesRep])</f>
        <v>Timmy Kips</v>
      </c>
      <c r="O1025" t="str">
        <f>_xlfn.XLOOKUP(fSales[[#This Row],[SalesRepID]],dPSalesRep[SalesRepID],dPSalesRep[Region])</f>
        <v>East</v>
      </c>
      <c r="P1025" t="str">
        <f>_xlfn.XLOOKUP(fSales[[#This Row],[ProductID]],dProduct[ProductID],dProduct[Product])</f>
        <v>Kiwi</v>
      </c>
      <c r="Q1025">
        <f>_xlfn.XLOOKUP(fSales[[#This Row],[ProductID]],dProduct[ProductID],dProduct[CratePrice])-_xlfn.XLOOKUP(fSales[[#This Row],[ProductID]],dProduct[ProductID],dProduct[CrateCost])</f>
        <v>9.8999999999999986</v>
      </c>
      <c r="R1025">
        <f>_xlfn.XLOOKUP(fSales[[#This Row],[ProductID]],dProduct[ProductID],dProduct[CratePrice])</f>
        <v>22.5</v>
      </c>
      <c r="S1025">
        <f>_xlfn.XLOOKUP(fSales[[#This Row],[ProductID]],dProduct[ProductID],dProduct[CrateCost])</f>
        <v>12.600000000000001</v>
      </c>
    </row>
    <row r="1026" spans="7:19" x14ac:dyDescent="0.25">
      <c r="G1026" s="2">
        <v>46002</v>
      </c>
      <c r="H1026">
        <v>72</v>
      </c>
      <c r="I1026" t="s">
        <v>21</v>
      </c>
      <c r="J1026" t="s">
        <v>37</v>
      </c>
      <c r="K1026">
        <f>_xlfn.XLOOKUP(fSales[[#This Row],[ProductID]],dProduct[ProductID],dProduct[CratePrice])*fSales[[#This Row],[Units]]</f>
        <v>1620</v>
      </c>
      <c r="L1026">
        <f>fSales[[#This Row],[Total sales]]-_xlfn.XLOOKUP(fSales[[#This Row],[ProductID]],dProduct[ProductID],dProduct[CrateCost])*fSales[[#This Row],[Units]]</f>
        <v>712.8</v>
      </c>
      <c r="M1026">
        <f>(_xlfn.XLOOKUP(fSales[[#This Row],[ProductID]],dProduct[ProductID],dProduct[CratePrice])-_xlfn.XLOOKUP(fSales[[#This Row],[ProductID]],dProduct[ProductID],dProduct[CrateCost]))/_xlfn.XLOOKUP(fSales[[#This Row],[ProductID]],dProduct[ProductID],dProduct[CratePrice])</f>
        <v>0.43999999999999995</v>
      </c>
      <c r="N1026" t="str">
        <f>_xlfn.XLOOKUP(fSales[[#This Row],[SalesRepID]],dPSalesRep[SalesRepID],dPSalesRep[SalesRep])</f>
        <v>Chantel Mims</v>
      </c>
      <c r="O1026" t="str">
        <f>_xlfn.XLOOKUP(fSales[[#This Row],[SalesRepID]],dPSalesRep[SalesRepID],dPSalesRep[Region])</f>
        <v>NW</v>
      </c>
      <c r="P1026" t="str">
        <f>_xlfn.XLOOKUP(fSales[[#This Row],[ProductID]],dProduct[ProductID],dProduct[Product])</f>
        <v>Kiwi</v>
      </c>
      <c r="Q1026">
        <f>_xlfn.XLOOKUP(fSales[[#This Row],[ProductID]],dProduct[ProductID],dProduct[CratePrice])-_xlfn.XLOOKUP(fSales[[#This Row],[ProductID]],dProduct[ProductID],dProduct[CrateCost])</f>
        <v>9.8999999999999986</v>
      </c>
      <c r="R1026">
        <f>_xlfn.XLOOKUP(fSales[[#This Row],[ProductID]],dProduct[ProductID],dProduct[CratePrice])</f>
        <v>22.5</v>
      </c>
      <c r="S1026">
        <f>_xlfn.XLOOKUP(fSales[[#This Row],[ProductID]],dProduct[ProductID],dProduct[CrateCost])</f>
        <v>12.600000000000001</v>
      </c>
    </row>
    <row r="1027" spans="7:19" x14ac:dyDescent="0.25">
      <c r="G1027" s="2">
        <v>46002</v>
      </c>
      <c r="H1027">
        <v>168</v>
      </c>
      <c r="I1027" t="s">
        <v>19</v>
      </c>
      <c r="J1027" t="s">
        <v>32</v>
      </c>
      <c r="K1027">
        <f>_xlfn.XLOOKUP(fSales[[#This Row],[ProductID]],dProduct[ProductID],dProduct[CratePrice])*fSales[[#This Row],[Units]]</f>
        <v>5880</v>
      </c>
      <c r="L1027">
        <f>fSales[[#This Row],[Total sales]]-_xlfn.XLOOKUP(fSales[[#This Row],[ProductID]],dProduct[ProductID],dProduct[CrateCost])*fSales[[#This Row],[Units]]</f>
        <v>3292.7999999999997</v>
      </c>
      <c r="M1027">
        <f>(_xlfn.XLOOKUP(fSales[[#This Row],[ProductID]],dProduct[ProductID],dProduct[CratePrice])-_xlfn.XLOOKUP(fSales[[#This Row],[ProductID]],dProduct[ProductID],dProduct[CrateCost]))/_xlfn.XLOOKUP(fSales[[#This Row],[ProductID]],dProduct[ProductID],dProduct[CratePrice])</f>
        <v>0.56000000000000005</v>
      </c>
      <c r="N1027" t="str">
        <f>_xlfn.XLOOKUP(fSales[[#This Row],[SalesRepID]],dPSalesRep[SalesRepID],dPSalesRep[SalesRep])</f>
        <v>Shihara Fazzaa</v>
      </c>
      <c r="O1027" t="str">
        <f>_xlfn.XLOOKUP(fSales[[#This Row],[SalesRepID]],dPSalesRep[SalesRepID],dPSalesRep[Region])</f>
        <v>East</v>
      </c>
      <c r="P1027" t="str">
        <f>_xlfn.XLOOKUP(fSales[[#This Row],[ProductID]],dProduct[ProductID],dProduct[Product])</f>
        <v>Apple</v>
      </c>
      <c r="Q1027">
        <f>_xlfn.XLOOKUP(fSales[[#This Row],[ProductID]],dProduct[ProductID],dProduct[CratePrice])-_xlfn.XLOOKUP(fSales[[#This Row],[ProductID]],dProduct[ProductID],dProduct[CrateCost])</f>
        <v>19.600000000000001</v>
      </c>
      <c r="R1027">
        <f>_xlfn.XLOOKUP(fSales[[#This Row],[ProductID]],dProduct[ProductID],dProduct[CratePrice])</f>
        <v>35</v>
      </c>
      <c r="S1027">
        <f>_xlfn.XLOOKUP(fSales[[#This Row],[ProductID]],dProduct[ProductID],dProduct[CrateCost])</f>
        <v>15.4</v>
      </c>
    </row>
    <row r="1028" spans="7:19" x14ac:dyDescent="0.25">
      <c r="G1028" s="2">
        <v>46003</v>
      </c>
      <c r="H1028">
        <v>132</v>
      </c>
      <c r="I1028" t="s">
        <v>21</v>
      </c>
      <c r="J1028" t="s">
        <v>32</v>
      </c>
      <c r="K1028">
        <f>_xlfn.XLOOKUP(fSales[[#This Row],[ProductID]],dProduct[ProductID],dProduct[CratePrice])*fSales[[#This Row],[Units]]</f>
        <v>2970</v>
      </c>
      <c r="L1028">
        <f>fSales[[#This Row],[Total sales]]-_xlfn.XLOOKUP(fSales[[#This Row],[ProductID]],dProduct[ProductID],dProduct[CrateCost])*fSales[[#This Row],[Units]]</f>
        <v>1306.7999999999997</v>
      </c>
      <c r="M1028">
        <f>(_xlfn.XLOOKUP(fSales[[#This Row],[ProductID]],dProduct[ProductID],dProduct[CratePrice])-_xlfn.XLOOKUP(fSales[[#This Row],[ProductID]],dProduct[ProductID],dProduct[CrateCost]))/_xlfn.XLOOKUP(fSales[[#This Row],[ProductID]],dProduct[ProductID],dProduct[CratePrice])</f>
        <v>0.43999999999999995</v>
      </c>
      <c r="N1028" t="str">
        <f>_xlfn.XLOOKUP(fSales[[#This Row],[SalesRepID]],dPSalesRep[SalesRepID],dPSalesRep[SalesRep])</f>
        <v>Shihara Fazzaa</v>
      </c>
      <c r="O1028" t="str">
        <f>_xlfn.XLOOKUP(fSales[[#This Row],[SalesRepID]],dPSalesRep[SalesRepID],dPSalesRep[Region])</f>
        <v>East</v>
      </c>
      <c r="P1028" t="str">
        <f>_xlfn.XLOOKUP(fSales[[#This Row],[ProductID]],dProduct[ProductID],dProduct[Product])</f>
        <v>Kiwi</v>
      </c>
      <c r="Q1028">
        <f>_xlfn.XLOOKUP(fSales[[#This Row],[ProductID]],dProduct[ProductID],dProduct[CratePrice])-_xlfn.XLOOKUP(fSales[[#This Row],[ProductID]],dProduct[ProductID],dProduct[CrateCost])</f>
        <v>9.8999999999999986</v>
      </c>
      <c r="R1028">
        <f>_xlfn.XLOOKUP(fSales[[#This Row],[ProductID]],dProduct[ProductID],dProduct[CratePrice])</f>
        <v>22.5</v>
      </c>
      <c r="S1028">
        <f>_xlfn.XLOOKUP(fSales[[#This Row],[ProductID]],dProduct[ProductID],dProduct[CrateCost])</f>
        <v>12.600000000000001</v>
      </c>
    </row>
    <row r="1029" spans="7:19" x14ac:dyDescent="0.25">
      <c r="G1029" s="2">
        <v>46004</v>
      </c>
      <c r="H1029">
        <v>108</v>
      </c>
      <c r="I1029" t="s">
        <v>28</v>
      </c>
      <c r="J1029" t="s">
        <v>52</v>
      </c>
      <c r="K1029">
        <f>_xlfn.XLOOKUP(fSales[[#This Row],[ProductID]],dProduct[ProductID],dProduct[CratePrice])*fSales[[#This Row],[Units]]</f>
        <v>4719.6000000000004</v>
      </c>
      <c r="L1029">
        <f>fSales[[#This Row],[Total sales]]-_xlfn.XLOOKUP(fSales[[#This Row],[ProductID]],dProduct[ProductID],dProduct[CrateCost])*fSales[[#This Row],[Units]]</f>
        <v>1982.2320000000004</v>
      </c>
      <c r="M1029">
        <f>(_xlfn.XLOOKUP(fSales[[#This Row],[ProductID]],dProduct[ProductID],dProduct[CratePrice])-_xlfn.XLOOKUP(fSales[[#This Row],[ProductID]],dProduct[ProductID],dProduct[CrateCost]))/_xlfn.XLOOKUP(fSales[[#This Row],[ProductID]],dProduct[ProductID],dProduct[CratePrice])</f>
        <v>0.42000000000000004</v>
      </c>
      <c r="N1029" t="str">
        <f>_xlfn.XLOOKUP(fSales[[#This Row],[SalesRepID]],dPSalesRep[SalesRepID],dPSalesRep[SalesRep])</f>
        <v>Smitty Rad</v>
      </c>
      <c r="O1029" t="str">
        <f>_xlfn.XLOOKUP(fSales[[#This Row],[SalesRepID]],dPSalesRep[SalesRepID],dPSalesRep[Region])</f>
        <v>MidWest</v>
      </c>
      <c r="P1029" t="str">
        <f>_xlfn.XLOOKUP(fSales[[#This Row],[ProductID]],dProduct[ProductID],dProduct[Product])</f>
        <v>Cherry</v>
      </c>
      <c r="Q1029">
        <f>_xlfn.XLOOKUP(fSales[[#This Row],[ProductID]],dProduct[ProductID],dProduct[CratePrice])-_xlfn.XLOOKUP(fSales[[#This Row],[ProductID]],dProduct[ProductID],dProduct[CrateCost])</f>
        <v>18.354000000000003</v>
      </c>
      <c r="R1029">
        <f>_xlfn.XLOOKUP(fSales[[#This Row],[ProductID]],dProduct[ProductID],dProduct[CratePrice])</f>
        <v>43.7</v>
      </c>
      <c r="S1029">
        <f>_xlfn.XLOOKUP(fSales[[#This Row],[ProductID]],dProduct[ProductID],dProduct[CrateCost])</f>
        <v>25.346</v>
      </c>
    </row>
    <row r="1030" spans="7:19" x14ac:dyDescent="0.25">
      <c r="G1030" s="2">
        <v>46004</v>
      </c>
      <c r="H1030">
        <v>36</v>
      </c>
      <c r="I1030" t="s">
        <v>34</v>
      </c>
      <c r="J1030" t="s">
        <v>32</v>
      </c>
      <c r="K1030">
        <f>_xlfn.XLOOKUP(fSales[[#This Row],[ProductID]],dProduct[ProductID],dProduct[CratePrice])*fSales[[#This Row],[Units]]</f>
        <v>630</v>
      </c>
      <c r="L1030">
        <f>fSales[[#This Row],[Total sales]]-_xlfn.XLOOKUP(fSales[[#This Row],[ProductID]],dProduct[ProductID],dProduct[CrateCost])*fSales[[#This Row],[Units]]</f>
        <v>207.89999999999998</v>
      </c>
      <c r="M1030">
        <f>(_xlfn.XLOOKUP(fSales[[#This Row],[ProductID]],dProduct[ProductID],dProduct[CratePrice])-_xlfn.XLOOKUP(fSales[[#This Row],[ProductID]],dProduct[ProductID],dProduct[CrateCost]))/_xlfn.XLOOKUP(fSales[[#This Row],[ProductID]],dProduct[ProductID],dProduct[CratePrice])</f>
        <v>0.3299999999999999</v>
      </c>
      <c r="N1030" t="str">
        <f>_xlfn.XLOOKUP(fSales[[#This Row],[SalesRepID]],dPSalesRep[SalesRepID],dPSalesRep[SalesRep])</f>
        <v>Shihara Fazzaa</v>
      </c>
      <c r="O1030" t="str">
        <f>_xlfn.XLOOKUP(fSales[[#This Row],[SalesRepID]],dPSalesRep[SalesRepID],dPSalesRep[Region])</f>
        <v>East</v>
      </c>
      <c r="P1030" t="str">
        <f>_xlfn.XLOOKUP(fSales[[#This Row],[ProductID]],dProduct[ProductID],dProduct[Product])</f>
        <v>Banana</v>
      </c>
      <c r="Q1030">
        <f>_xlfn.XLOOKUP(fSales[[#This Row],[ProductID]],dProduct[ProductID],dProduct[CratePrice])-_xlfn.XLOOKUP(fSales[[#This Row],[ProductID]],dProduct[ProductID],dProduct[CrateCost])</f>
        <v>5.7749999999999986</v>
      </c>
      <c r="R1030">
        <f>_xlfn.XLOOKUP(fSales[[#This Row],[ProductID]],dProduct[ProductID],dProduct[CratePrice])</f>
        <v>17.5</v>
      </c>
      <c r="S1030">
        <f>_xlfn.XLOOKUP(fSales[[#This Row],[ProductID]],dProduct[ProductID],dProduct[CrateCost])</f>
        <v>11.725000000000001</v>
      </c>
    </row>
    <row r="1031" spans="7:19" x14ac:dyDescent="0.25">
      <c r="G1031" s="2">
        <v>46005</v>
      </c>
      <c r="H1031">
        <v>216</v>
      </c>
      <c r="I1031" t="s">
        <v>21</v>
      </c>
      <c r="J1031" t="s">
        <v>52</v>
      </c>
      <c r="K1031">
        <f>_xlfn.XLOOKUP(fSales[[#This Row],[ProductID]],dProduct[ProductID],dProduct[CratePrice])*fSales[[#This Row],[Units]]</f>
        <v>4860</v>
      </c>
      <c r="L1031">
        <f>fSales[[#This Row],[Total sales]]-_xlfn.XLOOKUP(fSales[[#This Row],[ProductID]],dProduct[ProductID],dProduct[CrateCost])*fSales[[#This Row],[Units]]</f>
        <v>2138.3999999999996</v>
      </c>
      <c r="M1031">
        <f>(_xlfn.XLOOKUP(fSales[[#This Row],[ProductID]],dProduct[ProductID],dProduct[CratePrice])-_xlfn.XLOOKUP(fSales[[#This Row],[ProductID]],dProduct[ProductID],dProduct[CrateCost]))/_xlfn.XLOOKUP(fSales[[#This Row],[ProductID]],dProduct[ProductID],dProduct[CratePrice])</f>
        <v>0.43999999999999995</v>
      </c>
      <c r="N1031" t="str">
        <f>_xlfn.XLOOKUP(fSales[[#This Row],[SalesRepID]],dPSalesRep[SalesRepID],dPSalesRep[SalesRep])</f>
        <v>Smitty Rad</v>
      </c>
      <c r="O1031" t="str">
        <f>_xlfn.XLOOKUP(fSales[[#This Row],[SalesRepID]],dPSalesRep[SalesRepID],dPSalesRep[Region])</f>
        <v>MidWest</v>
      </c>
      <c r="P1031" t="str">
        <f>_xlfn.XLOOKUP(fSales[[#This Row],[ProductID]],dProduct[ProductID],dProduct[Product])</f>
        <v>Kiwi</v>
      </c>
      <c r="Q1031">
        <f>_xlfn.XLOOKUP(fSales[[#This Row],[ProductID]],dProduct[ProductID],dProduct[CratePrice])-_xlfn.XLOOKUP(fSales[[#This Row],[ProductID]],dProduct[ProductID],dProduct[CrateCost])</f>
        <v>9.8999999999999986</v>
      </c>
      <c r="R1031">
        <f>_xlfn.XLOOKUP(fSales[[#This Row],[ProductID]],dProduct[ProductID],dProduct[CratePrice])</f>
        <v>22.5</v>
      </c>
      <c r="S1031">
        <f>_xlfn.XLOOKUP(fSales[[#This Row],[ProductID]],dProduct[ProductID],dProduct[CrateCost])</f>
        <v>12.600000000000001</v>
      </c>
    </row>
    <row r="1032" spans="7:19" x14ac:dyDescent="0.25">
      <c r="G1032" s="2">
        <v>46007</v>
      </c>
      <c r="H1032">
        <v>264</v>
      </c>
      <c r="I1032" t="s">
        <v>34</v>
      </c>
      <c r="J1032" t="s">
        <v>29</v>
      </c>
      <c r="K1032">
        <f>_xlfn.XLOOKUP(fSales[[#This Row],[ProductID]],dProduct[ProductID],dProduct[CratePrice])*fSales[[#This Row],[Units]]</f>
        <v>4620</v>
      </c>
      <c r="L1032">
        <f>fSales[[#This Row],[Total sales]]-_xlfn.XLOOKUP(fSales[[#This Row],[ProductID]],dProduct[ProductID],dProduct[CrateCost])*fSales[[#This Row],[Units]]</f>
        <v>1524.5999999999995</v>
      </c>
      <c r="M1032">
        <f>(_xlfn.XLOOKUP(fSales[[#This Row],[ProductID]],dProduct[ProductID],dProduct[CratePrice])-_xlfn.XLOOKUP(fSales[[#This Row],[ProductID]],dProduct[ProductID],dProduct[CrateCost]))/_xlfn.XLOOKUP(fSales[[#This Row],[ProductID]],dProduct[ProductID],dProduct[CratePrice])</f>
        <v>0.3299999999999999</v>
      </c>
      <c r="N1032" t="str">
        <f>_xlfn.XLOOKUP(fSales[[#This Row],[SalesRepID]],dPSalesRep[SalesRepID],dPSalesRep[SalesRep])</f>
        <v>Sioux Best</v>
      </c>
      <c r="O1032" t="str">
        <f>_xlfn.XLOOKUP(fSales[[#This Row],[SalesRepID]],dPSalesRep[SalesRepID],dPSalesRep[Region])</f>
        <v>West</v>
      </c>
      <c r="P1032" t="str">
        <f>_xlfn.XLOOKUP(fSales[[#This Row],[ProductID]],dProduct[ProductID],dProduct[Product])</f>
        <v>Banana</v>
      </c>
      <c r="Q1032">
        <f>_xlfn.XLOOKUP(fSales[[#This Row],[ProductID]],dProduct[ProductID],dProduct[CratePrice])-_xlfn.XLOOKUP(fSales[[#This Row],[ProductID]],dProduct[ProductID],dProduct[CrateCost])</f>
        <v>5.7749999999999986</v>
      </c>
      <c r="R1032">
        <f>_xlfn.XLOOKUP(fSales[[#This Row],[ProductID]],dProduct[ProductID],dProduct[CratePrice])</f>
        <v>17.5</v>
      </c>
      <c r="S1032">
        <f>_xlfn.XLOOKUP(fSales[[#This Row],[ProductID]],dProduct[ProductID],dProduct[CrateCost])</f>
        <v>11.725000000000001</v>
      </c>
    </row>
    <row r="1033" spans="7:19" x14ac:dyDescent="0.25">
      <c r="G1033" s="2">
        <v>46008</v>
      </c>
      <c r="H1033">
        <v>216</v>
      </c>
      <c r="I1033" t="s">
        <v>26</v>
      </c>
      <c r="J1033" t="s">
        <v>22</v>
      </c>
      <c r="K1033">
        <f>_xlfn.XLOOKUP(fSales[[#This Row],[ProductID]],dProduct[ProductID],dProduct[CratePrice])*fSales[[#This Row],[Units]]</f>
        <v>6426</v>
      </c>
      <c r="L1033">
        <f>fSales[[#This Row],[Total sales]]-_xlfn.XLOOKUP(fSales[[#This Row],[ProductID]],dProduct[ProductID],dProduct[CrateCost])*fSales[[#This Row],[Units]]</f>
        <v>2698.92</v>
      </c>
      <c r="M1033">
        <f>(_xlfn.XLOOKUP(fSales[[#This Row],[ProductID]],dProduct[ProductID],dProduct[CratePrice])-_xlfn.XLOOKUP(fSales[[#This Row],[ProductID]],dProduct[ProductID],dProduct[CrateCost]))/_xlfn.XLOOKUP(fSales[[#This Row],[ProductID]],dProduct[ProductID],dProduct[CratePrice])</f>
        <v>0.42000000000000004</v>
      </c>
      <c r="N1033" t="str">
        <f>_xlfn.XLOOKUP(fSales[[#This Row],[SalesRepID]],dPSalesRep[SalesRepID],dPSalesRep[SalesRep])</f>
        <v>Timmy Kips</v>
      </c>
      <c r="O1033" t="str">
        <f>_xlfn.XLOOKUP(fSales[[#This Row],[SalesRepID]],dPSalesRep[SalesRepID],dPSalesRep[Region])</f>
        <v>East</v>
      </c>
      <c r="P1033" t="str">
        <f>_xlfn.XLOOKUP(fSales[[#This Row],[ProductID]],dProduct[ProductID],dProduct[Product])</f>
        <v>Orange</v>
      </c>
      <c r="Q1033">
        <f>_xlfn.XLOOKUP(fSales[[#This Row],[ProductID]],dProduct[ProductID],dProduct[CratePrice])-_xlfn.XLOOKUP(fSales[[#This Row],[ProductID]],dProduct[ProductID],dProduct[CrateCost])</f>
        <v>12.495000000000001</v>
      </c>
      <c r="R1033">
        <f>_xlfn.XLOOKUP(fSales[[#This Row],[ProductID]],dProduct[ProductID],dProduct[CratePrice])</f>
        <v>29.75</v>
      </c>
      <c r="S1033">
        <f>_xlfn.XLOOKUP(fSales[[#This Row],[ProductID]],dProduct[ProductID],dProduct[CrateCost])</f>
        <v>17.254999999999999</v>
      </c>
    </row>
    <row r="1034" spans="7:19" x14ac:dyDescent="0.25">
      <c r="G1034" s="2">
        <v>46009</v>
      </c>
      <c r="H1034">
        <v>180</v>
      </c>
      <c r="I1034" t="s">
        <v>19</v>
      </c>
      <c r="J1034" t="s">
        <v>29</v>
      </c>
      <c r="K1034">
        <f>_xlfn.XLOOKUP(fSales[[#This Row],[ProductID]],dProduct[ProductID],dProduct[CratePrice])*fSales[[#This Row],[Units]]</f>
        <v>6300</v>
      </c>
      <c r="L1034">
        <f>fSales[[#This Row],[Total sales]]-_xlfn.XLOOKUP(fSales[[#This Row],[ProductID]],dProduct[ProductID],dProduct[CrateCost])*fSales[[#This Row],[Units]]</f>
        <v>3528</v>
      </c>
      <c r="M1034">
        <f>(_xlfn.XLOOKUP(fSales[[#This Row],[ProductID]],dProduct[ProductID],dProduct[CratePrice])-_xlfn.XLOOKUP(fSales[[#This Row],[ProductID]],dProduct[ProductID],dProduct[CrateCost]))/_xlfn.XLOOKUP(fSales[[#This Row],[ProductID]],dProduct[ProductID],dProduct[CratePrice])</f>
        <v>0.56000000000000005</v>
      </c>
      <c r="N1034" t="str">
        <f>_xlfn.XLOOKUP(fSales[[#This Row],[SalesRepID]],dPSalesRep[SalesRepID],dPSalesRep[SalesRep])</f>
        <v>Sioux Best</v>
      </c>
      <c r="O1034" t="str">
        <f>_xlfn.XLOOKUP(fSales[[#This Row],[SalesRepID]],dPSalesRep[SalesRepID],dPSalesRep[Region])</f>
        <v>West</v>
      </c>
      <c r="P1034" t="str">
        <f>_xlfn.XLOOKUP(fSales[[#This Row],[ProductID]],dProduct[ProductID],dProduct[Product])</f>
        <v>Apple</v>
      </c>
      <c r="Q1034">
        <f>_xlfn.XLOOKUP(fSales[[#This Row],[ProductID]],dProduct[ProductID],dProduct[CratePrice])-_xlfn.XLOOKUP(fSales[[#This Row],[ProductID]],dProduct[ProductID],dProduct[CrateCost])</f>
        <v>19.600000000000001</v>
      </c>
      <c r="R1034">
        <f>_xlfn.XLOOKUP(fSales[[#This Row],[ProductID]],dProduct[ProductID],dProduct[CratePrice])</f>
        <v>35</v>
      </c>
      <c r="S1034">
        <f>_xlfn.XLOOKUP(fSales[[#This Row],[ProductID]],dProduct[ProductID],dProduct[CrateCost])</f>
        <v>15.4</v>
      </c>
    </row>
    <row r="1035" spans="7:19" x14ac:dyDescent="0.25">
      <c r="G1035" s="2">
        <v>46010</v>
      </c>
      <c r="H1035">
        <v>24</v>
      </c>
      <c r="I1035" t="s">
        <v>19</v>
      </c>
      <c r="J1035" t="s">
        <v>37</v>
      </c>
      <c r="K1035">
        <f>_xlfn.XLOOKUP(fSales[[#This Row],[ProductID]],dProduct[ProductID],dProduct[CratePrice])*fSales[[#This Row],[Units]]</f>
        <v>840</v>
      </c>
      <c r="L1035">
        <f>fSales[[#This Row],[Total sales]]-_xlfn.XLOOKUP(fSales[[#This Row],[ProductID]],dProduct[ProductID],dProduct[CrateCost])*fSales[[#This Row],[Units]]</f>
        <v>470.4</v>
      </c>
      <c r="M1035">
        <f>(_xlfn.XLOOKUP(fSales[[#This Row],[ProductID]],dProduct[ProductID],dProduct[CratePrice])-_xlfn.XLOOKUP(fSales[[#This Row],[ProductID]],dProduct[ProductID],dProduct[CrateCost]))/_xlfn.XLOOKUP(fSales[[#This Row],[ProductID]],dProduct[ProductID],dProduct[CratePrice])</f>
        <v>0.56000000000000005</v>
      </c>
      <c r="N1035" t="str">
        <f>_xlfn.XLOOKUP(fSales[[#This Row],[SalesRepID]],dPSalesRep[SalesRepID],dPSalesRep[SalesRep])</f>
        <v>Chantel Mims</v>
      </c>
      <c r="O1035" t="str">
        <f>_xlfn.XLOOKUP(fSales[[#This Row],[SalesRepID]],dPSalesRep[SalesRepID],dPSalesRep[Region])</f>
        <v>NW</v>
      </c>
      <c r="P1035" t="str">
        <f>_xlfn.XLOOKUP(fSales[[#This Row],[ProductID]],dProduct[ProductID],dProduct[Product])</f>
        <v>Apple</v>
      </c>
      <c r="Q1035">
        <f>_xlfn.XLOOKUP(fSales[[#This Row],[ProductID]],dProduct[ProductID],dProduct[CratePrice])-_xlfn.XLOOKUP(fSales[[#This Row],[ProductID]],dProduct[ProductID],dProduct[CrateCost])</f>
        <v>19.600000000000001</v>
      </c>
      <c r="R1035">
        <f>_xlfn.XLOOKUP(fSales[[#This Row],[ProductID]],dProduct[ProductID],dProduct[CratePrice])</f>
        <v>35</v>
      </c>
      <c r="S1035">
        <f>_xlfn.XLOOKUP(fSales[[#This Row],[ProductID]],dProduct[ProductID],dProduct[CrateCost])</f>
        <v>15.4</v>
      </c>
    </row>
    <row r="1036" spans="7:19" x14ac:dyDescent="0.25">
      <c r="G1036" s="2">
        <v>46011</v>
      </c>
      <c r="H1036">
        <v>48</v>
      </c>
      <c r="I1036" t="s">
        <v>21</v>
      </c>
      <c r="J1036" t="s">
        <v>22</v>
      </c>
      <c r="K1036">
        <f>_xlfn.XLOOKUP(fSales[[#This Row],[ProductID]],dProduct[ProductID],dProduct[CratePrice])*fSales[[#This Row],[Units]]</f>
        <v>1080</v>
      </c>
      <c r="L1036">
        <f>fSales[[#This Row],[Total sales]]-_xlfn.XLOOKUP(fSales[[#This Row],[ProductID]],dProduct[ProductID],dProduct[CrateCost])*fSales[[#This Row],[Units]]</f>
        <v>475.19999999999993</v>
      </c>
      <c r="M1036">
        <f>(_xlfn.XLOOKUP(fSales[[#This Row],[ProductID]],dProduct[ProductID],dProduct[CratePrice])-_xlfn.XLOOKUP(fSales[[#This Row],[ProductID]],dProduct[ProductID],dProduct[CrateCost]))/_xlfn.XLOOKUP(fSales[[#This Row],[ProductID]],dProduct[ProductID],dProduct[CratePrice])</f>
        <v>0.43999999999999995</v>
      </c>
      <c r="N1036" t="str">
        <f>_xlfn.XLOOKUP(fSales[[#This Row],[SalesRepID]],dPSalesRep[SalesRepID],dPSalesRep[SalesRep])</f>
        <v>Timmy Kips</v>
      </c>
      <c r="O1036" t="str">
        <f>_xlfn.XLOOKUP(fSales[[#This Row],[SalesRepID]],dPSalesRep[SalesRepID],dPSalesRep[Region])</f>
        <v>East</v>
      </c>
      <c r="P1036" t="str">
        <f>_xlfn.XLOOKUP(fSales[[#This Row],[ProductID]],dProduct[ProductID],dProduct[Product])</f>
        <v>Kiwi</v>
      </c>
      <c r="Q1036">
        <f>_xlfn.XLOOKUP(fSales[[#This Row],[ProductID]],dProduct[ProductID],dProduct[CratePrice])-_xlfn.XLOOKUP(fSales[[#This Row],[ProductID]],dProduct[ProductID],dProduct[CrateCost])</f>
        <v>9.8999999999999986</v>
      </c>
      <c r="R1036">
        <f>_xlfn.XLOOKUP(fSales[[#This Row],[ProductID]],dProduct[ProductID],dProduct[CratePrice])</f>
        <v>22.5</v>
      </c>
      <c r="S1036">
        <f>_xlfn.XLOOKUP(fSales[[#This Row],[ProductID]],dProduct[ProductID],dProduct[CrateCost])</f>
        <v>12.600000000000001</v>
      </c>
    </row>
    <row r="1037" spans="7:19" x14ac:dyDescent="0.25">
      <c r="G1037" s="2">
        <v>46011</v>
      </c>
      <c r="H1037">
        <v>288</v>
      </c>
      <c r="I1037" t="s">
        <v>26</v>
      </c>
      <c r="J1037" t="s">
        <v>32</v>
      </c>
      <c r="K1037">
        <f>_xlfn.XLOOKUP(fSales[[#This Row],[ProductID]],dProduct[ProductID],dProduct[CratePrice])*fSales[[#This Row],[Units]]</f>
        <v>8568</v>
      </c>
      <c r="L1037">
        <f>fSales[[#This Row],[Total sales]]-_xlfn.XLOOKUP(fSales[[#This Row],[ProductID]],dProduct[ProductID],dProduct[CrateCost])*fSales[[#This Row],[Units]]</f>
        <v>3598.5600000000004</v>
      </c>
      <c r="M1037">
        <f>(_xlfn.XLOOKUP(fSales[[#This Row],[ProductID]],dProduct[ProductID],dProduct[CratePrice])-_xlfn.XLOOKUP(fSales[[#This Row],[ProductID]],dProduct[ProductID],dProduct[CrateCost]))/_xlfn.XLOOKUP(fSales[[#This Row],[ProductID]],dProduct[ProductID],dProduct[CratePrice])</f>
        <v>0.42000000000000004</v>
      </c>
      <c r="N1037" t="str">
        <f>_xlfn.XLOOKUP(fSales[[#This Row],[SalesRepID]],dPSalesRep[SalesRepID],dPSalesRep[SalesRep])</f>
        <v>Shihara Fazzaa</v>
      </c>
      <c r="O1037" t="str">
        <f>_xlfn.XLOOKUP(fSales[[#This Row],[SalesRepID]],dPSalesRep[SalesRepID],dPSalesRep[Region])</f>
        <v>East</v>
      </c>
      <c r="P1037" t="str">
        <f>_xlfn.XLOOKUP(fSales[[#This Row],[ProductID]],dProduct[ProductID],dProduct[Product])</f>
        <v>Orange</v>
      </c>
      <c r="Q1037">
        <f>_xlfn.XLOOKUP(fSales[[#This Row],[ProductID]],dProduct[ProductID],dProduct[CratePrice])-_xlfn.XLOOKUP(fSales[[#This Row],[ProductID]],dProduct[ProductID],dProduct[CrateCost])</f>
        <v>12.495000000000001</v>
      </c>
      <c r="R1037">
        <f>_xlfn.XLOOKUP(fSales[[#This Row],[ProductID]],dProduct[ProductID],dProduct[CratePrice])</f>
        <v>29.75</v>
      </c>
      <c r="S1037">
        <f>_xlfn.XLOOKUP(fSales[[#This Row],[ProductID]],dProduct[ProductID],dProduct[CrateCost])</f>
        <v>17.254999999999999</v>
      </c>
    </row>
    <row r="1038" spans="7:19" x14ac:dyDescent="0.25">
      <c r="G1038" s="2">
        <v>46012</v>
      </c>
      <c r="H1038">
        <v>156</v>
      </c>
      <c r="I1038" t="s">
        <v>26</v>
      </c>
      <c r="J1038" t="s">
        <v>29</v>
      </c>
      <c r="K1038">
        <f>_xlfn.XLOOKUP(fSales[[#This Row],[ProductID]],dProduct[ProductID],dProduct[CratePrice])*fSales[[#This Row],[Units]]</f>
        <v>4641</v>
      </c>
      <c r="L1038">
        <f>fSales[[#This Row],[Total sales]]-_xlfn.XLOOKUP(fSales[[#This Row],[ProductID]],dProduct[ProductID],dProduct[CrateCost])*fSales[[#This Row],[Units]]</f>
        <v>1949.2200000000003</v>
      </c>
      <c r="M1038">
        <f>(_xlfn.XLOOKUP(fSales[[#This Row],[ProductID]],dProduct[ProductID],dProduct[CratePrice])-_xlfn.XLOOKUP(fSales[[#This Row],[ProductID]],dProduct[ProductID],dProduct[CrateCost]))/_xlfn.XLOOKUP(fSales[[#This Row],[ProductID]],dProduct[ProductID],dProduct[CratePrice])</f>
        <v>0.42000000000000004</v>
      </c>
      <c r="N1038" t="str">
        <f>_xlfn.XLOOKUP(fSales[[#This Row],[SalesRepID]],dPSalesRep[SalesRepID],dPSalesRep[SalesRep])</f>
        <v>Sioux Best</v>
      </c>
      <c r="O1038" t="str">
        <f>_xlfn.XLOOKUP(fSales[[#This Row],[SalesRepID]],dPSalesRep[SalesRepID],dPSalesRep[Region])</f>
        <v>West</v>
      </c>
      <c r="P1038" t="str">
        <f>_xlfn.XLOOKUP(fSales[[#This Row],[ProductID]],dProduct[ProductID],dProduct[Product])</f>
        <v>Orange</v>
      </c>
      <c r="Q1038">
        <f>_xlfn.XLOOKUP(fSales[[#This Row],[ProductID]],dProduct[ProductID],dProduct[CratePrice])-_xlfn.XLOOKUP(fSales[[#This Row],[ProductID]],dProduct[ProductID],dProduct[CrateCost])</f>
        <v>12.495000000000001</v>
      </c>
      <c r="R1038">
        <f>_xlfn.XLOOKUP(fSales[[#This Row],[ProductID]],dProduct[ProductID],dProduct[CratePrice])</f>
        <v>29.75</v>
      </c>
      <c r="S1038">
        <f>_xlfn.XLOOKUP(fSales[[#This Row],[ProductID]],dProduct[ProductID],dProduct[CrateCost])</f>
        <v>17.254999999999999</v>
      </c>
    </row>
    <row r="1039" spans="7:19" x14ac:dyDescent="0.25">
      <c r="G1039" s="2">
        <v>46013</v>
      </c>
      <c r="H1039">
        <v>108</v>
      </c>
      <c r="I1039" t="s">
        <v>19</v>
      </c>
      <c r="J1039" t="s">
        <v>32</v>
      </c>
      <c r="K1039">
        <f>_xlfn.XLOOKUP(fSales[[#This Row],[ProductID]],dProduct[ProductID],dProduct[CratePrice])*fSales[[#This Row],[Units]]</f>
        <v>3780</v>
      </c>
      <c r="L1039">
        <f>fSales[[#This Row],[Total sales]]-_xlfn.XLOOKUP(fSales[[#This Row],[ProductID]],dProduct[ProductID],dProduct[CrateCost])*fSales[[#This Row],[Units]]</f>
        <v>2116.8000000000002</v>
      </c>
      <c r="M1039">
        <f>(_xlfn.XLOOKUP(fSales[[#This Row],[ProductID]],dProduct[ProductID],dProduct[CratePrice])-_xlfn.XLOOKUP(fSales[[#This Row],[ProductID]],dProduct[ProductID],dProduct[CrateCost]))/_xlfn.XLOOKUP(fSales[[#This Row],[ProductID]],dProduct[ProductID],dProduct[CratePrice])</f>
        <v>0.56000000000000005</v>
      </c>
      <c r="N1039" t="str">
        <f>_xlfn.XLOOKUP(fSales[[#This Row],[SalesRepID]],dPSalesRep[SalesRepID],dPSalesRep[SalesRep])</f>
        <v>Shihara Fazzaa</v>
      </c>
      <c r="O1039" t="str">
        <f>_xlfn.XLOOKUP(fSales[[#This Row],[SalesRepID]],dPSalesRep[SalesRepID],dPSalesRep[Region])</f>
        <v>East</v>
      </c>
      <c r="P1039" t="str">
        <f>_xlfn.XLOOKUP(fSales[[#This Row],[ProductID]],dProduct[ProductID],dProduct[Product])</f>
        <v>Apple</v>
      </c>
      <c r="Q1039">
        <f>_xlfn.XLOOKUP(fSales[[#This Row],[ProductID]],dProduct[ProductID],dProduct[CratePrice])-_xlfn.XLOOKUP(fSales[[#This Row],[ProductID]],dProduct[ProductID],dProduct[CrateCost])</f>
        <v>19.600000000000001</v>
      </c>
      <c r="R1039">
        <f>_xlfn.XLOOKUP(fSales[[#This Row],[ProductID]],dProduct[ProductID],dProduct[CratePrice])</f>
        <v>35</v>
      </c>
      <c r="S1039">
        <f>_xlfn.XLOOKUP(fSales[[#This Row],[ProductID]],dProduct[ProductID],dProduct[CrateCost])</f>
        <v>15.4</v>
      </c>
    </row>
    <row r="1040" spans="7:19" x14ac:dyDescent="0.25">
      <c r="G1040" s="2">
        <v>46013</v>
      </c>
      <c r="H1040">
        <v>264</v>
      </c>
      <c r="I1040" t="s">
        <v>21</v>
      </c>
      <c r="J1040" t="s">
        <v>32</v>
      </c>
      <c r="K1040">
        <f>_xlfn.XLOOKUP(fSales[[#This Row],[ProductID]],dProduct[ProductID],dProduct[CratePrice])*fSales[[#This Row],[Units]]</f>
        <v>5940</v>
      </c>
      <c r="L1040">
        <f>fSales[[#This Row],[Total sales]]-_xlfn.XLOOKUP(fSales[[#This Row],[ProductID]],dProduct[ProductID],dProduct[CrateCost])*fSales[[#This Row],[Units]]</f>
        <v>2613.5999999999995</v>
      </c>
      <c r="M1040">
        <f>(_xlfn.XLOOKUP(fSales[[#This Row],[ProductID]],dProduct[ProductID],dProduct[CratePrice])-_xlfn.XLOOKUP(fSales[[#This Row],[ProductID]],dProduct[ProductID],dProduct[CrateCost]))/_xlfn.XLOOKUP(fSales[[#This Row],[ProductID]],dProduct[ProductID],dProduct[CratePrice])</f>
        <v>0.43999999999999995</v>
      </c>
      <c r="N1040" t="str">
        <f>_xlfn.XLOOKUP(fSales[[#This Row],[SalesRepID]],dPSalesRep[SalesRepID],dPSalesRep[SalesRep])</f>
        <v>Shihara Fazzaa</v>
      </c>
      <c r="O1040" t="str">
        <f>_xlfn.XLOOKUP(fSales[[#This Row],[SalesRepID]],dPSalesRep[SalesRepID],dPSalesRep[Region])</f>
        <v>East</v>
      </c>
      <c r="P1040" t="str">
        <f>_xlfn.XLOOKUP(fSales[[#This Row],[ProductID]],dProduct[ProductID],dProduct[Product])</f>
        <v>Kiwi</v>
      </c>
      <c r="Q1040">
        <f>_xlfn.XLOOKUP(fSales[[#This Row],[ProductID]],dProduct[ProductID],dProduct[CratePrice])-_xlfn.XLOOKUP(fSales[[#This Row],[ProductID]],dProduct[ProductID],dProduct[CrateCost])</f>
        <v>9.8999999999999986</v>
      </c>
      <c r="R1040">
        <f>_xlfn.XLOOKUP(fSales[[#This Row],[ProductID]],dProduct[ProductID],dProduct[CratePrice])</f>
        <v>22.5</v>
      </c>
      <c r="S1040">
        <f>_xlfn.XLOOKUP(fSales[[#This Row],[ProductID]],dProduct[ProductID],dProduct[CrateCost])</f>
        <v>12.600000000000001</v>
      </c>
    </row>
    <row r="1041" spans="7:19" x14ac:dyDescent="0.25">
      <c r="G1041" s="2">
        <v>46014</v>
      </c>
      <c r="H1041">
        <v>144</v>
      </c>
      <c r="I1041" t="s">
        <v>28</v>
      </c>
      <c r="J1041" t="s">
        <v>52</v>
      </c>
      <c r="K1041">
        <f>_xlfn.XLOOKUP(fSales[[#This Row],[ProductID]],dProduct[ProductID],dProduct[CratePrice])*fSales[[#This Row],[Units]]</f>
        <v>6292.8</v>
      </c>
      <c r="L1041">
        <f>fSales[[#This Row],[Total sales]]-_xlfn.XLOOKUP(fSales[[#This Row],[ProductID]],dProduct[ProductID],dProduct[CrateCost])*fSales[[#This Row],[Units]]</f>
        <v>2642.9760000000001</v>
      </c>
      <c r="M1041">
        <f>(_xlfn.XLOOKUP(fSales[[#This Row],[ProductID]],dProduct[ProductID],dProduct[CratePrice])-_xlfn.XLOOKUP(fSales[[#This Row],[ProductID]],dProduct[ProductID],dProduct[CrateCost]))/_xlfn.XLOOKUP(fSales[[#This Row],[ProductID]],dProduct[ProductID],dProduct[CratePrice])</f>
        <v>0.42000000000000004</v>
      </c>
      <c r="N1041" t="str">
        <f>_xlfn.XLOOKUP(fSales[[#This Row],[SalesRepID]],dPSalesRep[SalesRepID],dPSalesRep[SalesRep])</f>
        <v>Smitty Rad</v>
      </c>
      <c r="O1041" t="str">
        <f>_xlfn.XLOOKUP(fSales[[#This Row],[SalesRepID]],dPSalesRep[SalesRepID],dPSalesRep[Region])</f>
        <v>MidWest</v>
      </c>
      <c r="P1041" t="str">
        <f>_xlfn.XLOOKUP(fSales[[#This Row],[ProductID]],dProduct[ProductID],dProduct[Product])</f>
        <v>Cherry</v>
      </c>
      <c r="Q1041">
        <f>_xlfn.XLOOKUP(fSales[[#This Row],[ProductID]],dProduct[ProductID],dProduct[CratePrice])-_xlfn.XLOOKUP(fSales[[#This Row],[ProductID]],dProduct[ProductID],dProduct[CrateCost])</f>
        <v>18.354000000000003</v>
      </c>
      <c r="R1041">
        <f>_xlfn.XLOOKUP(fSales[[#This Row],[ProductID]],dProduct[ProductID],dProduct[CratePrice])</f>
        <v>43.7</v>
      </c>
      <c r="S1041">
        <f>_xlfn.XLOOKUP(fSales[[#This Row],[ProductID]],dProduct[ProductID],dProduct[CrateCost])</f>
        <v>25.346</v>
      </c>
    </row>
    <row r="1042" spans="7:19" x14ac:dyDescent="0.25">
      <c r="G1042" s="2">
        <v>46014</v>
      </c>
      <c r="H1042">
        <v>240</v>
      </c>
      <c r="I1042" t="s">
        <v>19</v>
      </c>
      <c r="J1042" t="s">
        <v>52</v>
      </c>
      <c r="K1042">
        <f>_xlfn.XLOOKUP(fSales[[#This Row],[ProductID]],dProduct[ProductID],dProduct[CratePrice])*fSales[[#This Row],[Units]]</f>
        <v>8400</v>
      </c>
      <c r="L1042">
        <f>fSales[[#This Row],[Total sales]]-_xlfn.XLOOKUP(fSales[[#This Row],[ProductID]],dProduct[ProductID],dProduct[CrateCost])*fSales[[#This Row],[Units]]</f>
        <v>4704</v>
      </c>
      <c r="M1042">
        <f>(_xlfn.XLOOKUP(fSales[[#This Row],[ProductID]],dProduct[ProductID],dProduct[CratePrice])-_xlfn.XLOOKUP(fSales[[#This Row],[ProductID]],dProduct[ProductID],dProduct[CrateCost]))/_xlfn.XLOOKUP(fSales[[#This Row],[ProductID]],dProduct[ProductID],dProduct[CratePrice])</f>
        <v>0.56000000000000005</v>
      </c>
      <c r="N1042" t="str">
        <f>_xlfn.XLOOKUP(fSales[[#This Row],[SalesRepID]],dPSalesRep[SalesRepID],dPSalesRep[SalesRep])</f>
        <v>Smitty Rad</v>
      </c>
      <c r="O1042" t="str">
        <f>_xlfn.XLOOKUP(fSales[[#This Row],[SalesRepID]],dPSalesRep[SalesRepID],dPSalesRep[Region])</f>
        <v>MidWest</v>
      </c>
      <c r="P1042" t="str">
        <f>_xlfn.XLOOKUP(fSales[[#This Row],[ProductID]],dProduct[ProductID],dProduct[Product])</f>
        <v>Apple</v>
      </c>
      <c r="Q1042">
        <f>_xlfn.XLOOKUP(fSales[[#This Row],[ProductID]],dProduct[ProductID],dProduct[CratePrice])-_xlfn.XLOOKUP(fSales[[#This Row],[ProductID]],dProduct[ProductID],dProduct[CrateCost])</f>
        <v>19.600000000000001</v>
      </c>
      <c r="R1042">
        <f>_xlfn.XLOOKUP(fSales[[#This Row],[ProductID]],dProduct[ProductID],dProduct[CratePrice])</f>
        <v>35</v>
      </c>
      <c r="S1042">
        <f>_xlfn.XLOOKUP(fSales[[#This Row],[ProductID]],dProduct[ProductID],dProduct[CrateCost])</f>
        <v>15.4</v>
      </c>
    </row>
    <row r="1043" spans="7:19" x14ac:dyDescent="0.25">
      <c r="G1043" s="2">
        <v>46014</v>
      </c>
      <c r="H1043">
        <v>168</v>
      </c>
      <c r="I1043" t="s">
        <v>28</v>
      </c>
      <c r="J1043" t="s">
        <v>32</v>
      </c>
      <c r="K1043">
        <f>_xlfn.XLOOKUP(fSales[[#This Row],[ProductID]],dProduct[ProductID],dProduct[CratePrice])*fSales[[#This Row],[Units]]</f>
        <v>7341.6</v>
      </c>
      <c r="L1043">
        <f>fSales[[#This Row],[Total sales]]-_xlfn.XLOOKUP(fSales[[#This Row],[ProductID]],dProduct[ProductID],dProduct[CrateCost])*fSales[[#This Row],[Units]]</f>
        <v>3083.4720000000007</v>
      </c>
      <c r="M1043">
        <f>(_xlfn.XLOOKUP(fSales[[#This Row],[ProductID]],dProduct[ProductID],dProduct[CratePrice])-_xlfn.XLOOKUP(fSales[[#This Row],[ProductID]],dProduct[ProductID],dProduct[CrateCost]))/_xlfn.XLOOKUP(fSales[[#This Row],[ProductID]],dProduct[ProductID],dProduct[CratePrice])</f>
        <v>0.42000000000000004</v>
      </c>
      <c r="N1043" t="str">
        <f>_xlfn.XLOOKUP(fSales[[#This Row],[SalesRepID]],dPSalesRep[SalesRepID],dPSalesRep[SalesRep])</f>
        <v>Shihara Fazzaa</v>
      </c>
      <c r="O1043" t="str">
        <f>_xlfn.XLOOKUP(fSales[[#This Row],[SalesRepID]],dPSalesRep[SalesRepID],dPSalesRep[Region])</f>
        <v>East</v>
      </c>
      <c r="P1043" t="str">
        <f>_xlfn.XLOOKUP(fSales[[#This Row],[ProductID]],dProduct[ProductID],dProduct[Product])</f>
        <v>Cherry</v>
      </c>
      <c r="Q1043">
        <f>_xlfn.XLOOKUP(fSales[[#This Row],[ProductID]],dProduct[ProductID],dProduct[CratePrice])-_xlfn.XLOOKUP(fSales[[#This Row],[ProductID]],dProduct[ProductID],dProduct[CrateCost])</f>
        <v>18.354000000000003</v>
      </c>
      <c r="R1043">
        <f>_xlfn.XLOOKUP(fSales[[#This Row],[ProductID]],dProduct[ProductID],dProduct[CratePrice])</f>
        <v>43.7</v>
      </c>
      <c r="S1043">
        <f>_xlfn.XLOOKUP(fSales[[#This Row],[ProductID]],dProduct[ProductID],dProduct[CrateCost])</f>
        <v>25.346</v>
      </c>
    </row>
    <row r="1044" spans="7:19" x14ac:dyDescent="0.25">
      <c r="G1044" s="2">
        <v>46015</v>
      </c>
      <c r="H1044">
        <v>96</v>
      </c>
      <c r="I1044" t="s">
        <v>34</v>
      </c>
      <c r="J1044" t="s">
        <v>37</v>
      </c>
      <c r="K1044">
        <f>_xlfn.XLOOKUP(fSales[[#This Row],[ProductID]],dProduct[ProductID],dProduct[CratePrice])*fSales[[#This Row],[Units]]</f>
        <v>1680</v>
      </c>
      <c r="L1044">
        <f>fSales[[#This Row],[Total sales]]-_xlfn.XLOOKUP(fSales[[#This Row],[ProductID]],dProduct[ProductID],dProduct[CrateCost])*fSales[[#This Row],[Units]]</f>
        <v>554.39999999999986</v>
      </c>
      <c r="M1044">
        <f>(_xlfn.XLOOKUP(fSales[[#This Row],[ProductID]],dProduct[ProductID],dProduct[CratePrice])-_xlfn.XLOOKUP(fSales[[#This Row],[ProductID]],dProduct[ProductID],dProduct[CrateCost]))/_xlfn.XLOOKUP(fSales[[#This Row],[ProductID]],dProduct[ProductID],dProduct[CratePrice])</f>
        <v>0.3299999999999999</v>
      </c>
      <c r="N1044" t="str">
        <f>_xlfn.XLOOKUP(fSales[[#This Row],[SalesRepID]],dPSalesRep[SalesRepID],dPSalesRep[SalesRep])</f>
        <v>Chantel Mims</v>
      </c>
      <c r="O1044" t="str">
        <f>_xlfn.XLOOKUP(fSales[[#This Row],[SalesRepID]],dPSalesRep[SalesRepID],dPSalesRep[Region])</f>
        <v>NW</v>
      </c>
      <c r="P1044" t="str">
        <f>_xlfn.XLOOKUP(fSales[[#This Row],[ProductID]],dProduct[ProductID],dProduct[Product])</f>
        <v>Banana</v>
      </c>
      <c r="Q1044">
        <f>_xlfn.XLOOKUP(fSales[[#This Row],[ProductID]],dProduct[ProductID],dProduct[CratePrice])-_xlfn.XLOOKUP(fSales[[#This Row],[ProductID]],dProduct[ProductID],dProduct[CrateCost])</f>
        <v>5.7749999999999986</v>
      </c>
      <c r="R1044">
        <f>_xlfn.XLOOKUP(fSales[[#This Row],[ProductID]],dProduct[ProductID],dProduct[CratePrice])</f>
        <v>17.5</v>
      </c>
      <c r="S1044">
        <f>_xlfn.XLOOKUP(fSales[[#This Row],[ProductID]],dProduct[ProductID],dProduct[CrateCost])</f>
        <v>11.725000000000001</v>
      </c>
    </row>
    <row r="1045" spans="7:19" x14ac:dyDescent="0.25">
      <c r="G1045" s="2">
        <v>46016</v>
      </c>
      <c r="H1045">
        <v>264</v>
      </c>
      <c r="I1045" t="s">
        <v>34</v>
      </c>
      <c r="J1045" t="s">
        <v>52</v>
      </c>
      <c r="K1045">
        <f>_xlfn.XLOOKUP(fSales[[#This Row],[ProductID]],dProduct[ProductID],dProduct[CratePrice])*fSales[[#This Row],[Units]]</f>
        <v>4620</v>
      </c>
      <c r="L1045">
        <f>fSales[[#This Row],[Total sales]]-_xlfn.XLOOKUP(fSales[[#This Row],[ProductID]],dProduct[ProductID],dProduct[CrateCost])*fSales[[#This Row],[Units]]</f>
        <v>1524.5999999999995</v>
      </c>
      <c r="M1045">
        <f>(_xlfn.XLOOKUP(fSales[[#This Row],[ProductID]],dProduct[ProductID],dProduct[CratePrice])-_xlfn.XLOOKUP(fSales[[#This Row],[ProductID]],dProduct[ProductID],dProduct[CrateCost]))/_xlfn.XLOOKUP(fSales[[#This Row],[ProductID]],dProduct[ProductID],dProduct[CratePrice])</f>
        <v>0.3299999999999999</v>
      </c>
      <c r="N1045" t="str">
        <f>_xlfn.XLOOKUP(fSales[[#This Row],[SalesRepID]],dPSalesRep[SalesRepID],dPSalesRep[SalesRep])</f>
        <v>Smitty Rad</v>
      </c>
      <c r="O1045" t="str">
        <f>_xlfn.XLOOKUP(fSales[[#This Row],[SalesRepID]],dPSalesRep[SalesRepID],dPSalesRep[Region])</f>
        <v>MidWest</v>
      </c>
      <c r="P1045" t="str">
        <f>_xlfn.XLOOKUP(fSales[[#This Row],[ProductID]],dProduct[ProductID],dProduct[Product])</f>
        <v>Banana</v>
      </c>
      <c r="Q1045">
        <f>_xlfn.XLOOKUP(fSales[[#This Row],[ProductID]],dProduct[ProductID],dProduct[CratePrice])-_xlfn.XLOOKUP(fSales[[#This Row],[ProductID]],dProduct[ProductID],dProduct[CrateCost])</f>
        <v>5.7749999999999986</v>
      </c>
      <c r="R1045">
        <f>_xlfn.XLOOKUP(fSales[[#This Row],[ProductID]],dProduct[ProductID],dProduct[CratePrice])</f>
        <v>17.5</v>
      </c>
      <c r="S1045">
        <f>_xlfn.XLOOKUP(fSales[[#This Row],[ProductID]],dProduct[ProductID],dProduct[CrateCost])</f>
        <v>11.725000000000001</v>
      </c>
    </row>
    <row r="1046" spans="7:19" x14ac:dyDescent="0.25">
      <c r="G1046" s="2">
        <v>46016</v>
      </c>
      <c r="H1046">
        <v>288</v>
      </c>
      <c r="I1046" t="s">
        <v>19</v>
      </c>
      <c r="J1046" t="s">
        <v>22</v>
      </c>
      <c r="K1046">
        <f>_xlfn.XLOOKUP(fSales[[#This Row],[ProductID]],dProduct[ProductID],dProduct[CratePrice])*fSales[[#This Row],[Units]]</f>
        <v>10080</v>
      </c>
      <c r="L1046">
        <f>fSales[[#This Row],[Total sales]]-_xlfn.XLOOKUP(fSales[[#This Row],[ProductID]],dProduct[ProductID],dProduct[CrateCost])*fSales[[#This Row],[Units]]</f>
        <v>5644.8</v>
      </c>
      <c r="M1046">
        <f>(_xlfn.XLOOKUP(fSales[[#This Row],[ProductID]],dProduct[ProductID],dProduct[CratePrice])-_xlfn.XLOOKUP(fSales[[#This Row],[ProductID]],dProduct[ProductID],dProduct[CrateCost]))/_xlfn.XLOOKUP(fSales[[#This Row],[ProductID]],dProduct[ProductID],dProduct[CratePrice])</f>
        <v>0.56000000000000005</v>
      </c>
      <c r="N1046" t="str">
        <f>_xlfn.XLOOKUP(fSales[[#This Row],[SalesRepID]],dPSalesRep[SalesRepID],dPSalesRep[SalesRep])</f>
        <v>Timmy Kips</v>
      </c>
      <c r="O1046" t="str">
        <f>_xlfn.XLOOKUP(fSales[[#This Row],[SalesRepID]],dPSalesRep[SalesRepID],dPSalesRep[Region])</f>
        <v>East</v>
      </c>
      <c r="P1046" t="str">
        <f>_xlfn.XLOOKUP(fSales[[#This Row],[ProductID]],dProduct[ProductID],dProduct[Product])</f>
        <v>Apple</v>
      </c>
      <c r="Q1046">
        <f>_xlfn.XLOOKUP(fSales[[#This Row],[ProductID]],dProduct[ProductID],dProduct[CratePrice])-_xlfn.XLOOKUP(fSales[[#This Row],[ProductID]],dProduct[ProductID],dProduct[CrateCost])</f>
        <v>19.600000000000001</v>
      </c>
      <c r="R1046">
        <f>_xlfn.XLOOKUP(fSales[[#This Row],[ProductID]],dProduct[ProductID],dProduct[CratePrice])</f>
        <v>35</v>
      </c>
      <c r="S1046">
        <f>_xlfn.XLOOKUP(fSales[[#This Row],[ProductID]],dProduct[ProductID],dProduct[CrateCost])</f>
        <v>15.4</v>
      </c>
    </row>
    <row r="1047" spans="7:19" x14ac:dyDescent="0.25">
      <c r="G1047" s="2">
        <v>46016</v>
      </c>
      <c r="H1047">
        <v>108</v>
      </c>
      <c r="I1047" t="s">
        <v>34</v>
      </c>
      <c r="J1047" t="s">
        <v>29</v>
      </c>
      <c r="K1047">
        <f>_xlfn.XLOOKUP(fSales[[#This Row],[ProductID]],dProduct[ProductID],dProduct[CratePrice])*fSales[[#This Row],[Units]]</f>
        <v>1890</v>
      </c>
      <c r="L1047">
        <f>fSales[[#This Row],[Total sales]]-_xlfn.XLOOKUP(fSales[[#This Row],[ProductID]],dProduct[ProductID],dProduct[CrateCost])*fSales[[#This Row],[Units]]</f>
        <v>623.69999999999982</v>
      </c>
      <c r="M1047">
        <f>(_xlfn.XLOOKUP(fSales[[#This Row],[ProductID]],dProduct[ProductID],dProduct[CratePrice])-_xlfn.XLOOKUP(fSales[[#This Row],[ProductID]],dProduct[ProductID],dProduct[CrateCost]))/_xlfn.XLOOKUP(fSales[[#This Row],[ProductID]],dProduct[ProductID],dProduct[CratePrice])</f>
        <v>0.3299999999999999</v>
      </c>
      <c r="N1047" t="str">
        <f>_xlfn.XLOOKUP(fSales[[#This Row],[SalesRepID]],dPSalesRep[SalesRepID],dPSalesRep[SalesRep])</f>
        <v>Sioux Best</v>
      </c>
      <c r="O1047" t="str">
        <f>_xlfn.XLOOKUP(fSales[[#This Row],[SalesRepID]],dPSalesRep[SalesRepID],dPSalesRep[Region])</f>
        <v>West</v>
      </c>
      <c r="P1047" t="str">
        <f>_xlfn.XLOOKUP(fSales[[#This Row],[ProductID]],dProduct[ProductID],dProduct[Product])</f>
        <v>Banana</v>
      </c>
      <c r="Q1047">
        <f>_xlfn.XLOOKUP(fSales[[#This Row],[ProductID]],dProduct[ProductID],dProduct[CratePrice])-_xlfn.XLOOKUP(fSales[[#This Row],[ProductID]],dProduct[ProductID],dProduct[CrateCost])</f>
        <v>5.7749999999999986</v>
      </c>
      <c r="R1047">
        <f>_xlfn.XLOOKUP(fSales[[#This Row],[ProductID]],dProduct[ProductID],dProduct[CratePrice])</f>
        <v>17.5</v>
      </c>
      <c r="S1047">
        <f>_xlfn.XLOOKUP(fSales[[#This Row],[ProductID]],dProduct[ProductID],dProduct[CrateCost])</f>
        <v>11.725000000000001</v>
      </c>
    </row>
    <row r="1048" spans="7:19" x14ac:dyDescent="0.25">
      <c r="G1048" s="2">
        <v>46017</v>
      </c>
      <c r="H1048">
        <v>132</v>
      </c>
      <c r="I1048" t="s">
        <v>21</v>
      </c>
      <c r="J1048" t="s">
        <v>37</v>
      </c>
      <c r="K1048">
        <f>_xlfn.XLOOKUP(fSales[[#This Row],[ProductID]],dProduct[ProductID],dProduct[CratePrice])*fSales[[#This Row],[Units]]</f>
        <v>2970</v>
      </c>
      <c r="L1048">
        <f>fSales[[#This Row],[Total sales]]-_xlfn.XLOOKUP(fSales[[#This Row],[ProductID]],dProduct[ProductID],dProduct[CrateCost])*fSales[[#This Row],[Units]]</f>
        <v>1306.7999999999997</v>
      </c>
      <c r="M1048">
        <f>(_xlfn.XLOOKUP(fSales[[#This Row],[ProductID]],dProduct[ProductID],dProduct[CratePrice])-_xlfn.XLOOKUP(fSales[[#This Row],[ProductID]],dProduct[ProductID],dProduct[CrateCost]))/_xlfn.XLOOKUP(fSales[[#This Row],[ProductID]],dProduct[ProductID],dProduct[CratePrice])</f>
        <v>0.43999999999999995</v>
      </c>
      <c r="N1048" t="str">
        <f>_xlfn.XLOOKUP(fSales[[#This Row],[SalesRepID]],dPSalesRep[SalesRepID],dPSalesRep[SalesRep])</f>
        <v>Chantel Mims</v>
      </c>
      <c r="O1048" t="str">
        <f>_xlfn.XLOOKUP(fSales[[#This Row],[SalesRepID]],dPSalesRep[SalesRepID],dPSalesRep[Region])</f>
        <v>NW</v>
      </c>
      <c r="P1048" t="str">
        <f>_xlfn.XLOOKUP(fSales[[#This Row],[ProductID]],dProduct[ProductID],dProduct[Product])</f>
        <v>Kiwi</v>
      </c>
      <c r="Q1048">
        <f>_xlfn.XLOOKUP(fSales[[#This Row],[ProductID]],dProduct[ProductID],dProduct[CratePrice])-_xlfn.XLOOKUP(fSales[[#This Row],[ProductID]],dProduct[ProductID],dProduct[CrateCost])</f>
        <v>9.8999999999999986</v>
      </c>
      <c r="R1048">
        <f>_xlfn.XLOOKUP(fSales[[#This Row],[ProductID]],dProduct[ProductID],dProduct[CratePrice])</f>
        <v>22.5</v>
      </c>
      <c r="S1048">
        <f>_xlfn.XLOOKUP(fSales[[#This Row],[ProductID]],dProduct[ProductID],dProduct[CrateCost])</f>
        <v>12.600000000000001</v>
      </c>
    </row>
    <row r="1049" spans="7:19" x14ac:dyDescent="0.25">
      <c r="G1049" s="2">
        <v>46018</v>
      </c>
      <c r="H1049">
        <v>72</v>
      </c>
      <c r="I1049" t="s">
        <v>28</v>
      </c>
      <c r="J1049" t="s">
        <v>52</v>
      </c>
      <c r="K1049">
        <f>_xlfn.XLOOKUP(fSales[[#This Row],[ProductID]],dProduct[ProductID],dProduct[CratePrice])*fSales[[#This Row],[Units]]</f>
        <v>3146.4</v>
      </c>
      <c r="L1049">
        <f>fSales[[#This Row],[Total sales]]-_xlfn.XLOOKUP(fSales[[#This Row],[ProductID]],dProduct[ProductID],dProduct[CrateCost])*fSales[[#This Row],[Units]]</f>
        <v>1321.4880000000001</v>
      </c>
      <c r="M1049">
        <f>(_xlfn.XLOOKUP(fSales[[#This Row],[ProductID]],dProduct[ProductID],dProduct[CratePrice])-_xlfn.XLOOKUP(fSales[[#This Row],[ProductID]],dProduct[ProductID],dProduct[CrateCost]))/_xlfn.XLOOKUP(fSales[[#This Row],[ProductID]],dProduct[ProductID],dProduct[CratePrice])</f>
        <v>0.42000000000000004</v>
      </c>
      <c r="N1049" t="str">
        <f>_xlfn.XLOOKUP(fSales[[#This Row],[SalesRepID]],dPSalesRep[SalesRepID],dPSalesRep[SalesRep])</f>
        <v>Smitty Rad</v>
      </c>
      <c r="O1049" t="str">
        <f>_xlfn.XLOOKUP(fSales[[#This Row],[SalesRepID]],dPSalesRep[SalesRepID],dPSalesRep[Region])</f>
        <v>MidWest</v>
      </c>
      <c r="P1049" t="str">
        <f>_xlfn.XLOOKUP(fSales[[#This Row],[ProductID]],dProduct[ProductID],dProduct[Product])</f>
        <v>Cherry</v>
      </c>
      <c r="Q1049">
        <f>_xlfn.XLOOKUP(fSales[[#This Row],[ProductID]],dProduct[ProductID],dProduct[CratePrice])-_xlfn.XLOOKUP(fSales[[#This Row],[ProductID]],dProduct[ProductID],dProduct[CrateCost])</f>
        <v>18.354000000000003</v>
      </c>
      <c r="R1049">
        <f>_xlfn.XLOOKUP(fSales[[#This Row],[ProductID]],dProduct[ProductID],dProduct[CratePrice])</f>
        <v>43.7</v>
      </c>
      <c r="S1049">
        <f>_xlfn.XLOOKUP(fSales[[#This Row],[ProductID]],dProduct[ProductID],dProduct[CrateCost])</f>
        <v>25.346</v>
      </c>
    </row>
    <row r="1050" spans="7:19" x14ac:dyDescent="0.25">
      <c r="G1050" s="2">
        <v>46018</v>
      </c>
      <c r="H1050">
        <v>108</v>
      </c>
      <c r="I1050" t="s">
        <v>34</v>
      </c>
      <c r="J1050" t="s">
        <v>37</v>
      </c>
      <c r="K1050">
        <f>_xlfn.XLOOKUP(fSales[[#This Row],[ProductID]],dProduct[ProductID],dProduct[CratePrice])*fSales[[#This Row],[Units]]</f>
        <v>1890</v>
      </c>
      <c r="L1050">
        <f>fSales[[#This Row],[Total sales]]-_xlfn.XLOOKUP(fSales[[#This Row],[ProductID]],dProduct[ProductID],dProduct[CrateCost])*fSales[[#This Row],[Units]]</f>
        <v>623.69999999999982</v>
      </c>
      <c r="M1050">
        <f>(_xlfn.XLOOKUP(fSales[[#This Row],[ProductID]],dProduct[ProductID],dProduct[CratePrice])-_xlfn.XLOOKUP(fSales[[#This Row],[ProductID]],dProduct[ProductID],dProduct[CrateCost]))/_xlfn.XLOOKUP(fSales[[#This Row],[ProductID]],dProduct[ProductID],dProduct[CratePrice])</f>
        <v>0.3299999999999999</v>
      </c>
      <c r="N1050" t="str">
        <f>_xlfn.XLOOKUP(fSales[[#This Row],[SalesRepID]],dPSalesRep[SalesRepID],dPSalesRep[SalesRep])</f>
        <v>Chantel Mims</v>
      </c>
      <c r="O1050" t="str">
        <f>_xlfn.XLOOKUP(fSales[[#This Row],[SalesRepID]],dPSalesRep[SalesRepID],dPSalesRep[Region])</f>
        <v>NW</v>
      </c>
      <c r="P1050" t="str">
        <f>_xlfn.XLOOKUP(fSales[[#This Row],[ProductID]],dProduct[ProductID],dProduct[Product])</f>
        <v>Banana</v>
      </c>
      <c r="Q1050">
        <f>_xlfn.XLOOKUP(fSales[[#This Row],[ProductID]],dProduct[ProductID],dProduct[CratePrice])-_xlfn.XLOOKUP(fSales[[#This Row],[ProductID]],dProduct[ProductID],dProduct[CrateCost])</f>
        <v>5.7749999999999986</v>
      </c>
      <c r="R1050">
        <f>_xlfn.XLOOKUP(fSales[[#This Row],[ProductID]],dProduct[ProductID],dProduct[CratePrice])</f>
        <v>17.5</v>
      </c>
      <c r="S1050">
        <f>_xlfn.XLOOKUP(fSales[[#This Row],[ProductID]],dProduct[ProductID],dProduct[CrateCost])</f>
        <v>11.725000000000001</v>
      </c>
    </row>
    <row r="1051" spans="7:19" x14ac:dyDescent="0.25">
      <c r="G1051" s="2">
        <v>46019</v>
      </c>
      <c r="H1051">
        <v>156</v>
      </c>
      <c r="I1051" t="s">
        <v>26</v>
      </c>
      <c r="J1051" t="s">
        <v>52</v>
      </c>
      <c r="K1051">
        <f>_xlfn.XLOOKUP(fSales[[#This Row],[ProductID]],dProduct[ProductID],dProduct[CratePrice])*fSales[[#This Row],[Units]]</f>
        <v>4641</v>
      </c>
      <c r="L1051">
        <f>fSales[[#This Row],[Total sales]]-_xlfn.XLOOKUP(fSales[[#This Row],[ProductID]],dProduct[ProductID],dProduct[CrateCost])*fSales[[#This Row],[Units]]</f>
        <v>1949.2200000000003</v>
      </c>
      <c r="M1051">
        <f>(_xlfn.XLOOKUP(fSales[[#This Row],[ProductID]],dProduct[ProductID],dProduct[CratePrice])-_xlfn.XLOOKUP(fSales[[#This Row],[ProductID]],dProduct[ProductID],dProduct[CrateCost]))/_xlfn.XLOOKUP(fSales[[#This Row],[ProductID]],dProduct[ProductID],dProduct[CratePrice])</f>
        <v>0.42000000000000004</v>
      </c>
      <c r="N1051" t="str">
        <f>_xlfn.XLOOKUP(fSales[[#This Row],[SalesRepID]],dPSalesRep[SalesRepID],dPSalesRep[SalesRep])</f>
        <v>Smitty Rad</v>
      </c>
      <c r="O1051" t="str">
        <f>_xlfn.XLOOKUP(fSales[[#This Row],[SalesRepID]],dPSalesRep[SalesRepID],dPSalesRep[Region])</f>
        <v>MidWest</v>
      </c>
      <c r="P1051" t="str">
        <f>_xlfn.XLOOKUP(fSales[[#This Row],[ProductID]],dProduct[ProductID],dProduct[Product])</f>
        <v>Orange</v>
      </c>
      <c r="Q1051">
        <f>_xlfn.XLOOKUP(fSales[[#This Row],[ProductID]],dProduct[ProductID],dProduct[CratePrice])-_xlfn.XLOOKUP(fSales[[#This Row],[ProductID]],dProduct[ProductID],dProduct[CrateCost])</f>
        <v>12.495000000000001</v>
      </c>
      <c r="R1051">
        <f>_xlfn.XLOOKUP(fSales[[#This Row],[ProductID]],dProduct[ProductID],dProduct[CratePrice])</f>
        <v>29.75</v>
      </c>
      <c r="S1051">
        <f>_xlfn.XLOOKUP(fSales[[#This Row],[ProductID]],dProduct[ProductID],dProduct[CrateCost])</f>
        <v>17.254999999999999</v>
      </c>
    </row>
    <row r="1052" spans="7:19" x14ac:dyDescent="0.25">
      <c r="G1052" s="2">
        <v>46019</v>
      </c>
      <c r="H1052">
        <v>300</v>
      </c>
      <c r="I1052" t="s">
        <v>19</v>
      </c>
      <c r="J1052" t="s">
        <v>22</v>
      </c>
      <c r="K1052">
        <f>_xlfn.XLOOKUP(fSales[[#This Row],[ProductID]],dProduct[ProductID],dProduct[CratePrice])*fSales[[#This Row],[Units]]</f>
        <v>10500</v>
      </c>
      <c r="L1052">
        <f>fSales[[#This Row],[Total sales]]-_xlfn.XLOOKUP(fSales[[#This Row],[ProductID]],dProduct[ProductID],dProduct[CrateCost])*fSales[[#This Row],[Units]]</f>
        <v>5880</v>
      </c>
      <c r="M1052">
        <f>(_xlfn.XLOOKUP(fSales[[#This Row],[ProductID]],dProduct[ProductID],dProduct[CratePrice])-_xlfn.XLOOKUP(fSales[[#This Row],[ProductID]],dProduct[ProductID],dProduct[CrateCost]))/_xlfn.XLOOKUP(fSales[[#This Row],[ProductID]],dProduct[ProductID],dProduct[CratePrice])</f>
        <v>0.56000000000000005</v>
      </c>
      <c r="N1052" t="str">
        <f>_xlfn.XLOOKUP(fSales[[#This Row],[SalesRepID]],dPSalesRep[SalesRepID],dPSalesRep[SalesRep])</f>
        <v>Timmy Kips</v>
      </c>
      <c r="O1052" t="str">
        <f>_xlfn.XLOOKUP(fSales[[#This Row],[SalesRepID]],dPSalesRep[SalesRepID],dPSalesRep[Region])</f>
        <v>East</v>
      </c>
      <c r="P1052" t="str">
        <f>_xlfn.XLOOKUP(fSales[[#This Row],[ProductID]],dProduct[ProductID],dProduct[Product])</f>
        <v>Apple</v>
      </c>
      <c r="Q1052">
        <f>_xlfn.XLOOKUP(fSales[[#This Row],[ProductID]],dProduct[ProductID],dProduct[CratePrice])-_xlfn.XLOOKUP(fSales[[#This Row],[ProductID]],dProduct[ProductID],dProduct[CrateCost])</f>
        <v>19.600000000000001</v>
      </c>
      <c r="R1052">
        <f>_xlfn.XLOOKUP(fSales[[#This Row],[ProductID]],dProduct[ProductID],dProduct[CratePrice])</f>
        <v>35</v>
      </c>
      <c r="S1052">
        <f>_xlfn.XLOOKUP(fSales[[#This Row],[ProductID]],dProduct[ProductID],dProduct[CrateCost])</f>
        <v>15.4</v>
      </c>
    </row>
    <row r="1053" spans="7:19" x14ac:dyDescent="0.25">
      <c r="G1053" s="2">
        <v>46021</v>
      </c>
      <c r="H1053">
        <v>228</v>
      </c>
      <c r="I1053" t="s">
        <v>19</v>
      </c>
      <c r="J1053" t="s">
        <v>22</v>
      </c>
      <c r="K1053">
        <f>_xlfn.XLOOKUP(fSales[[#This Row],[ProductID]],dProduct[ProductID],dProduct[CratePrice])*fSales[[#This Row],[Units]]</f>
        <v>7980</v>
      </c>
      <c r="L1053">
        <f>fSales[[#This Row],[Total sales]]-_xlfn.XLOOKUP(fSales[[#This Row],[ProductID]],dProduct[ProductID],dProduct[CrateCost])*fSales[[#This Row],[Units]]</f>
        <v>4468.7999999999993</v>
      </c>
      <c r="M1053">
        <f>(_xlfn.XLOOKUP(fSales[[#This Row],[ProductID]],dProduct[ProductID],dProduct[CratePrice])-_xlfn.XLOOKUP(fSales[[#This Row],[ProductID]],dProduct[ProductID],dProduct[CrateCost]))/_xlfn.XLOOKUP(fSales[[#This Row],[ProductID]],dProduct[ProductID],dProduct[CratePrice])</f>
        <v>0.56000000000000005</v>
      </c>
      <c r="N1053" t="str">
        <f>_xlfn.XLOOKUP(fSales[[#This Row],[SalesRepID]],dPSalesRep[SalesRepID],dPSalesRep[SalesRep])</f>
        <v>Timmy Kips</v>
      </c>
      <c r="O1053" t="str">
        <f>_xlfn.XLOOKUP(fSales[[#This Row],[SalesRepID]],dPSalesRep[SalesRepID],dPSalesRep[Region])</f>
        <v>East</v>
      </c>
      <c r="P1053" t="str">
        <f>_xlfn.XLOOKUP(fSales[[#This Row],[ProductID]],dProduct[ProductID],dProduct[Product])</f>
        <v>Apple</v>
      </c>
      <c r="Q1053">
        <f>_xlfn.XLOOKUP(fSales[[#This Row],[ProductID]],dProduct[ProductID],dProduct[CratePrice])-_xlfn.XLOOKUP(fSales[[#This Row],[ProductID]],dProduct[ProductID],dProduct[CrateCost])</f>
        <v>19.600000000000001</v>
      </c>
      <c r="R1053">
        <f>_xlfn.XLOOKUP(fSales[[#This Row],[ProductID]],dProduct[ProductID],dProduct[CratePrice])</f>
        <v>35</v>
      </c>
      <c r="S1053">
        <f>_xlfn.XLOOKUP(fSales[[#This Row],[ProductID]],dProduct[ProductID],dProduct[CrateCost])</f>
        <v>15.4</v>
      </c>
    </row>
    <row r="1054" spans="7:19" x14ac:dyDescent="0.25">
      <c r="G1054" s="2">
        <v>46021</v>
      </c>
      <c r="H1054">
        <v>24</v>
      </c>
      <c r="I1054" t="s">
        <v>21</v>
      </c>
      <c r="J1054" t="s">
        <v>37</v>
      </c>
      <c r="K1054">
        <f>_xlfn.XLOOKUP(fSales[[#This Row],[ProductID]],dProduct[ProductID],dProduct[CratePrice])*fSales[[#This Row],[Units]]</f>
        <v>540</v>
      </c>
      <c r="L1054">
        <f>fSales[[#This Row],[Total sales]]-_xlfn.XLOOKUP(fSales[[#This Row],[ProductID]],dProduct[ProductID],dProduct[CrateCost])*fSales[[#This Row],[Units]]</f>
        <v>237.59999999999997</v>
      </c>
      <c r="M1054">
        <f>(_xlfn.XLOOKUP(fSales[[#This Row],[ProductID]],dProduct[ProductID],dProduct[CratePrice])-_xlfn.XLOOKUP(fSales[[#This Row],[ProductID]],dProduct[ProductID],dProduct[CrateCost]))/_xlfn.XLOOKUP(fSales[[#This Row],[ProductID]],dProduct[ProductID],dProduct[CratePrice])</f>
        <v>0.43999999999999995</v>
      </c>
      <c r="N1054" t="str">
        <f>_xlfn.XLOOKUP(fSales[[#This Row],[SalesRepID]],dPSalesRep[SalesRepID],dPSalesRep[SalesRep])</f>
        <v>Chantel Mims</v>
      </c>
      <c r="O1054" t="str">
        <f>_xlfn.XLOOKUP(fSales[[#This Row],[SalesRepID]],dPSalesRep[SalesRepID],dPSalesRep[Region])</f>
        <v>NW</v>
      </c>
      <c r="P1054" t="str">
        <f>_xlfn.XLOOKUP(fSales[[#This Row],[ProductID]],dProduct[ProductID],dProduct[Product])</f>
        <v>Kiwi</v>
      </c>
      <c r="Q1054">
        <f>_xlfn.XLOOKUP(fSales[[#This Row],[ProductID]],dProduct[ProductID],dProduct[CratePrice])-_xlfn.XLOOKUP(fSales[[#This Row],[ProductID]],dProduct[ProductID],dProduct[CrateCost])</f>
        <v>9.8999999999999986</v>
      </c>
      <c r="R1054">
        <f>_xlfn.XLOOKUP(fSales[[#This Row],[ProductID]],dProduct[ProductID],dProduct[CratePrice])</f>
        <v>22.5</v>
      </c>
      <c r="S1054">
        <f>_xlfn.XLOOKUP(fSales[[#This Row],[ProductID]],dProduct[ProductID],dProduct[CrateCost])</f>
        <v>12.600000000000001</v>
      </c>
    </row>
    <row r="1055" spans="7:19" x14ac:dyDescent="0.25">
      <c r="G1055" s="2">
        <v>46021</v>
      </c>
      <c r="H1055">
        <v>60</v>
      </c>
      <c r="I1055" t="s">
        <v>19</v>
      </c>
      <c r="J1055" t="s">
        <v>37</v>
      </c>
      <c r="K1055">
        <f>_xlfn.XLOOKUP(fSales[[#This Row],[ProductID]],dProduct[ProductID],dProduct[CratePrice])*fSales[[#This Row],[Units]]</f>
        <v>2100</v>
      </c>
      <c r="L1055">
        <f>fSales[[#This Row],[Total sales]]-_xlfn.XLOOKUP(fSales[[#This Row],[ProductID]],dProduct[ProductID],dProduct[CrateCost])*fSales[[#This Row],[Units]]</f>
        <v>1176</v>
      </c>
      <c r="M1055">
        <f>(_xlfn.XLOOKUP(fSales[[#This Row],[ProductID]],dProduct[ProductID],dProduct[CratePrice])-_xlfn.XLOOKUP(fSales[[#This Row],[ProductID]],dProduct[ProductID],dProduct[CrateCost]))/_xlfn.XLOOKUP(fSales[[#This Row],[ProductID]],dProduct[ProductID],dProduct[CratePrice])</f>
        <v>0.56000000000000005</v>
      </c>
      <c r="N1055" t="str">
        <f>_xlfn.XLOOKUP(fSales[[#This Row],[SalesRepID]],dPSalesRep[SalesRepID],dPSalesRep[SalesRep])</f>
        <v>Chantel Mims</v>
      </c>
      <c r="O1055" t="str">
        <f>_xlfn.XLOOKUP(fSales[[#This Row],[SalesRepID]],dPSalesRep[SalesRepID],dPSalesRep[Region])</f>
        <v>NW</v>
      </c>
      <c r="P1055" t="str">
        <f>_xlfn.XLOOKUP(fSales[[#This Row],[ProductID]],dProduct[ProductID],dProduct[Product])</f>
        <v>Apple</v>
      </c>
      <c r="Q1055">
        <f>_xlfn.XLOOKUP(fSales[[#This Row],[ProductID]],dProduct[ProductID],dProduct[CratePrice])-_xlfn.XLOOKUP(fSales[[#This Row],[ProductID]],dProduct[ProductID],dProduct[CrateCost])</f>
        <v>19.600000000000001</v>
      </c>
      <c r="R1055">
        <f>_xlfn.XLOOKUP(fSales[[#This Row],[ProductID]],dProduct[ProductID],dProduct[CratePrice])</f>
        <v>35</v>
      </c>
      <c r="S1055">
        <f>_xlfn.XLOOKUP(fSales[[#This Row],[ProductID]],dProduct[ProductID],dProduct[CrateCost])</f>
        <v>15.4</v>
      </c>
    </row>
    <row r="1056" spans="7:19" x14ac:dyDescent="0.25">
      <c r="G1056" s="2">
        <v>46021</v>
      </c>
      <c r="H1056">
        <v>84</v>
      </c>
      <c r="I1056" t="s">
        <v>34</v>
      </c>
      <c r="J1056" t="s">
        <v>52</v>
      </c>
      <c r="K1056">
        <f>_xlfn.XLOOKUP(fSales[[#This Row],[ProductID]],dProduct[ProductID],dProduct[CratePrice])*fSales[[#This Row],[Units]]</f>
        <v>1470</v>
      </c>
      <c r="L1056">
        <f>fSales[[#This Row],[Total sales]]-_xlfn.XLOOKUP(fSales[[#This Row],[ProductID]],dProduct[ProductID],dProduct[CrateCost])*fSales[[#This Row],[Units]]</f>
        <v>485.09999999999991</v>
      </c>
      <c r="M1056">
        <f>(_xlfn.XLOOKUP(fSales[[#This Row],[ProductID]],dProduct[ProductID],dProduct[CratePrice])-_xlfn.XLOOKUP(fSales[[#This Row],[ProductID]],dProduct[ProductID],dProduct[CrateCost]))/_xlfn.XLOOKUP(fSales[[#This Row],[ProductID]],dProduct[ProductID],dProduct[CratePrice])</f>
        <v>0.3299999999999999</v>
      </c>
      <c r="N1056" t="str">
        <f>_xlfn.XLOOKUP(fSales[[#This Row],[SalesRepID]],dPSalesRep[SalesRepID],dPSalesRep[SalesRep])</f>
        <v>Smitty Rad</v>
      </c>
      <c r="O1056" t="str">
        <f>_xlfn.XLOOKUP(fSales[[#This Row],[SalesRepID]],dPSalesRep[SalesRepID],dPSalesRep[Region])</f>
        <v>MidWest</v>
      </c>
      <c r="P1056" t="str">
        <f>_xlfn.XLOOKUP(fSales[[#This Row],[ProductID]],dProduct[ProductID],dProduct[Product])</f>
        <v>Banana</v>
      </c>
      <c r="Q1056">
        <f>_xlfn.XLOOKUP(fSales[[#This Row],[ProductID]],dProduct[ProductID],dProduct[CratePrice])-_xlfn.XLOOKUP(fSales[[#This Row],[ProductID]],dProduct[ProductID],dProduct[CrateCost])</f>
        <v>5.7749999999999986</v>
      </c>
      <c r="R1056">
        <f>_xlfn.XLOOKUP(fSales[[#This Row],[ProductID]],dProduct[ProductID],dProduct[CratePrice])</f>
        <v>17.5</v>
      </c>
      <c r="S1056">
        <f>_xlfn.XLOOKUP(fSales[[#This Row],[ProductID]],dProduct[ProductID],dProduct[CrateCost])</f>
        <v>11.725000000000001</v>
      </c>
    </row>
    <row r="1057" spans="7:19" x14ac:dyDescent="0.25">
      <c r="G1057" s="2">
        <v>46021</v>
      </c>
      <c r="H1057">
        <v>60</v>
      </c>
      <c r="I1057" t="s">
        <v>26</v>
      </c>
      <c r="J1057" t="s">
        <v>29</v>
      </c>
      <c r="K1057">
        <f>_xlfn.XLOOKUP(fSales[[#This Row],[ProductID]],dProduct[ProductID],dProduct[CratePrice])*fSales[[#This Row],[Units]]</f>
        <v>1785</v>
      </c>
      <c r="L1057">
        <f>fSales[[#This Row],[Total sales]]-_xlfn.XLOOKUP(fSales[[#This Row],[ProductID]],dProduct[ProductID],dProduct[CrateCost])*fSales[[#This Row],[Units]]</f>
        <v>749.7</v>
      </c>
      <c r="M1057">
        <f>(_xlfn.XLOOKUP(fSales[[#This Row],[ProductID]],dProduct[ProductID],dProduct[CratePrice])-_xlfn.XLOOKUP(fSales[[#This Row],[ProductID]],dProduct[ProductID],dProduct[CrateCost]))/_xlfn.XLOOKUP(fSales[[#This Row],[ProductID]],dProduct[ProductID],dProduct[CratePrice])</f>
        <v>0.42000000000000004</v>
      </c>
      <c r="N1057" t="str">
        <f>_xlfn.XLOOKUP(fSales[[#This Row],[SalesRepID]],dPSalesRep[SalesRepID],dPSalesRep[SalesRep])</f>
        <v>Sioux Best</v>
      </c>
      <c r="O1057" t="str">
        <f>_xlfn.XLOOKUP(fSales[[#This Row],[SalesRepID]],dPSalesRep[SalesRepID],dPSalesRep[Region])</f>
        <v>West</v>
      </c>
      <c r="P1057" t="str">
        <f>_xlfn.XLOOKUP(fSales[[#This Row],[ProductID]],dProduct[ProductID],dProduct[Product])</f>
        <v>Orange</v>
      </c>
      <c r="Q1057">
        <f>_xlfn.XLOOKUP(fSales[[#This Row],[ProductID]],dProduct[ProductID],dProduct[CratePrice])-_xlfn.XLOOKUP(fSales[[#This Row],[ProductID]],dProduct[ProductID],dProduct[CrateCost])</f>
        <v>12.495000000000001</v>
      </c>
      <c r="R1057">
        <f>_xlfn.XLOOKUP(fSales[[#This Row],[ProductID]],dProduct[ProductID],dProduct[CratePrice])</f>
        <v>29.75</v>
      </c>
      <c r="S1057">
        <f>_xlfn.XLOOKUP(fSales[[#This Row],[ProductID]],dProduct[ProductID],dProduct[CrateCost])</f>
        <v>17.254999999999999</v>
      </c>
    </row>
    <row r="1058" spans="7:19" x14ac:dyDescent="0.25">
      <c r="G1058" s="2">
        <v>46022</v>
      </c>
      <c r="H1058">
        <v>156</v>
      </c>
      <c r="I1058" t="s">
        <v>21</v>
      </c>
      <c r="J1058" t="s">
        <v>22</v>
      </c>
      <c r="K1058">
        <f>_xlfn.XLOOKUP(fSales[[#This Row],[ProductID]],dProduct[ProductID],dProduct[CratePrice])*fSales[[#This Row],[Units]]</f>
        <v>3510</v>
      </c>
      <c r="L1058">
        <f>fSales[[#This Row],[Total sales]]-_xlfn.XLOOKUP(fSales[[#This Row],[ProductID]],dProduct[ProductID],dProduct[CrateCost])*fSales[[#This Row],[Units]]</f>
        <v>1544.3999999999999</v>
      </c>
      <c r="M1058">
        <f>(_xlfn.XLOOKUP(fSales[[#This Row],[ProductID]],dProduct[ProductID],dProduct[CratePrice])-_xlfn.XLOOKUP(fSales[[#This Row],[ProductID]],dProduct[ProductID],dProduct[CrateCost]))/_xlfn.XLOOKUP(fSales[[#This Row],[ProductID]],dProduct[ProductID],dProduct[CratePrice])</f>
        <v>0.43999999999999995</v>
      </c>
      <c r="N1058" t="str">
        <f>_xlfn.XLOOKUP(fSales[[#This Row],[SalesRepID]],dPSalesRep[SalesRepID],dPSalesRep[SalesRep])</f>
        <v>Timmy Kips</v>
      </c>
      <c r="O1058" t="str">
        <f>_xlfn.XLOOKUP(fSales[[#This Row],[SalesRepID]],dPSalesRep[SalesRepID],dPSalesRep[Region])</f>
        <v>East</v>
      </c>
      <c r="P1058" t="str">
        <f>_xlfn.XLOOKUP(fSales[[#This Row],[ProductID]],dProduct[ProductID],dProduct[Product])</f>
        <v>Kiwi</v>
      </c>
      <c r="Q1058">
        <f>_xlfn.XLOOKUP(fSales[[#This Row],[ProductID]],dProduct[ProductID],dProduct[CratePrice])-_xlfn.XLOOKUP(fSales[[#This Row],[ProductID]],dProduct[ProductID],dProduct[CrateCost])</f>
        <v>9.8999999999999986</v>
      </c>
      <c r="R1058">
        <f>_xlfn.XLOOKUP(fSales[[#This Row],[ProductID]],dProduct[ProductID],dProduct[CratePrice])</f>
        <v>22.5</v>
      </c>
      <c r="S1058">
        <f>_xlfn.XLOOKUP(fSales[[#This Row],[ProductID]],dProduct[ProductID],dProduct[CrateCost])</f>
        <v>12.600000000000001</v>
      </c>
    </row>
    <row r="1059" spans="7:19" x14ac:dyDescent="0.25">
      <c r="G1059" s="2">
        <v>46022</v>
      </c>
      <c r="H1059">
        <v>204</v>
      </c>
      <c r="I1059" t="s">
        <v>21</v>
      </c>
      <c r="J1059" t="s">
        <v>52</v>
      </c>
      <c r="K1059">
        <f>_xlfn.XLOOKUP(fSales[[#This Row],[ProductID]],dProduct[ProductID],dProduct[CratePrice])*fSales[[#This Row],[Units]]</f>
        <v>4590</v>
      </c>
      <c r="L1059">
        <f>fSales[[#This Row],[Total sales]]-_xlfn.XLOOKUP(fSales[[#This Row],[ProductID]],dProduct[ProductID],dProduct[CrateCost])*fSales[[#This Row],[Units]]</f>
        <v>2019.6</v>
      </c>
      <c r="M1059">
        <f>(_xlfn.XLOOKUP(fSales[[#This Row],[ProductID]],dProduct[ProductID],dProduct[CratePrice])-_xlfn.XLOOKUP(fSales[[#This Row],[ProductID]],dProduct[ProductID],dProduct[CrateCost]))/_xlfn.XLOOKUP(fSales[[#This Row],[ProductID]],dProduct[ProductID],dProduct[CratePrice])</f>
        <v>0.43999999999999995</v>
      </c>
      <c r="N1059" t="str">
        <f>_xlfn.XLOOKUP(fSales[[#This Row],[SalesRepID]],dPSalesRep[SalesRepID],dPSalesRep[SalesRep])</f>
        <v>Smitty Rad</v>
      </c>
      <c r="O1059" t="str">
        <f>_xlfn.XLOOKUP(fSales[[#This Row],[SalesRepID]],dPSalesRep[SalesRepID],dPSalesRep[Region])</f>
        <v>MidWest</v>
      </c>
      <c r="P1059" t="str">
        <f>_xlfn.XLOOKUP(fSales[[#This Row],[ProductID]],dProduct[ProductID],dProduct[Product])</f>
        <v>Kiwi</v>
      </c>
      <c r="Q1059">
        <f>_xlfn.XLOOKUP(fSales[[#This Row],[ProductID]],dProduct[ProductID],dProduct[CratePrice])-_xlfn.XLOOKUP(fSales[[#This Row],[ProductID]],dProduct[ProductID],dProduct[CrateCost])</f>
        <v>9.8999999999999986</v>
      </c>
      <c r="R1059">
        <f>_xlfn.XLOOKUP(fSales[[#This Row],[ProductID]],dProduct[ProductID],dProduct[CratePrice])</f>
        <v>22.5</v>
      </c>
      <c r="S1059">
        <f>_xlfn.XLOOKUP(fSales[[#This Row],[ProductID]],dProduct[ProductID],dProduct[CrateCost])</f>
        <v>12.600000000000001</v>
      </c>
    </row>
  </sheetData>
  <pageMargins left="0.7" right="0.7" top="0.75" bottom="0.75" header="0.3" footer="0.3"/>
  <drawing r:id="rId16"/>
  <tableParts count="4">
    <tablePart r:id="rId17"/>
    <tablePart r:id="rId18"/>
    <tablePart r:id="rId19"/>
    <tablePart r:id="rId20"/>
  </tableParts>
  <extLst>
    <ext xmlns:x14="http://schemas.microsoft.com/office/spreadsheetml/2009/9/main" uri="{A8765BA9-456A-4dab-B4F3-ACF838C121DE}">
      <x14:slicerList>
        <x14:slicer r:id="rId2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sameh</dc:creator>
  <cp:lastModifiedBy>mohamed sameh</cp:lastModifiedBy>
  <dcterms:created xsi:type="dcterms:W3CDTF">2026-05-05T20:18:19Z</dcterms:created>
  <dcterms:modified xsi:type="dcterms:W3CDTF">2026-05-05T20:19:04Z</dcterms:modified>
</cp:coreProperties>
</file>